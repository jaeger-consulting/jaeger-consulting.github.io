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G:\03_Projects\001_Website\jaeger-consulting.github.io\documents\"/>
    </mc:Choice>
  </mc:AlternateContent>
  <xr:revisionPtr revIDLastSave="0" documentId="13_ncr:1_{F2590D91-FCDD-4C45-8A9E-AF5615C2C154}" xr6:coauthVersionLast="47" xr6:coauthVersionMax="47" xr10:uidLastSave="{00000000-0000-0000-0000-000000000000}"/>
  <bookViews>
    <workbookView xWindow="3840" yWindow="1788" windowWidth="24648" windowHeight="23412" xr2:uid="{C525D025-6BEF-4023-A943-D7FEA36ED865}"/>
  </bookViews>
  <sheets>
    <sheet name="Instructions" sheetId="3" r:id="rId1"/>
    <sheet name="CoverPage" sheetId="1" r:id="rId2"/>
    <sheet name="DatasetsName" sheetId="2" r:id="rId3"/>
    <sheet name="CodeList" sheetId="6" r:id="rId4"/>
    <sheet name="TA" sheetId="5" r:id="rId5"/>
    <sheet name="TE" sheetId="7" r:id="rId6"/>
  </sheets>
  <definedNames>
    <definedName name="_xlnm._FilterDatabase" localSheetId="3" hidden="1">CodeList!$A$2:$L$2</definedName>
    <definedName name="_xlnm._FilterDatabase" localSheetId="2" hidden="1">DatasetsName!$A$1:$J$1</definedName>
    <definedName name="_xlnm._FilterDatabase" localSheetId="4" hidden="1">TA!$A$13:$M$23</definedName>
    <definedName name="_xlnm._FilterDatabase" localSheetId="5" hidden="1">TE!$A$13:$M$20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7" l="1"/>
  <c r="A15" i="7" s="1"/>
  <c r="A16" i="7" s="1"/>
  <c r="A17" i="7" s="1"/>
  <c r="A18" i="7" s="1"/>
  <c r="A19" i="7" s="1"/>
  <c r="A20" i="7" s="1"/>
  <c r="A16" i="5"/>
  <c r="A17" i="5" s="1"/>
  <c r="A18" i="5" s="1"/>
  <c r="A19" i="5" s="1"/>
  <c r="A20" i="5" s="1"/>
  <c r="A21" i="5" s="1"/>
  <c r="A22" i="5" s="1"/>
  <c r="A23" i="5" s="1"/>
  <c r="A15" i="5"/>
  <c r="A14" i="5"/>
  <c r="B8" i="7"/>
  <c r="B7" i="7"/>
  <c r="A7" i="7"/>
  <c r="B6" i="7"/>
  <c r="A6" i="7"/>
  <c r="B5" i="7"/>
  <c r="A5" i="7"/>
  <c r="B4" i="7"/>
  <c r="A4" i="7"/>
  <c r="B3" i="7"/>
  <c r="A3" i="7"/>
  <c r="B2" i="7"/>
  <c r="A2" i="7"/>
  <c r="A1" i="7"/>
  <c r="B8" i="5"/>
  <c r="B7" i="5"/>
  <c r="E23" i="5" a="1"/>
  <c r="E15" i="5" a="1"/>
  <c r="E15" i="7" a="1"/>
  <c r="E15" i="5" l="1"/>
  <c r="E15" i="7"/>
  <c r="E23" i="5"/>
  <c r="A7" i="5" l="1"/>
  <c r="A6" i="5"/>
  <c r="A5" i="5"/>
  <c r="A4" i="5"/>
  <c r="A3" i="5"/>
  <c r="A2" i="5"/>
  <c r="A1" i="5"/>
  <c r="B6" i="5"/>
  <c r="B5" i="5"/>
  <c r="B4" i="5"/>
  <c r="B3" i="5"/>
  <c r="B2"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<sst xmlns="http://schemas.openxmlformats.org/spreadsheetml/2006/main" count="408" uniqueCount="218">
  <si>
    <t>CDISC SDTM datasets specification template</t>
  </si>
  <si>
    <t>Author: Jonathan Jaeger</t>
  </si>
  <si>
    <t>This document is a template for CDISC SDTM datasets specifications. It contains the backbone structures and instructions to fill out the sheets.Outside of covervage, the table of content and the codelist, each specific sheet corresponds to the specifications for the programming of the relevant SDTM datasets. Instructions are in italic blue. Remove this front page and the instruction before finalizing the document.</t>
  </si>
  <si>
    <t>Company logo</t>
  </si>
  <si>
    <t>CDISC SDTM datasets specifications</t>
  </si>
  <si>
    <t>Protocol title:</t>
  </si>
  <si>
    <t>Protocol number:</t>
  </si>
  <si>
    <t>CDISC SDTM datasets specification version (date):</t>
  </si>
  <si>
    <t>Sponsor:</t>
  </si>
  <si>
    <t>Investigational therapy:</t>
  </si>
  <si>
    <t>Development phase:</t>
  </si>
  <si>
    <t>EudraCT number:</t>
  </si>
  <si>
    <t>IND number:</t>
  </si>
  <si>
    <t>Insert protocol title</t>
  </si>
  <si>
    <t>Insert protocol number</t>
  </si>
  <si>
    <t>Insert version (date) under format x.z (DD-Mmm-YYYY)</t>
  </si>
  <si>
    <t>Insert company name and address</t>
  </si>
  <si>
    <t>Insert investigational therapy under evaluation</t>
  </si>
  <si>
    <t>Insert phase number</t>
  </si>
  <si>
    <t>Insert EudraCT number (if existing, otherwise remove)</t>
  </si>
  <si>
    <t>Insert IND number (if existing, otherwise remove)</t>
  </si>
  <si>
    <t>CDISC SDTM Implementation guide used:</t>
  </si>
  <si>
    <t>3.4 (21-Jul-2022)</t>
  </si>
  <si>
    <t>Order</t>
  </si>
  <si>
    <t>Trial Design</t>
  </si>
  <si>
    <t>Tabulation</t>
  </si>
  <si>
    <t>TA</t>
  </si>
  <si>
    <t>Trial Arms</t>
  </si>
  <si>
    <t>One record per planned Element per Arm</t>
  </si>
  <si>
    <t>ta.xpt</t>
  </si>
  <si>
    <t>STUDYID, ARMCD, TAETORD</t>
  </si>
  <si>
    <t>Dataset</t>
  </si>
  <si>
    <t>Variable Name</t>
  </si>
  <si>
    <t>Dataset Name</t>
  </si>
  <si>
    <t>Dataset Description</t>
  </si>
  <si>
    <t>Dataset Class</t>
  </si>
  <si>
    <t>Dataset Structure</t>
  </si>
  <si>
    <t>Dataset Purpose</t>
  </si>
  <si>
    <t>Dataset Keys</t>
  </si>
  <si>
    <t>Dataset Location</t>
  </si>
  <si>
    <t>Dataset Documentation</t>
  </si>
  <si>
    <t>Variable Label</t>
  </si>
  <si>
    <t>Controlled Terms, Codelist or Format</t>
  </si>
  <si>
    <t>Role</t>
  </si>
  <si>
    <t>CDISC Notes</t>
  </si>
  <si>
    <t>Core</t>
  </si>
  <si>
    <t>Variable Type</t>
  </si>
  <si>
    <t>Variable Order</t>
  </si>
  <si>
    <t>Origin</t>
  </si>
  <si>
    <t>Variable Length</t>
  </si>
  <si>
    <t>Derivations</t>
  </si>
  <si>
    <t>Comments</t>
  </si>
  <si>
    <t>Raw Datasets Used</t>
  </si>
  <si>
    <t>SDTM Datasets Used</t>
  </si>
  <si>
    <t>Program Location</t>
  </si>
  <si>
    <t>file path</t>
  </si>
  <si>
    <t>STUDYID</t>
  </si>
  <si>
    <t>Study Identifier</t>
  </si>
  <si>
    <t>Char</t>
  </si>
  <si>
    <t>Identifier</t>
  </si>
  <si>
    <t>Protocol</t>
  </si>
  <si>
    <r>
      <t>STUDYID="</t>
    </r>
    <r>
      <rPr>
        <i/>
        <sz val="10"/>
        <color rgb="FF4472C4"/>
        <rFont val="Helvetica Neue"/>
      </rPr>
      <t>Insert protocol number</t>
    </r>
    <r>
      <rPr>
        <sz val="10"/>
        <color theme="1"/>
        <rFont val="Helvetica Neue"/>
      </rPr>
      <t>"</t>
    </r>
  </si>
  <si>
    <t>Unique identifier for a study.</t>
  </si>
  <si>
    <t>Req</t>
  </si>
  <si>
    <t>DOMAIN</t>
  </si>
  <si>
    <t>Domain Abbreviation</t>
  </si>
  <si>
    <t>OID</t>
  </si>
  <si>
    <t>Name
(CDISC Submission Value)</t>
  </si>
  <si>
    <t>DataType Extensible</t>
  </si>
  <si>
    <t>NCI Code</t>
  </si>
  <si>
    <t>CDISC Synonym</t>
  </si>
  <si>
    <t>CDISC Definition</t>
  </si>
  <si>
    <t>Preferred Term</t>
  </si>
  <si>
    <t>SDTM Domain Abbreviation
(DOMAIN)</t>
  </si>
  <si>
    <t>Yes</t>
  </si>
  <si>
    <t>C66734</t>
  </si>
  <si>
    <t>SDTM Domain Abbreviation</t>
  </si>
  <si>
    <t>A unique, 2-character domain code used in the regulatory submission process. The domain abbreviation is used consistently throughout the submission, i.e. in the dataset name, as the value of the domain variable within the dataset, and as a prefix for most variable names in the dataset. (CDISC Glossary)</t>
  </si>
  <si>
    <t>CDISC SDTM Submission Domain Abbreviation Terminology</t>
  </si>
  <si>
    <t>CL.C66734.DOMAIN</t>
  </si>
  <si>
    <t>C49618</t>
  </si>
  <si>
    <t>A trial design domain that contains each planned arm in the trial.</t>
  </si>
  <si>
    <t>Trial Arms Domain</t>
  </si>
  <si>
    <t>First Level</t>
  </si>
  <si>
    <t>Second level</t>
  </si>
  <si>
    <t>Assigned</t>
  </si>
  <si>
    <t>DOMAIN="TA"</t>
  </si>
  <si>
    <t>Two-character abbreviation for the domain.</t>
  </si>
  <si>
    <t>ARMCD</t>
  </si>
  <si>
    <t>Planned Arm Code</t>
  </si>
  <si>
    <t>*</t>
  </si>
  <si>
    <t>Topic</t>
  </si>
  <si>
    <t>ARMCD is limited to 20 characters and does not have special character restrictions. The maximum length of ARMCD is longer than that for other "short" variables to accommodate the kind of values that are likely to be needed for crossover trials. For example, if ARMCD values for a 7-period crossover were constructed using 2-character abbreviations for each treatment and separating hyphens, the length of ARMCD values would be 20.</t>
  </si>
  <si>
    <t>ARM</t>
  </si>
  <si>
    <t>Description of Planned Arm</t>
  </si>
  <si>
    <t>Synonym Qualifier</t>
  </si>
  <si>
    <t>Insert number of characters from the protocol number</t>
  </si>
  <si>
    <t>Insert number of characters from maximum length of the planned arm code</t>
  </si>
  <si>
    <t>Insert number of characters from maximum length of the description of planned arm</t>
  </si>
  <si>
    <t>Create a record for each planned arm code for each element</t>
  </si>
  <si>
    <t>Create a record to describe each planned arm code for each element</t>
  </si>
  <si>
    <t xml:space="preserve">Name given to an arm or treatment group. </t>
  </si>
  <si>
    <t>TAETORD</t>
  </si>
  <si>
    <t>Planned Order of Element within Arm</t>
  </si>
  <si>
    <t>Num</t>
  </si>
  <si>
    <t>Timing</t>
  </si>
  <si>
    <t>Number that gives the order of the element within the arm.</t>
  </si>
  <si>
    <t>Create a chronological record for each element code</t>
  </si>
  <si>
    <t>ETCD</t>
  </si>
  <si>
    <t>Element Code</t>
  </si>
  <si>
    <t>Record Qualifier</t>
  </si>
  <si>
    <t>Insert number of characters from maximum length of the element code</t>
  </si>
  <si>
    <t>ETCD (the companion to ELEMENT) is limited to 8 characters and does not have special character restrictions. These values should be short for ease of use in programming, but it is not expected that ETCD will need to serve as a variable name.</t>
  </si>
  <si>
    <t>Create a record for each element code (for example for screening, treatment and follow-up)</t>
  </si>
  <si>
    <t>ELEMENT</t>
  </si>
  <si>
    <t>Description of Element</t>
  </si>
  <si>
    <t>The name of the element. The same element may occur more
than once within an arm.</t>
  </si>
  <si>
    <t>Perm</t>
  </si>
  <si>
    <t>Insert number of characters from maximum length of the element</t>
  </si>
  <si>
    <t>Create a record to describe each element code</t>
  </si>
  <si>
    <t>TABRANCH</t>
  </si>
  <si>
    <t>TATRANS</t>
  </si>
  <si>
    <t>EPOCH</t>
  </si>
  <si>
    <t>Branch</t>
  </si>
  <si>
    <t>Transition Rule</t>
  </si>
  <si>
    <t>Epoch</t>
  </si>
  <si>
    <t>Rule</t>
  </si>
  <si>
    <t>Condition subject met, at a "branch" in the trial design at the end of this element, to be included in this arm (e.g., "Randomization to DRUG X").</t>
  </si>
  <si>
    <t>If the trial design allows a subject to transition to an element other than the next element in sequence, then the conditions for transitioning to those other elements, and the alternative element sequences, are specified in this rule (e.g., "Responders go to washout").</t>
  </si>
  <si>
    <t>Exp</t>
  </si>
  <si>
    <t>Name of the trial epoch with which this element of the arm is associated.</t>
  </si>
  <si>
    <t>CL.C99079.EPOCH</t>
  </si>
  <si>
    <t>Epoch
(EPOCH)</t>
  </si>
  <si>
    <t>The name of the EPOCH.</t>
  </si>
  <si>
    <t>CDISC SDTM Epoch Terminology</t>
  </si>
  <si>
    <t>C125938</t>
  </si>
  <si>
    <t>C102255</t>
  </si>
  <si>
    <t>C123452</t>
  </si>
  <si>
    <t>C99158</t>
  </si>
  <si>
    <t>C123453</t>
  </si>
  <si>
    <t>C16032</t>
  </si>
  <si>
    <t>C165873</t>
  </si>
  <si>
    <t>C102256</t>
  </si>
  <si>
    <t>C98779</t>
  </si>
  <si>
    <t>C48262</t>
  </si>
  <si>
    <t>C101526</t>
  </si>
  <si>
    <t>C42872</t>
  </si>
  <si>
    <t>BASELINE</t>
  </si>
  <si>
    <t>BLINDED TREATMENT</t>
  </si>
  <si>
    <t>CONTINUATION TREATMENT</t>
  </si>
  <si>
    <t>FOLLOW-UP</t>
  </si>
  <si>
    <t>INDUCTION TREATMENT</t>
  </si>
  <si>
    <t>LONG-TERM FOLLOW-UP</t>
  </si>
  <si>
    <t>OBSERVATION</t>
  </si>
  <si>
    <t>OPEN LABEL TREATMENT</t>
  </si>
  <si>
    <t>RUN-IN</t>
  </si>
  <si>
    <t>SCREENING</t>
  </si>
  <si>
    <t>TREATMENT</t>
  </si>
  <si>
    <t>WASHOUT</t>
  </si>
  <si>
    <t>A period in a clinical study after eligibility has been met and before the start of treatment, at which baseline measurements are collected.</t>
  </si>
  <si>
    <t>Baseline Epoch</t>
  </si>
  <si>
    <t>A period in a clinical study during which subjects receive blinded therapeutic treatment.</t>
  </si>
  <si>
    <t>Blinded Treatment Epoch</t>
  </si>
  <si>
    <t>Continuation Phase</t>
  </si>
  <si>
    <t>A period in a clinical study during which subjects receive continuation treatment.</t>
  </si>
  <si>
    <t>Continuation Therapy Epoch</t>
  </si>
  <si>
    <t>A period in a clinical study during which information about the health status of an individual is obtained after study interventions have concluded.</t>
  </si>
  <si>
    <t>Clinical Study Follow-up</t>
  </si>
  <si>
    <t>Induction Phase; Intensive Phase</t>
  </si>
  <si>
    <t>A period in a clinical study during which subjects receive induction treatment.</t>
  </si>
  <si>
    <t>Induction Therapy Epoch</t>
  </si>
  <si>
    <t>A period in a clinical study during which information about the health status of an individual is obtained long after study interventions have concluded.</t>
  </si>
  <si>
    <t>Long-term Follow-up</t>
  </si>
  <si>
    <t>A period in a clinical study during which subjects are observed, without any planned intervention.</t>
  </si>
  <si>
    <t>Observation Study Epoch</t>
  </si>
  <si>
    <t>A period in a clinical study during which subjects receive open label therapeutic treatment.</t>
  </si>
  <si>
    <t>Open Label Treatment Epoch</t>
  </si>
  <si>
    <t>A period in a clinical study that occurs before the commencement of the primary clinical study investigation, during which subjects may be assessed for suitability in the clinical study, withdrawn from existing therapy, trained in study methodology or evaluated for any other protocol-specified reason.</t>
  </si>
  <si>
    <t>Run-in Period</t>
  </si>
  <si>
    <t>A period in a clinical study during which subjects are evaluated for participation in the study.</t>
  </si>
  <si>
    <t>Trial Screening</t>
  </si>
  <si>
    <t>A period in a study during which subjects are receiving investigational therapy or treatment.</t>
  </si>
  <si>
    <t>Treatment Epoch</t>
  </si>
  <si>
    <t>A period of time during a study when a subject is taken off of the investigational therapy or treatment in order to reduce the amount of investigational product within the body.</t>
  </si>
  <si>
    <t>Washout Period</t>
  </si>
  <si>
    <t>C99079</t>
  </si>
  <si>
    <t>Insert number of characters from maximum length of the branch</t>
  </si>
  <si>
    <t>Insert number of characters from maximum length of the transition rule</t>
  </si>
  <si>
    <t>Insert number of characters from maximum length of the epoch</t>
  </si>
  <si>
    <t>Create a record for each outcoume of a branch decision point in the trial design for subjects in the arm</t>
  </si>
  <si>
    <t>Create record only if transition to element are not sequential</t>
  </si>
  <si>
    <t>Create record matching the best with the allowable extensible codelist</t>
  </si>
  <si>
    <t>If any, list all raw datasets to be used for the dataset creation</t>
  </si>
  <si>
    <t>If any, list all SDTM datasets to be used for the dataset creation</t>
  </si>
  <si>
    <t>SDTMIG Section</t>
  </si>
  <si>
    <t>https://www.cdisc.org/system/files/members/standard/foundational/SDTMIG%20v3.4-FINAL_2022-07-21.pdf#page=384</t>
  </si>
  <si>
    <t>TE</t>
  </si>
  <si>
    <t>Trial Elements</t>
  </si>
  <si>
    <t>One record per planned Element</t>
  </si>
  <si>
    <t>STUDYID, ETCD</t>
  </si>
  <si>
    <t>te.xpt</t>
  </si>
  <si>
    <t>https://www.cdisc.org/system/files/members/standard/foundational/SDTMIG%20v3.4-FINAL_2022-07-21.pdf#page=402</t>
  </si>
  <si>
    <t>TESTRL</t>
  </si>
  <si>
    <t>TEENRL</t>
  </si>
  <si>
    <t>TEDUR</t>
  </si>
  <si>
    <t>Rule for Start of Element</t>
  </si>
  <si>
    <t>Rule for End of Element</t>
  </si>
  <si>
    <t>Planned Duration of Element</t>
  </si>
  <si>
    <t>ISO 8601 duration</t>
  </si>
  <si>
    <t>ETCD (the companion to ELEMENT) is limited to 8 characters and does not have special character restrictions.
These values should be short for ease of use in programming, but it is not expected that ETCD will need to serve as a variable name.</t>
  </si>
  <si>
    <t>The name of the element.</t>
  </si>
  <si>
    <t>Describes condition for beginning element.</t>
  </si>
  <si>
    <t>Describes condition for ending element. Either TEENRL or TEDUR must be present for each element.</t>
  </si>
  <si>
    <t>Planned duration of element in ISO 8601 format. Used when the rule for ending the element is applied after a fixed duration.</t>
  </si>
  <si>
    <t>A trial design domain that contains the element code that is unique for each element, the element description, and the rules for starting and ending an element.</t>
  </si>
  <si>
    <t>Trial Elements Domain</t>
  </si>
  <si>
    <t>C49619</t>
  </si>
  <si>
    <t>First release: 27-Feb-2023 - Last modification: 27-Feb-2023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</si>
</sst>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i/>
      <sz val="10"/>
      <color rgb="FF4472C4"/>
      <name val="Helvetica Neue"/>
    </font>
    <font>
      <i/>
      <sz val="16"/>
      <color rgb="FF4472C4"/>
      <name val="Helvetica Neue"/>
    </font>
    <font>
      <sz val="10"/>
      <color theme="1"/>
      <name val="Helvetica Neue"/>
    </font>
    <font>
      <sz val="11"/>
      <color theme="1"/>
      <name val="Helvetica Neue"/>
    </font>
    <font>
      <b/>
      <sz val="16"/>
      <color theme="1"/>
      <name val="Helvetica Neue"/>
    </font>
    <font>
      <sz val="10"/>
      <name val="Helvetica Neue"/>
    </font>
    <font>
      <u/>
      <sz val="11"/>
      <color theme="10"/>
      <name val="Calibri"/>
      <family val="2"/>
      <scheme val="minor"/>
    </font>
    <font>
      <b/>
      <sz val="11"/>
      <color theme="0"/>
      <name val="Helvetica Neue"/>
    </font>
    <font>
      <b/>
      <sz val="10"/>
      <color theme="0"/>
      <name val="Helvetica Neue"/>
    </font>
    <font>
      <u/>
      <sz val="10"/>
      <color theme="10"/>
      <name val="Helvetica Neue"/>
    </font>
    <font>
      <u/>
      <sz val="10"/>
      <name val="Helvetica Neue"/>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7" fillId="0" borderId="0" applyNumberFormat="0" applyFill="0" applyBorder="0" applyAlignment="0" applyProtection="0"/>
  </cellStyleXfs>
  <cellXfs count="27">
    <xf numFmtId="0" fontId="0" fillId="0" borderId="0" xfId="0"/>
    <xf numFmtId="0" fontId="2"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left" vertical="center" wrapText="1"/>
    </xf>
    <xf numFmtId="0" fontId="4" fillId="0" borderId="0" xfId="0" applyFont="1" applyAlignment="1">
      <alignment wrapText="1"/>
    </xf>
    <xf numFmtId="0" fontId="3" fillId="0" borderId="1" xfId="0" applyFont="1" applyBorder="1" applyAlignment="1">
      <alignment horizontal="center" vertical="center" wrapText="1"/>
    </xf>
    <xf numFmtId="0" fontId="3" fillId="0" borderId="0" xfId="0" applyFont="1" applyAlignment="1">
      <alignment horizontal="center" vertical="center" wrapText="1"/>
    </xf>
    <xf numFmtId="0" fontId="1" fillId="0" borderId="1" xfId="0" applyFont="1" applyBorder="1" applyAlignment="1">
      <alignment horizontal="left" vertical="top" wrapText="1"/>
    </xf>
    <xf numFmtId="0" fontId="3" fillId="0" borderId="0" xfId="0" applyFont="1" applyAlignment="1">
      <alignment horizontal="left" vertical="top" wrapText="1"/>
    </xf>
    <xf numFmtId="0" fontId="4" fillId="0" borderId="0" xfId="0" applyFont="1"/>
    <xf numFmtId="0" fontId="3" fillId="0" borderId="0" xfId="0" applyFont="1" applyAlignment="1">
      <alignment horizontal="left" vertical="top"/>
    </xf>
    <xf numFmtId="0" fontId="3" fillId="0" borderId="0" xfId="0" applyFont="1" applyAlignment="1">
      <alignment horizontal="center" vertical="top" wrapText="1"/>
    </xf>
    <xf numFmtId="0" fontId="8" fillId="2" borderId="1" xfId="0" applyFont="1" applyFill="1" applyBorder="1" applyAlignment="1">
      <alignment wrapText="1"/>
    </xf>
    <xf numFmtId="0" fontId="9" fillId="2" borderId="1" xfId="0" applyFont="1" applyFill="1" applyBorder="1" applyAlignment="1">
      <alignment horizontal="left" vertical="top" wrapText="1"/>
    </xf>
    <xf numFmtId="0" fontId="3" fillId="0" borderId="1" xfId="0" applyFont="1" applyBorder="1" applyAlignment="1">
      <alignment horizontal="left" vertical="top" wrapText="1"/>
    </xf>
    <xf numFmtId="0" fontId="9" fillId="2" borderId="1" xfId="0" applyFont="1" applyFill="1" applyBorder="1" applyAlignment="1">
      <alignment horizontal="left" vertical="top"/>
    </xf>
    <xf numFmtId="0" fontId="7" fillId="0" borderId="1" xfId="1" applyBorder="1" applyAlignment="1">
      <alignment horizontal="left" vertical="top" wrapText="1"/>
    </xf>
    <xf numFmtId="0" fontId="10" fillId="0" borderId="1" xfId="1" applyFont="1" applyBorder="1" applyAlignment="1">
      <alignment horizontal="left" vertical="top" wrapText="1"/>
    </xf>
    <xf numFmtId="0" fontId="1" fillId="0" borderId="1" xfId="0" applyFont="1" applyBorder="1" applyAlignment="1">
      <alignment horizontal="left" vertical="top" wrapText="1"/>
    </xf>
    <xf numFmtId="0" fontId="6" fillId="0" borderId="1" xfId="0" applyFont="1" applyBorder="1" applyAlignment="1">
      <alignment horizontal="left" vertical="top" wrapText="1"/>
    </xf>
    <xf numFmtId="0" fontId="5" fillId="0" borderId="0" xfId="0" applyFont="1" applyAlignment="1">
      <alignment horizontal="center" vertical="center" wrapText="1"/>
    </xf>
    <xf numFmtId="0" fontId="9" fillId="2" borderId="1" xfId="0" applyFont="1" applyFill="1" applyBorder="1" applyAlignment="1">
      <alignment horizontal="center" vertical="top" wrapText="1"/>
    </xf>
    <xf numFmtId="0" fontId="3" fillId="0" borderId="1" xfId="0" applyFont="1" applyBorder="1" applyAlignment="1">
      <alignment vertical="top"/>
    </xf>
    <xf numFmtId="0" fontId="1" fillId="0" borderId="1" xfId="0" applyFont="1" applyBorder="1" applyAlignment="1">
      <alignment vertical="top"/>
    </xf>
    <xf numFmtId="0" fontId="11" fillId="0" borderId="1" xfId="1" applyFont="1" applyBorder="1" applyAlignment="1">
      <alignment vertical="top"/>
    </xf>
    <xf numFmtId="0" fontId="6" fillId="0" borderId="1" xfId="0" applyFont="1" applyBorder="1" applyAlignment="1">
      <alignment vertical="top"/>
    </xf>
    <xf numFmtId="0" fontId="10" fillId="0" borderId="1" xfId="1" applyFont="1" applyBorder="1" applyAlignment="1">
      <alignment vertical="top"/>
    </xf>
  </cellXfs>
  <cellStyles count="2">
    <cellStyle name="Hyperlink" xfId="1" builtinId="8"/>
    <cellStyle name="Normal" xfId="0" builtinId="0"/>
  </cellStyles>
  <dxfs count="0"/>
  <tableStyles count="0" defaultTableStyle="TableStyleMedium2" defaultPivotStyle="PivotStyleLight16"/>
  <colors>
    <mruColors>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cdisc.org/system/files/members/standard/foundational/SDTMIG%20v3.4-FINAL_2022-07-21.pdf"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cdisc.org/system/files/members/standard/foundational/SDTMIG%20v3.4-FINAL_2022-07-2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49A5D-EBAB-494B-8DFA-E1E6F8D42B93}">
  <sheetPr codeName="Sheet1"/>
  <dimension ref="A1:A7"/>
  <sheetViews>
    <sheetView showGridLines="0" tabSelected="1" workbookViewId="0"/>
  </sheetViews>
  <sheetFormatPr defaultRowHeight="13.8"/>
  <cols>
    <col min="1" max="1" width="133.33203125" style="4" customWidth="1"/>
    <col min="2" max="16384" width="8.88671875" style="9"/>
  </cols>
  <sheetData>
    <row r="1" spans="1:1" ht="20.399999999999999">
      <c r="A1" s="1" t="s">
        <v>0</v>
      </c>
    </row>
    <row r="2" spans="1:1">
      <c r="A2" s="2"/>
    </row>
    <row r="3" spans="1:1">
      <c r="A3" s="2" t="s">
        <v>1</v>
      </c>
    </row>
    <row r="4" spans="1:1">
      <c r="A4" s="2"/>
    </row>
    <row r="5" spans="1:1">
      <c r="A5" s="2" t="s">
        <v>217</v>
      </c>
    </row>
    <row r="6" spans="1:1">
      <c r="A6" s="2"/>
    </row>
    <row r="7" spans="1:1" ht="39.6">
      <c r="A7" s="3" t="s">
        <v>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49FC2-0AB4-4F81-84FE-59DCFC503A18}">
  <sheetPr codeName="Sheet2"/>
  <dimension ref="A1:C13"/>
  <sheetViews>
    <sheetView showGridLines="0" workbookViewId="0"/>
  </sheetViews>
  <sheetFormatPr defaultRowHeight="13.8"/>
  <cols>
    <col min="1" max="3" width="44.44140625" style="4" customWidth="1"/>
    <col min="4" max="16384" width="8.88671875" style="4"/>
  </cols>
  <sheetData>
    <row r="1" spans="1:3" ht="56.4" customHeight="1">
      <c r="B1" s="5" t="s">
        <v>3</v>
      </c>
    </row>
    <row r="2" spans="1:3">
      <c r="B2" s="6"/>
    </row>
    <row r="3" spans="1:3" ht="21">
      <c r="A3" s="20" t="s">
        <v>4</v>
      </c>
      <c r="B3" s="20"/>
      <c r="C3" s="20"/>
    </row>
    <row r="4" spans="1:3">
      <c r="B4" s="6"/>
    </row>
    <row r="5" spans="1:3">
      <c r="A5" s="12" t="s">
        <v>5</v>
      </c>
      <c r="B5" s="18" t="s">
        <v>13</v>
      </c>
      <c r="C5" s="18"/>
    </row>
    <row r="6" spans="1:3">
      <c r="A6" s="12" t="s">
        <v>6</v>
      </c>
      <c r="B6" s="18" t="s">
        <v>14</v>
      </c>
      <c r="C6" s="18"/>
    </row>
    <row r="7" spans="1:3" ht="27.6">
      <c r="A7" s="12" t="s">
        <v>7</v>
      </c>
      <c r="B7" s="18" t="s">
        <v>15</v>
      </c>
      <c r="C7" s="18"/>
    </row>
    <row r="8" spans="1:3">
      <c r="A8" s="12" t="s">
        <v>21</v>
      </c>
      <c r="B8" s="19" t="s">
        <v>22</v>
      </c>
      <c r="C8" s="19"/>
    </row>
    <row r="9" spans="1:3">
      <c r="A9" s="12" t="s">
        <v>8</v>
      </c>
      <c r="B9" s="18" t="s">
        <v>16</v>
      </c>
      <c r="C9" s="18"/>
    </row>
    <row r="10" spans="1:3">
      <c r="A10" s="12" t="s">
        <v>9</v>
      </c>
      <c r="B10" s="18" t="s">
        <v>17</v>
      </c>
      <c r="C10" s="18"/>
    </row>
    <row r="11" spans="1:3">
      <c r="A11" s="12" t="s">
        <v>10</v>
      </c>
      <c r="B11" s="18" t="s">
        <v>18</v>
      </c>
      <c r="C11" s="18"/>
    </row>
    <row r="12" spans="1:3">
      <c r="A12" s="12" t="s">
        <v>11</v>
      </c>
      <c r="B12" s="18" t="s">
        <v>19</v>
      </c>
      <c r="C12" s="18"/>
    </row>
    <row r="13" spans="1:3">
      <c r="A13" s="12" t="s">
        <v>12</v>
      </c>
      <c r="B13" s="18" t="s">
        <v>20</v>
      </c>
      <c r="C13" s="18"/>
    </row>
  </sheetData>
  <mergeCells count="10">
    <mergeCell ref="B11:C11"/>
    <mergeCell ref="B12:C12"/>
    <mergeCell ref="B13:C13"/>
    <mergeCell ref="B8:C8"/>
    <mergeCell ref="A3:C3"/>
    <mergeCell ref="B5:C5"/>
    <mergeCell ref="B6:C6"/>
    <mergeCell ref="B7:C7"/>
    <mergeCell ref="B9:C9"/>
    <mergeCell ref="B10:C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D02E5-71C1-48BE-B849-D3724D1BC169}">
  <sheetPr codeName="Sheet3"/>
  <dimension ref="A1:J3"/>
  <sheetViews>
    <sheetView showGridLines="0" workbookViewId="0">
      <pane ySplit="1" topLeftCell="A2" activePane="bottomLeft" state="frozen"/>
      <selection pane="bottomLeft" activeCell="A2" sqref="A2"/>
    </sheetView>
  </sheetViews>
  <sheetFormatPr defaultRowHeight="13.2"/>
  <cols>
    <col min="1" max="1" width="8.33203125" style="8" bestFit="1" customWidth="1"/>
    <col min="2" max="2" width="8.33203125" style="8" customWidth="1"/>
    <col min="3" max="3" width="33.33203125" style="8" customWidth="1"/>
    <col min="4" max="4" width="16.6640625" style="8" customWidth="1"/>
    <col min="5" max="5" width="33.33203125" style="8" customWidth="1"/>
    <col min="6" max="6" width="16.6640625" style="8" customWidth="1"/>
    <col min="7" max="10" width="33.33203125" style="8" customWidth="1"/>
    <col min="11" max="16384" width="8.88671875" style="8"/>
  </cols>
  <sheetData>
    <row r="1" spans="1:10" ht="26.4">
      <c r="A1" s="13" t="s">
        <v>23</v>
      </c>
      <c r="B1" s="13" t="s">
        <v>33</v>
      </c>
      <c r="C1" s="13" t="s">
        <v>34</v>
      </c>
      <c r="D1" s="13" t="s">
        <v>35</v>
      </c>
      <c r="E1" s="13" t="s">
        <v>36</v>
      </c>
      <c r="F1" s="13" t="s">
        <v>37</v>
      </c>
      <c r="G1" s="13" t="s">
        <v>38</v>
      </c>
      <c r="H1" s="13" t="s">
        <v>39</v>
      </c>
      <c r="I1" s="13" t="s">
        <v>54</v>
      </c>
      <c r="J1" s="13" t="s">
        <v>40</v>
      </c>
    </row>
    <row r="2" spans="1:10" ht="26.4">
      <c r="A2" s="14">
        <v>1</v>
      </c>
      <c r="B2" s="14" t="s">
        <v>26</v>
      </c>
      <c r="C2" s="14" t="s">
        <v>27</v>
      </c>
      <c r="D2" s="14" t="s">
        <v>24</v>
      </c>
      <c r="E2" s="14" t="s">
        <v>28</v>
      </c>
      <c r="F2" s="14" t="s">
        <v>25</v>
      </c>
      <c r="G2" s="14" t="s">
        <v>30</v>
      </c>
      <c r="H2" s="14" t="s">
        <v>29</v>
      </c>
      <c r="I2" s="14" t="s">
        <v>55</v>
      </c>
      <c r="J2" s="14"/>
    </row>
    <row r="3" spans="1:10">
      <c r="A3" s="14">
        <v>2</v>
      </c>
      <c r="B3" s="14" t="s">
        <v>196</v>
      </c>
      <c r="C3" s="14" t="s">
        <v>197</v>
      </c>
      <c r="D3" s="14" t="s">
        <v>24</v>
      </c>
      <c r="E3" s="14" t="s">
        <v>198</v>
      </c>
      <c r="F3" s="14" t="s">
        <v>25</v>
      </c>
      <c r="G3" s="14" t="s">
        <v>199</v>
      </c>
      <c r="H3" s="14" t="s">
        <v>200</v>
      </c>
      <c r="I3" s="14" t="s">
        <v>55</v>
      </c>
      <c r="J3" s="14"/>
    </row>
  </sheetData>
  <autoFilter ref="A1:J1" xr:uid="{06FD02E5-71C1-48BE-B849-D3724D1BC16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26A67-EC33-4B60-8C93-4DE7C27A55AF}">
  <sheetPr codeName="Sheet5"/>
  <dimension ref="A1:L16"/>
  <sheetViews>
    <sheetView showGridLines="0" zoomScaleNormal="100" workbookViewId="0">
      <pane ySplit="2" topLeftCell="A3" activePane="bottomLeft" state="frozen"/>
      <selection pane="bottomLeft" activeCell="A3" sqref="A3"/>
    </sheetView>
  </sheetViews>
  <sheetFormatPr defaultRowHeight="13.2"/>
  <cols>
    <col min="1" max="5" width="16.6640625" style="8" customWidth="1"/>
    <col min="6" max="6" width="50" style="8" customWidth="1"/>
    <col min="7" max="10" width="16.6640625" style="8" customWidth="1"/>
    <col min="11" max="11" width="50" style="8" customWidth="1"/>
    <col min="12" max="12" width="16.6640625" style="8" customWidth="1"/>
    <col min="13" max="16384" width="8.88671875" style="8"/>
  </cols>
  <sheetData>
    <row r="1" spans="1:12" s="11" customFormat="1">
      <c r="A1" s="21" t="s">
        <v>83</v>
      </c>
      <c r="B1" s="21"/>
      <c r="C1" s="21"/>
      <c r="D1" s="21"/>
      <c r="E1" s="21"/>
      <c r="F1" s="21"/>
      <c r="G1" s="21"/>
      <c r="H1" s="21" t="s">
        <v>84</v>
      </c>
      <c r="I1" s="21"/>
      <c r="J1" s="21"/>
      <c r="K1" s="21"/>
      <c r="L1" s="21"/>
    </row>
    <row r="2" spans="1:12" ht="52.8">
      <c r="A2" s="13" t="s">
        <v>66</v>
      </c>
      <c r="B2" s="13" t="s">
        <v>67</v>
      </c>
      <c r="C2" s="13" t="s">
        <v>68</v>
      </c>
      <c r="D2" s="13" t="s">
        <v>69</v>
      </c>
      <c r="E2" s="13" t="s">
        <v>70</v>
      </c>
      <c r="F2" s="13" t="s">
        <v>71</v>
      </c>
      <c r="G2" s="13" t="s">
        <v>72</v>
      </c>
      <c r="H2" s="13" t="s">
        <v>67</v>
      </c>
      <c r="I2" s="13" t="s">
        <v>69</v>
      </c>
      <c r="J2" s="13" t="s">
        <v>70</v>
      </c>
      <c r="K2" s="13" t="s">
        <v>71</v>
      </c>
      <c r="L2" s="13" t="s">
        <v>72</v>
      </c>
    </row>
    <row r="3" spans="1:12" ht="79.2">
      <c r="A3" s="14" t="s">
        <v>79</v>
      </c>
      <c r="B3" s="14" t="s">
        <v>73</v>
      </c>
      <c r="C3" s="14" t="s">
        <v>74</v>
      </c>
      <c r="D3" s="14" t="s">
        <v>75</v>
      </c>
      <c r="E3" s="14" t="s">
        <v>76</v>
      </c>
      <c r="F3" s="14" t="s">
        <v>77</v>
      </c>
      <c r="G3" s="14" t="s">
        <v>78</v>
      </c>
      <c r="H3" s="14" t="s">
        <v>26</v>
      </c>
      <c r="I3" s="14" t="s">
        <v>80</v>
      </c>
      <c r="J3" s="14" t="s">
        <v>27</v>
      </c>
      <c r="K3" s="14" t="s">
        <v>81</v>
      </c>
      <c r="L3" s="14" t="s">
        <v>82</v>
      </c>
    </row>
    <row r="4" spans="1:12" ht="79.2">
      <c r="A4" s="14" t="s">
        <v>79</v>
      </c>
      <c r="B4" s="14" t="s">
        <v>73</v>
      </c>
      <c r="C4" s="14" t="s">
        <v>74</v>
      </c>
      <c r="D4" s="14" t="s">
        <v>75</v>
      </c>
      <c r="E4" s="14" t="s">
        <v>76</v>
      </c>
      <c r="F4" s="14" t="s">
        <v>77</v>
      </c>
      <c r="G4" s="14" t="s">
        <v>78</v>
      </c>
      <c r="H4" s="14" t="s">
        <v>196</v>
      </c>
      <c r="I4" s="14" t="s">
        <v>216</v>
      </c>
      <c r="J4" s="14" t="s">
        <v>197</v>
      </c>
      <c r="K4" s="14" t="s">
        <v>214</v>
      </c>
      <c r="L4" s="14" t="s">
        <v>215</v>
      </c>
    </row>
    <row r="5" spans="1:12" ht="39.6">
      <c r="A5" s="14" t="s">
        <v>131</v>
      </c>
      <c r="B5" s="14" t="s">
        <v>132</v>
      </c>
      <c r="C5" s="14" t="s">
        <v>74</v>
      </c>
      <c r="D5" s="14" t="s">
        <v>185</v>
      </c>
      <c r="E5" s="14" t="s">
        <v>125</v>
      </c>
      <c r="F5" s="14" t="s">
        <v>133</v>
      </c>
      <c r="G5" s="14" t="s">
        <v>134</v>
      </c>
      <c r="H5" s="14" t="s">
        <v>147</v>
      </c>
      <c r="I5" s="14" t="s">
        <v>135</v>
      </c>
      <c r="J5" s="14"/>
      <c r="K5" s="14" t="s">
        <v>159</v>
      </c>
      <c r="L5" s="14" t="s">
        <v>160</v>
      </c>
    </row>
    <row r="6" spans="1:12" ht="39.6">
      <c r="A6" s="14" t="s">
        <v>131</v>
      </c>
      <c r="B6" s="14" t="s">
        <v>132</v>
      </c>
      <c r="C6" s="14" t="s">
        <v>74</v>
      </c>
      <c r="D6" s="14" t="s">
        <v>185</v>
      </c>
      <c r="E6" s="14" t="s">
        <v>125</v>
      </c>
      <c r="F6" s="14" t="s">
        <v>133</v>
      </c>
      <c r="G6" s="14" t="s">
        <v>134</v>
      </c>
      <c r="H6" s="14" t="s">
        <v>148</v>
      </c>
      <c r="I6" s="14" t="s">
        <v>136</v>
      </c>
      <c r="J6" s="14"/>
      <c r="K6" s="14" t="s">
        <v>161</v>
      </c>
      <c r="L6" s="14" t="s">
        <v>162</v>
      </c>
    </row>
    <row r="7" spans="1:12" ht="39.6">
      <c r="A7" s="14" t="s">
        <v>131</v>
      </c>
      <c r="B7" s="14" t="s">
        <v>132</v>
      </c>
      <c r="C7" s="14" t="s">
        <v>74</v>
      </c>
      <c r="D7" s="14" t="s">
        <v>185</v>
      </c>
      <c r="E7" s="14" t="s">
        <v>125</v>
      </c>
      <c r="F7" s="14" t="s">
        <v>133</v>
      </c>
      <c r="G7" s="14" t="s">
        <v>134</v>
      </c>
      <c r="H7" s="14" t="s">
        <v>149</v>
      </c>
      <c r="I7" s="14" t="s">
        <v>137</v>
      </c>
      <c r="J7" s="14" t="s">
        <v>163</v>
      </c>
      <c r="K7" s="14" t="s">
        <v>164</v>
      </c>
      <c r="L7" s="14" t="s">
        <v>165</v>
      </c>
    </row>
    <row r="8" spans="1:12" ht="39.6">
      <c r="A8" s="14" t="s">
        <v>131</v>
      </c>
      <c r="B8" s="14" t="s">
        <v>132</v>
      </c>
      <c r="C8" s="14" t="s">
        <v>74</v>
      </c>
      <c r="D8" s="14" t="s">
        <v>185</v>
      </c>
      <c r="E8" s="14" t="s">
        <v>125</v>
      </c>
      <c r="F8" s="14" t="s">
        <v>133</v>
      </c>
      <c r="G8" s="14" t="s">
        <v>134</v>
      </c>
      <c r="H8" s="14" t="s">
        <v>150</v>
      </c>
      <c r="I8" s="14" t="s">
        <v>138</v>
      </c>
      <c r="J8" s="14"/>
      <c r="K8" s="14" t="s">
        <v>166</v>
      </c>
      <c r="L8" s="14" t="s">
        <v>167</v>
      </c>
    </row>
    <row r="9" spans="1:12" ht="39.6">
      <c r="A9" s="14" t="s">
        <v>131</v>
      </c>
      <c r="B9" s="14" t="s">
        <v>132</v>
      </c>
      <c r="C9" s="14" t="s">
        <v>74</v>
      </c>
      <c r="D9" s="14" t="s">
        <v>185</v>
      </c>
      <c r="E9" s="14" t="s">
        <v>125</v>
      </c>
      <c r="F9" s="14" t="s">
        <v>133</v>
      </c>
      <c r="G9" s="14" t="s">
        <v>134</v>
      </c>
      <c r="H9" s="14" t="s">
        <v>151</v>
      </c>
      <c r="I9" s="14" t="s">
        <v>139</v>
      </c>
      <c r="J9" s="14" t="s">
        <v>168</v>
      </c>
      <c r="K9" s="14" t="s">
        <v>169</v>
      </c>
      <c r="L9" s="14" t="s">
        <v>170</v>
      </c>
    </row>
    <row r="10" spans="1:12" ht="39.6">
      <c r="A10" s="14" t="s">
        <v>131</v>
      </c>
      <c r="B10" s="14" t="s">
        <v>132</v>
      </c>
      <c r="C10" s="14" t="s">
        <v>74</v>
      </c>
      <c r="D10" s="14" t="s">
        <v>185</v>
      </c>
      <c r="E10" s="14" t="s">
        <v>125</v>
      </c>
      <c r="F10" s="14" t="s">
        <v>133</v>
      </c>
      <c r="G10" s="14" t="s">
        <v>134</v>
      </c>
      <c r="H10" s="14" t="s">
        <v>152</v>
      </c>
      <c r="I10" s="14" t="s">
        <v>140</v>
      </c>
      <c r="J10" s="14"/>
      <c r="K10" s="14" t="s">
        <v>171</v>
      </c>
      <c r="L10" s="14" t="s">
        <v>172</v>
      </c>
    </row>
    <row r="11" spans="1:12" ht="39.6">
      <c r="A11" s="14" t="s">
        <v>131</v>
      </c>
      <c r="B11" s="14" t="s">
        <v>132</v>
      </c>
      <c r="C11" s="14" t="s">
        <v>74</v>
      </c>
      <c r="D11" s="14" t="s">
        <v>185</v>
      </c>
      <c r="E11" s="14" t="s">
        <v>125</v>
      </c>
      <c r="F11" s="14" t="s">
        <v>133</v>
      </c>
      <c r="G11" s="14" t="s">
        <v>134</v>
      </c>
      <c r="H11" s="14" t="s">
        <v>153</v>
      </c>
      <c r="I11" s="14" t="s">
        <v>141</v>
      </c>
      <c r="J11" s="14"/>
      <c r="K11" s="14" t="s">
        <v>173</v>
      </c>
      <c r="L11" s="14" t="s">
        <v>174</v>
      </c>
    </row>
    <row r="12" spans="1:12" ht="39.6">
      <c r="A12" s="14" t="s">
        <v>131</v>
      </c>
      <c r="B12" s="14" t="s">
        <v>132</v>
      </c>
      <c r="C12" s="14" t="s">
        <v>74</v>
      </c>
      <c r="D12" s="14" t="s">
        <v>185</v>
      </c>
      <c r="E12" s="14" t="s">
        <v>125</v>
      </c>
      <c r="F12" s="14" t="s">
        <v>133</v>
      </c>
      <c r="G12" s="14" t="s">
        <v>134</v>
      </c>
      <c r="H12" s="14" t="s">
        <v>154</v>
      </c>
      <c r="I12" s="14" t="s">
        <v>142</v>
      </c>
      <c r="J12" s="14"/>
      <c r="K12" s="14" t="s">
        <v>175</v>
      </c>
      <c r="L12" s="14" t="s">
        <v>176</v>
      </c>
    </row>
    <row r="13" spans="1:12" ht="79.2">
      <c r="A13" s="14" t="s">
        <v>131</v>
      </c>
      <c r="B13" s="14" t="s">
        <v>132</v>
      </c>
      <c r="C13" s="14" t="s">
        <v>74</v>
      </c>
      <c r="D13" s="14" t="s">
        <v>185</v>
      </c>
      <c r="E13" s="14" t="s">
        <v>125</v>
      </c>
      <c r="F13" s="14" t="s">
        <v>133</v>
      </c>
      <c r="G13" s="14" t="s">
        <v>134</v>
      </c>
      <c r="H13" s="14" t="s">
        <v>155</v>
      </c>
      <c r="I13" s="14" t="s">
        <v>143</v>
      </c>
      <c r="J13" s="14"/>
      <c r="K13" s="14" t="s">
        <v>177</v>
      </c>
      <c r="L13" s="14" t="s">
        <v>178</v>
      </c>
    </row>
    <row r="14" spans="1:12" ht="39.6">
      <c r="A14" s="14" t="s">
        <v>131</v>
      </c>
      <c r="B14" s="14" t="s">
        <v>132</v>
      </c>
      <c r="C14" s="14" t="s">
        <v>74</v>
      </c>
      <c r="D14" s="14" t="s">
        <v>185</v>
      </c>
      <c r="E14" s="14" t="s">
        <v>125</v>
      </c>
      <c r="F14" s="14" t="s">
        <v>133</v>
      </c>
      <c r="G14" s="14" t="s">
        <v>134</v>
      </c>
      <c r="H14" s="14" t="s">
        <v>156</v>
      </c>
      <c r="I14" s="14" t="s">
        <v>144</v>
      </c>
      <c r="J14" s="14"/>
      <c r="K14" s="14" t="s">
        <v>179</v>
      </c>
      <c r="L14" s="14" t="s">
        <v>180</v>
      </c>
    </row>
    <row r="15" spans="1:12" ht="39.6">
      <c r="A15" s="14" t="s">
        <v>131</v>
      </c>
      <c r="B15" s="14" t="s">
        <v>132</v>
      </c>
      <c r="C15" s="14" t="s">
        <v>74</v>
      </c>
      <c r="D15" s="14" t="s">
        <v>185</v>
      </c>
      <c r="E15" s="14" t="s">
        <v>125</v>
      </c>
      <c r="F15" s="14" t="s">
        <v>133</v>
      </c>
      <c r="G15" s="14" t="s">
        <v>134</v>
      </c>
      <c r="H15" s="14" t="s">
        <v>157</v>
      </c>
      <c r="I15" s="14" t="s">
        <v>145</v>
      </c>
      <c r="J15" s="14"/>
      <c r="K15" s="14" t="s">
        <v>181</v>
      </c>
      <c r="L15" s="14" t="s">
        <v>182</v>
      </c>
    </row>
    <row r="16" spans="1:12" ht="52.8">
      <c r="A16" s="14" t="s">
        <v>131</v>
      </c>
      <c r="B16" s="14" t="s">
        <v>132</v>
      </c>
      <c r="C16" s="14" t="s">
        <v>74</v>
      </c>
      <c r="D16" s="14" t="s">
        <v>185</v>
      </c>
      <c r="E16" s="14" t="s">
        <v>125</v>
      </c>
      <c r="F16" s="14" t="s">
        <v>133</v>
      </c>
      <c r="G16" s="14" t="s">
        <v>134</v>
      </c>
      <c r="H16" s="14" t="s">
        <v>158</v>
      </c>
      <c r="I16" s="14" t="s">
        <v>146</v>
      </c>
      <c r="J16" s="14"/>
      <c r="K16" s="14" t="s">
        <v>183</v>
      </c>
      <c r="L16" s="14" t="s">
        <v>184</v>
      </c>
    </row>
  </sheetData>
  <autoFilter ref="A2:L2" xr:uid="{30026A67-EC33-4B60-8C93-4DE7C27A55AF}"/>
  <mergeCells count="2">
    <mergeCell ref="H1:L1"/>
    <mergeCell ref="A1:G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16BDF-748C-41FF-8411-4EB62BE4D9FB}">
  <sheetPr codeName="Sheet4"/>
  <dimension ref="A1:M23"/>
  <sheetViews>
    <sheetView showGridLines="0" workbookViewId="0"/>
  </sheetViews>
  <sheetFormatPr defaultRowHeight="13.2"/>
  <cols>
    <col min="1" max="1" width="19.44140625" style="8" customWidth="1"/>
    <col min="2" max="2" width="16.6640625" style="8" customWidth="1"/>
    <col min="3" max="3" width="39" style="8" customWidth="1"/>
    <col min="4" max="4" width="8.33203125" style="8" customWidth="1"/>
    <col min="5" max="5" width="13.88671875" style="8" customWidth="1"/>
    <col min="6" max="6" width="8.33203125" style="8" customWidth="1"/>
    <col min="7" max="8" width="11.109375" style="8" customWidth="1"/>
    <col min="9" max="9" width="8.33203125" style="8" customWidth="1"/>
    <col min="10" max="12" width="33.33203125" style="8" customWidth="1"/>
    <col min="13" max="13" width="8.33203125" style="8" customWidth="1"/>
    <col min="14" max="16384" width="8.88671875" style="10"/>
  </cols>
  <sheetData>
    <row r="1" spans="1:13">
      <c r="A1" s="15" t="str">
        <f>DatasetsName!$B$1</f>
        <v>Dataset Name</v>
      </c>
      <c r="B1" s="22" t="s">
        <v>26</v>
      </c>
      <c r="C1" s="22"/>
      <c r="D1" s="22"/>
      <c r="E1" s="22"/>
      <c r="F1" s="22"/>
      <c r="G1" s="22"/>
      <c r="H1" s="22"/>
      <c r="I1" s="22"/>
      <c r="J1" s="22"/>
      <c r="K1" s="22"/>
      <c r="L1" s="22"/>
      <c r="M1" s="22"/>
    </row>
    <row r="2" spans="1:13">
      <c r="A2" s="15" t="str">
        <f>DatasetsName!$C$1</f>
        <v>Dataset Description</v>
      </c>
      <c r="B2" s="22" t="str">
        <f>INDEX(DatasetsName!A1:J101,MATCH(TA!B1,DatasetsName!B:B),3)</f>
        <v>Trial Arms</v>
      </c>
      <c r="C2" s="22"/>
      <c r="D2" s="22"/>
      <c r="E2" s="22"/>
      <c r="F2" s="22"/>
      <c r="G2" s="22"/>
      <c r="H2" s="22"/>
      <c r="I2" s="22"/>
      <c r="J2" s="22"/>
      <c r="K2" s="22"/>
      <c r="L2" s="22"/>
      <c r="M2" s="22"/>
    </row>
    <row r="3" spans="1:13">
      <c r="A3" s="15" t="str">
        <f>DatasetsName!$D$1</f>
        <v>Dataset Class</v>
      </c>
      <c r="B3" s="22" t="str">
        <f>INDEX(DatasetsName!A1:J101,MATCH(TA!B1,DatasetsName!B:B),4)</f>
        <v>Trial Design</v>
      </c>
      <c r="C3" s="22"/>
      <c r="D3" s="22"/>
      <c r="E3" s="22"/>
      <c r="F3" s="22"/>
      <c r="G3" s="22"/>
      <c r="H3" s="22"/>
      <c r="I3" s="22"/>
      <c r="J3" s="22"/>
      <c r="K3" s="22"/>
      <c r="L3" s="22"/>
      <c r="M3" s="22"/>
    </row>
    <row r="4" spans="1:13">
      <c r="A4" s="15" t="str">
        <f>DatasetsName!$E$1</f>
        <v>Dataset Structure</v>
      </c>
      <c r="B4" s="22" t="str">
        <f>INDEX(DatasetsName!A1:J101,MATCH(TA!B1,DatasetsName!B:B),5)</f>
        <v>One record per planned Element per Arm</v>
      </c>
      <c r="C4" s="22"/>
      <c r="D4" s="22"/>
      <c r="E4" s="22"/>
      <c r="F4" s="22"/>
      <c r="G4" s="22"/>
      <c r="H4" s="22"/>
      <c r="I4" s="22"/>
      <c r="J4" s="22"/>
      <c r="K4" s="22"/>
      <c r="L4" s="22"/>
      <c r="M4" s="22"/>
    </row>
    <row r="5" spans="1:13">
      <c r="A5" s="15" t="str">
        <f>DatasetsName!$F$1</f>
        <v>Dataset Purpose</v>
      </c>
      <c r="B5" s="22" t="str">
        <f>INDEX(DatasetsName!A1:J101,MATCH(TA!B1,DatasetsName!B:B),6)</f>
        <v>Tabulation</v>
      </c>
      <c r="C5" s="22"/>
      <c r="D5" s="22"/>
      <c r="E5" s="22"/>
      <c r="F5" s="22"/>
      <c r="G5" s="22"/>
      <c r="H5" s="22"/>
      <c r="I5" s="22"/>
      <c r="J5" s="22"/>
      <c r="K5" s="22"/>
      <c r="L5" s="22"/>
      <c r="M5" s="22"/>
    </row>
    <row r="6" spans="1:13">
      <c r="A6" s="15" t="str">
        <f>DatasetsName!$G$1</f>
        <v>Dataset Keys</v>
      </c>
      <c r="B6" s="22" t="str">
        <f>INDEX(DatasetsName!A1:J101,MATCH(TA!B1,DatasetsName!B:B),7)</f>
        <v>STUDYID, ARMCD, TAETORD</v>
      </c>
      <c r="C6" s="22"/>
      <c r="D6" s="22"/>
      <c r="E6" s="22"/>
      <c r="F6" s="22"/>
      <c r="G6" s="22"/>
      <c r="H6" s="22"/>
      <c r="I6" s="22"/>
      <c r="J6" s="22"/>
      <c r="K6" s="22"/>
      <c r="L6" s="22"/>
      <c r="M6" s="22"/>
    </row>
    <row r="7" spans="1:13">
      <c r="A7" s="15" t="str">
        <f>DatasetsName!$H$1</f>
        <v>Dataset Location</v>
      </c>
      <c r="B7" s="22" t="str">
        <f>INDEX(DatasetsName!A1:J101,MATCH(TA!B1,DatasetsName!B:B),8)</f>
        <v>ta.xpt</v>
      </c>
      <c r="C7" s="22"/>
      <c r="D7" s="22"/>
      <c r="E7" s="22"/>
      <c r="F7" s="22"/>
      <c r="G7" s="22"/>
      <c r="H7" s="22"/>
      <c r="I7" s="22"/>
      <c r="J7" s="22"/>
      <c r="K7" s="22"/>
      <c r="L7" s="22"/>
      <c r="M7" s="22"/>
    </row>
    <row r="8" spans="1:13">
      <c r="A8" s="15" t="s">
        <v>54</v>
      </c>
      <c r="B8" s="22" t="str">
        <f>INDEX(DatasetsName!A1:J101,MATCH(TA!B1,DatasetsName!B:B),9)</f>
        <v>file path</v>
      </c>
      <c r="C8" s="22"/>
      <c r="D8" s="22"/>
      <c r="E8" s="22"/>
      <c r="F8" s="22"/>
      <c r="G8" s="22"/>
      <c r="H8" s="22"/>
      <c r="I8" s="22"/>
      <c r="J8" s="22"/>
      <c r="K8" s="22"/>
      <c r="L8" s="22"/>
      <c r="M8" s="22"/>
    </row>
    <row r="9" spans="1:13">
      <c r="A9" s="15" t="s">
        <v>52</v>
      </c>
      <c r="B9" s="23" t="s">
        <v>192</v>
      </c>
      <c r="C9" s="23"/>
      <c r="D9" s="23"/>
      <c r="E9" s="23"/>
      <c r="F9" s="23"/>
      <c r="G9" s="23"/>
      <c r="H9" s="23"/>
      <c r="I9" s="23"/>
      <c r="J9" s="23"/>
      <c r="K9" s="23"/>
      <c r="L9" s="23"/>
      <c r="M9" s="23"/>
    </row>
    <row r="10" spans="1:13">
      <c r="A10" s="15" t="s">
        <v>53</v>
      </c>
      <c r="B10" s="23" t="s">
        <v>193</v>
      </c>
      <c r="C10" s="23"/>
      <c r="D10" s="23"/>
      <c r="E10" s="23"/>
      <c r="F10" s="23"/>
      <c r="G10" s="23"/>
      <c r="H10" s="23"/>
      <c r="I10" s="23"/>
      <c r="J10" s="23"/>
      <c r="K10" s="23"/>
      <c r="L10" s="23"/>
      <c r="M10" s="23"/>
    </row>
    <row r="11" spans="1:13">
      <c r="A11" s="15" t="s">
        <v>194</v>
      </c>
      <c r="B11" s="24" t="s">
        <v>195</v>
      </c>
      <c r="C11" s="25"/>
      <c r="D11" s="25"/>
      <c r="E11" s="25"/>
      <c r="F11" s="25"/>
      <c r="G11" s="25"/>
      <c r="H11" s="25"/>
      <c r="I11" s="25"/>
      <c r="J11" s="25"/>
      <c r="K11" s="25"/>
      <c r="L11" s="25"/>
      <c r="M11" s="25"/>
    </row>
    <row r="12" spans="1:13">
      <c r="A12" s="10"/>
      <c r="B12" s="10"/>
      <c r="C12" s="10"/>
      <c r="D12" s="10"/>
      <c r="E12" s="10"/>
      <c r="F12" s="10"/>
      <c r="G12" s="10"/>
      <c r="H12" s="10"/>
      <c r="I12" s="10"/>
      <c r="J12" s="10"/>
      <c r="K12" s="10"/>
      <c r="L12" s="10"/>
      <c r="M12" s="10"/>
    </row>
    <row r="13" spans="1:13" ht="52.8">
      <c r="A13" s="13" t="s">
        <v>31</v>
      </c>
      <c r="B13" s="13" t="s">
        <v>32</v>
      </c>
      <c r="C13" s="13" t="s">
        <v>41</v>
      </c>
      <c r="D13" s="13" t="s">
        <v>46</v>
      </c>
      <c r="E13" s="13" t="s">
        <v>42</v>
      </c>
      <c r="F13" s="13" t="s">
        <v>47</v>
      </c>
      <c r="G13" s="13" t="s">
        <v>43</v>
      </c>
      <c r="H13" s="13" t="s">
        <v>48</v>
      </c>
      <c r="I13" s="13" t="s">
        <v>49</v>
      </c>
      <c r="J13" s="13" t="s">
        <v>50</v>
      </c>
      <c r="K13" s="13" t="s">
        <v>51</v>
      </c>
      <c r="L13" s="13" t="s">
        <v>44</v>
      </c>
      <c r="M13" s="13" t="s">
        <v>45</v>
      </c>
    </row>
    <row r="14" spans="1:13" ht="105.6">
      <c r="A14" s="14" t="str">
        <f>B1</f>
        <v>TA</v>
      </c>
      <c r="B14" s="14" t="s">
        <v>56</v>
      </c>
      <c r="C14" s="14" t="s">
        <v>57</v>
      </c>
      <c r="D14" s="14" t="s">
        <v>58</v>
      </c>
      <c r="E14" s="14"/>
      <c r="F14" s="14">
        <v>1</v>
      </c>
      <c r="G14" s="14" t="s">
        <v>59</v>
      </c>
      <c r="H14" s="14" t="s">
        <v>60</v>
      </c>
      <c r="I14" s="7" t="s">
        <v>96</v>
      </c>
      <c r="J14" s="14" t="s">
        <v>61</v>
      </c>
      <c r="K14" s="14"/>
      <c r="L14" s="14" t="s">
        <v>62</v>
      </c>
      <c r="M14" s="14" t="s">
        <v>63</v>
      </c>
    </row>
    <row r="15" spans="1:13" ht="26.4">
      <c r="A15" s="14" t="str">
        <f>A14</f>
        <v>TA</v>
      </c>
      <c r="B15" s="14" t="s">
        <v>64</v>
      </c>
      <c r="C15" s="14" t="s">
        <v>65</v>
      </c>
      <c r="D15" s="14" t="s">
        <v>58</v>
      </c>
      <c r="E15" s="16" t="str" cm="1">
        <f t="array" aca="1" ref="E15" ca="1">HYPERLINK("#"&amp;CELL("address", INDEX(CodeList!H:H,MATCH(B1,CodeList!H:H,0))),B1)</f>
        <v>TA</v>
      </c>
      <c r="F15" s="14">
        <v>2</v>
      </c>
      <c r="G15" s="14" t="s">
        <v>59</v>
      </c>
      <c r="H15" s="14" t="s">
        <v>85</v>
      </c>
      <c r="I15" s="14">
        <v>2</v>
      </c>
      <c r="J15" s="14" t="s">
        <v>86</v>
      </c>
      <c r="K15" s="14"/>
      <c r="L15" s="14" t="s">
        <v>87</v>
      </c>
      <c r="M15" s="14" t="s">
        <v>63</v>
      </c>
    </row>
    <row r="16" spans="1:13" ht="171.6">
      <c r="A16" s="14" t="str">
        <f t="shared" ref="A16:A23" si="0">A15</f>
        <v>TA</v>
      </c>
      <c r="B16" s="14" t="s">
        <v>88</v>
      </c>
      <c r="C16" s="14" t="s">
        <v>89</v>
      </c>
      <c r="D16" s="14" t="s">
        <v>58</v>
      </c>
      <c r="E16" s="14" t="s">
        <v>90</v>
      </c>
      <c r="F16" s="14">
        <v>3</v>
      </c>
      <c r="G16" s="14" t="s">
        <v>91</v>
      </c>
      <c r="H16" s="14" t="s">
        <v>85</v>
      </c>
      <c r="I16" s="7" t="s">
        <v>97</v>
      </c>
      <c r="J16" s="7" t="s">
        <v>99</v>
      </c>
      <c r="K16" s="14"/>
      <c r="L16" s="14" t="s">
        <v>92</v>
      </c>
      <c r="M16" s="14" t="s">
        <v>63</v>
      </c>
    </row>
    <row r="17" spans="1:13" ht="158.4">
      <c r="A17" s="14" t="str">
        <f t="shared" si="0"/>
        <v>TA</v>
      </c>
      <c r="B17" s="14" t="s">
        <v>93</v>
      </c>
      <c r="C17" s="14" t="s">
        <v>94</v>
      </c>
      <c r="D17" s="14" t="s">
        <v>58</v>
      </c>
      <c r="E17" s="14" t="s">
        <v>90</v>
      </c>
      <c r="F17" s="14">
        <v>4</v>
      </c>
      <c r="G17" s="14" t="s">
        <v>95</v>
      </c>
      <c r="H17" s="14" t="s">
        <v>60</v>
      </c>
      <c r="I17" s="7" t="s">
        <v>98</v>
      </c>
      <c r="J17" s="7" t="s">
        <v>100</v>
      </c>
      <c r="K17" s="14"/>
      <c r="L17" s="14" t="s">
        <v>101</v>
      </c>
      <c r="M17" s="14" t="s">
        <v>63</v>
      </c>
    </row>
    <row r="18" spans="1:13" ht="26.4">
      <c r="A18" s="14" t="str">
        <f t="shared" si="0"/>
        <v>TA</v>
      </c>
      <c r="B18" s="14" t="s">
        <v>102</v>
      </c>
      <c r="C18" s="14" t="s">
        <v>103</v>
      </c>
      <c r="D18" s="14" t="s">
        <v>104</v>
      </c>
      <c r="E18" s="14"/>
      <c r="F18" s="14">
        <v>5</v>
      </c>
      <c r="G18" s="14" t="s">
        <v>105</v>
      </c>
      <c r="H18" s="14" t="s">
        <v>85</v>
      </c>
      <c r="I18" s="14">
        <v>1</v>
      </c>
      <c r="J18" s="7" t="s">
        <v>107</v>
      </c>
      <c r="K18" s="14"/>
      <c r="L18" s="14" t="s">
        <v>106</v>
      </c>
      <c r="M18" s="14" t="s">
        <v>63</v>
      </c>
    </row>
    <row r="19" spans="1:13" ht="132">
      <c r="A19" s="14" t="str">
        <f t="shared" si="0"/>
        <v>TA</v>
      </c>
      <c r="B19" s="14" t="s">
        <v>108</v>
      </c>
      <c r="C19" s="14" t="s">
        <v>109</v>
      </c>
      <c r="D19" s="14" t="s">
        <v>58</v>
      </c>
      <c r="E19" s="14" t="s">
        <v>90</v>
      </c>
      <c r="F19" s="14">
        <v>6</v>
      </c>
      <c r="G19" s="14" t="s">
        <v>110</v>
      </c>
      <c r="H19" s="14" t="s">
        <v>85</v>
      </c>
      <c r="I19" s="7" t="s">
        <v>111</v>
      </c>
      <c r="J19" s="7" t="s">
        <v>113</v>
      </c>
      <c r="K19" s="14"/>
      <c r="L19" s="14" t="s">
        <v>112</v>
      </c>
      <c r="M19" s="14" t="s">
        <v>63</v>
      </c>
    </row>
    <row r="20" spans="1:13" ht="118.8">
      <c r="A20" s="14" t="str">
        <f t="shared" si="0"/>
        <v>TA</v>
      </c>
      <c r="B20" s="14" t="s">
        <v>114</v>
      </c>
      <c r="C20" s="14" t="s">
        <v>115</v>
      </c>
      <c r="D20" s="14" t="s">
        <v>58</v>
      </c>
      <c r="E20" s="14" t="s">
        <v>90</v>
      </c>
      <c r="F20" s="14">
        <v>7</v>
      </c>
      <c r="G20" s="14" t="s">
        <v>95</v>
      </c>
      <c r="H20" s="14" t="s">
        <v>60</v>
      </c>
      <c r="I20" s="7" t="s">
        <v>118</v>
      </c>
      <c r="J20" s="7" t="s">
        <v>119</v>
      </c>
      <c r="K20" s="14"/>
      <c r="L20" s="14" t="s">
        <v>116</v>
      </c>
      <c r="M20" s="14" t="s">
        <v>117</v>
      </c>
    </row>
    <row r="21" spans="1:13" ht="118.8">
      <c r="A21" s="14" t="str">
        <f t="shared" si="0"/>
        <v>TA</v>
      </c>
      <c r="B21" s="14" t="s">
        <v>120</v>
      </c>
      <c r="C21" s="14" t="s">
        <v>123</v>
      </c>
      <c r="D21" s="14" t="s">
        <v>58</v>
      </c>
      <c r="E21" s="14" t="s">
        <v>90</v>
      </c>
      <c r="F21" s="14">
        <v>8</v>
      </c>
      <c r="G21" s="14" t="s">
        <v>126</v>
      </c>
      <c r="H21" s="14" t="s">
        <v>60</v>
      </c>
      <c r="I21" s="7" t="s">
        <v>186</v>
      </c>
      <c r="J21" s="7" t="s">
        <v>189</v>
      </c>
      <c r="K21" s="14"/>
      <c r="L21" s="14" t="s">
        <v>127</v>
      </c>
      <c r="M21" s="14" t="s">
        <v>129</v>
      </c>
    </row>
    <row r="22" spans="1:13" ht="132">
      <c r="A22" s="14" t="str">
        <f t="shared" si="0"/>
        <v>TA</v>
      </c>
      <c r="B22" s="14" t="s">
        <v>121</v>
      </c>
      <c r="C22" s="14" t="s">
        <v>124</v>
      </c>
      <c r="D22" s="14" t="s">
        <v>58</v>
      </c>
      <c r="E22" s="14" t="s">
        <v>90</v>
      </c>
      <c r="F22" s="14">
        <v>9</v>
      </c>
      <c r="G22" s="14" t="s">
        <v>126</v>
      </c>
      <c r="H22" s="14" t="s">
        <v>60</v>
      </c>
      <c r="I22" s="7" t="s">
        <v>187</v>
      </c>
      <c r="J22" s="7" t="s">
        <v>190</v>
      </c>
      <c r="K22" s="14"/>
      <c r="L22" s="14" t="s">
        <v>128</v>
      </c>
      <c r="M22" s="14" t="s">
        <v>129</v>
      </c>
    </row>
    <row r="23" spans="1:13" ht="118.8">
      <c r="A23" s="14" t="str">
        <f t="shared" si="0"/>
        <v>TA</v>
      </c>
      <c r="B23" s="14" t="s">
        <v>122</v>
      </c>
      <c r="C23" s="14" t="s">
        <v>125</v>
      </c>
      <c r="D23" s="14" t="s">
        <v>58</v>
      </c>
      <c r="E23" s="17" t="str" cm="1">
        <f t="array" aca="1" ref="E23" ca="1">HYPERLINK("#"&amp;CELL("address", INDEX(CodeList!D:D,MATCH("C99079",CodeList!D:D,0))),"(EPOCH)")</f>
        <v>(EPOCH)</v>
      </c>
      <c r="F23" s="14">
        <v>10</v>
      </c>
      <c r="G23" s="14" t="s">
        <v>105</v>
      </c>
      <c r="H23" s="14" t="s">
        <v>60</v>
      </c>
      <c r="I23" s="7" t="s">
        <v>188</v>
      </c>
      <c r="J23" s="7" t="s">
        <v>191</v>
      </c>
      <c r="K23" s="14"/>
      <c r="L23" s="14" t="s">
        <v>130</v>
      </c>
      <c r="M23" s="14" t="s">
        <v>63</v>
      </c>
    </row>
  </sheetData>
  <autoFilter ref="A13:M23"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384" xr:uid="{8F788DDF-A837-4656-A8D0-48DE62DABBCB}"/>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E6E17-46B8-4BDF-90D3-E2EE49D43A0E}">
  <sheetPr codeName="Sheet6"/>
  <dimension ref="A1:M20"/>
  <sheetViews>
    <sheetView showGridLines="0" workbookViewId="0"/>
  </sheetViews>
  <sheetFormatPr defaultRowHeight="13.2"/>
  <cols>
    <col min="1" max="1" width="19.44140625" style="8" customWidth="1"/>
    <col min="2" max="2" width="16.6640625" style="8" customWidth="1"/>
    <col min="3" max="3" width="39" style="8" customWidth="1"/>
    <col min="4" max="4" width="8.33203125" style="8" customWidth="1"/>
    <col min="5" max="5" width="13.88671875" style="8" customWidth="1"/>
    <col min="6" max="6" width="8.33203125" style="8" customWidth="1"/>
    <col min="7" max="8" width="11.109375" style="8" customWidth="1"/>
    <col min="9" max="9" width="8.33203125" style="8" customWidth="1"/>
    <col min="10" max="12" width="33.33203125" style="8" customWidth="1"/>
    <col min="13" max="13" width="8.33203125" style="8" customWidth="1"/>
    <col min="14" max="16384" width="8.88671875" style="10"/>
  </cols>
  <sheetData>
    <row r="1" spans="1:13">
      <c r="A1" s="15" t="str">
        <f>DatasetsName!$B$1</f>
        <v>Dataset Name</v>
      </c>
      <c r="B1" s="22" t="s">
        <v>196</v>
      </c>
      <c r="C1" s="22"/>
      <c r="D1" s="22"/>
      <c r="E1" s="22"/>
      <c r="F1" s="22"/>
      <c r="G1" s="22"/>
      <c r="H1" s="22"/>
      <c r="I1" s="22"/>
      <c r="J1" s="22"/>
      <c r="K1" s="22"/>
      <c r="L1" s="22"/>
      <c r="M1" s="22"/>
    </row>
    <row r="2" spans="1:13">
      <c r="A2" s="15" t="str">
        <f>DatasetsName!$C$1</f>
        <v>Dataset Description</v>
      </c>
      <c r="B2" s="22" t="str">
        <f>INDEX(DatasetsName!A1:J101,MATCH(TE!B1,DatasetsName!B:B),3)</f>
        <v>Trial Elements</v>
      </c>
      <c r="C2" s="22"/>
      <c r="D2" s="22"/>
      <c r="E2" s="22"/>
      <c r="F2" s="22"/>
      <c r="G2" s="22"/>
      <c r="H2" s="22"/>
      <c r="I2" s="22"/>
      <c r="J2" s="22"/>
      <c r="K2" s="22"/>
      <c r="L2" s="22"/>
      <c r="M2" s="22"/>
    </row>
    <row r="3" spans="1:13">
      <c r="A3" s="15" t="str">
        <f>DatasetsName!$D$1</f>
        <v>Dataset Class</v>
      </c>
      <c r="B3" s="22" t="str">
        <f>INDEX(DatasetsName!A1:J101,MATCH(TE!B1,DatasetsName!B:B),4)</f>
        <v>Trial Design</v>
      </c>
      <c r="C3" s="22"/>
      <c r="D3" s="22"/>
      <c r="E3" s="22"/>
      <c r="F3" s="22"/>
      <c r="G3" s="22"/>
      <c r="H3" s="22"/>
      <c r="I3" s="22"/>
      <c r="J3" s="22"/>
      <c r="K3" s="22"/>
      <c r="L3" s="22"/>
      <c r="M3" s="22"/>
    </row>
    <row r="4" spans="1:13">
      <c r="A4" s="15" t="str">
        <f>DatasetsName!$E$1</f>
        <v>Dataset Structure</v>
      </c>
      <c r="B4" s="22" t="str">
        <f>INDEX(DatasetsName!A1:J101,MATCH(TE!B1,DatasetsName!B:B),5)</f>
        <v>One record per planned Element</v>
      </c>
      <c r="C4" s="22"/>
      <c r="D4" s="22"/>
      <c r="E4" s="22"/>
      <c r="F4" s="22"/>
      <c r="G4" s="22"/>
      <c r="H4" s="22"/>
      <c r="I4" s="22"/>
      <c r="J4" s="22"/>
      <c r="K4" s="22"/>
      <c r="L4" s="22"/>
      <c r="M4" s="22"/>
    </row>
    <row r="5" spans="1:13">
      <c r="A5" s="15" t="str">
        <f>DatasetsName!$F$1</f>
        <v>Dataset Purpose</v>
      </c>
      <c r="B5" s="22" t="str">
        <f>INDEX(DatasetsName!A1:J101,MATCH(TE!B1,DatasetsName!B:B),6)</f>
        <v>Tabulation</v>
      </c>
      <c r="C5" s="22"/>
      <c r="D5" s="22"/>
      <c r="E5" s="22"/>
      <c r="F5" s="22"/>
      <c r="G5" s="22"/>
      <c r="H5" s="22"/>
      <c r="I5" s="22"/>
      <c r="J5" s="22"/>
      <c r="K5" s="22"/>
      <c r="L5" s="22"/>
      <c r="M5" s="22"/>
    </row>
    <row r="6" spans="1:13">
      <c r="A6" s="15" t="str">
        <f>DatasetsName!$G$1</f>
        <v>Dataset Keys</v>
      </c>
      <c r="B6" s="22" t="str">
        <f>INDEX(DatasetsName!A1:J101,MATCH(TE!B1,DatasetsName!B:B),7)</f>
        <v>STUDYID, ETCD</v>
      </c>
      <c r="C6" s="22"/>
      <c r="D6" s="22"/>
      <c r="E6" s="22"/>
      <c r="F6" s="22"/>
      <c r="G6" s="22"/>
      <c r="H6" s="22"/>
      <c r="I6" s="22"/>
      <c r="J6" s="22"/>
      <c r="K6" s="22"/>
      <c r="L6" s="22"/>
      <c r="M6" s="22"/>
    </row>
    <row r="7" spans="1:13">
      <c r="A7" s="15" t="str">
        <f>DatasetsName!$H$1</f>
        <v>Dataset Location</v>
      </c>
      <c r="B7" s="22" t="str">
        <f>INDEX(DatasetsName!A1:J101,MATCH(TE!B1,DatasetsName!B:B),8)</f>
        <v>te.xpt</v>
      </c>
      <c r="C7" s="22"/>
      <c r="D7" s="22"/>
      <c r="E7" s="22"/>
      <c r="F7" s="22"/>
      <c r="G7" s="22"/>
      <c r="H7" s="22"/>
      <c r="I7" s="22"/>
      <c r="J7" s="22"/>
      <c r="K7" s="22"/>
      <c r="L7" s="22"/>
      <c r="M7" s="22"/>
    </row>
    <row r="8" spans="1:13">
      <c r="A8" s="15" t="s">
        <v>54</v>
      </c>
      <c r="B8" s="22" t="str">
        <f>INDEX(DatasetsName!A1:J101,MATCH(TE!B1,DatasetsName!B:B),9)</f>
        <v>file path</v>
      </c>
      <c r="C8" s="22"/>
      <c r="D8" s="22"/>
      <c r="E8" s="22"/>
      <c r="F8" s="22"/>
      <c r="G8" s="22"/>
      <c r="H8" s="22"/>
      <c r="I8" s="22"/>
      <c r="J8" s="22"/>
      <c r="K8" s="22"/>
      <c r="L8" s="22"/>
      <c r="M8" s="22"/>
    </row>
    <row r="9" spans="1:13">
      <c r="A9" s="15" t="s">
        <v>52</v>
      </c>
      <c r="B9" s="23" t="s">
        <v>192</v>
      </c>
      <c r="C9" s="23"/>
      <c r="D9" s="23"/>
      <c r="E9" s="23"/>
      <c r="F9" s="23"/>
      <c r="G9" s="23"/>
      <c r="H9" s="23"/>
      <c r="I9" s="23"/>
      <c r="J9" s="23"/>
      <c r="K9" s="23"/>
      <c r="L9" s="23"/>
      <c r="M9" s="23"/>
    </row>
    <row r="10" spans="1:13">
      <c r="A10" s="15" t="s">
        <v>53</v>
      </c>
      <c r="B10" s="23" t="s">
        <v>193</v>
      </c>
      <c r="C10" s="23"/>
      <c r="D10" s="23"/>
      <c r="E10" s="23"/>
      <c r="F10" s="23"/>
      <c r="G10" s="23"/>
      <c r="H10" s="23"/>
      <c r="I10" s="23"/>
      <c r="J10" s="23"/>
      <c r="K10" s="23"/>
      <c r="L10" s="23"/>
      <c r="M10" s="23"/>
    </row>
    <row r="11" spans="1:13">
      <c r="A11" s="15" t="s">
        <v>194</v>
      </c>
      <c r="B11" s="26" t="s">
        <v>201</v>
      </c>
      <c r="C11" s="25"/>
      <c r="D11" s="25"/>
      <c r="E11" s="25"/>
      <c r="F11" s="25"/>
      <c r="G11" s="25"/>
      <c r="H11" s="25"/>
      <c r="I11" s="25"/>
      <c r="J11" s="25"/>
      <c r="K11" s="25"/>
      <c r="L11" s="25"/>
      <c r="M11" s="25"/>
    </row>
    <row r="12" spans="1:13">
      <c r="A12" s="10"/>
      <c r="B12" s="10"/>
      <c r="C12" s="10"/>
      <c r="D12" s="10"/>
      <c r="E12" s="10"/>
      <c r="F12" s="10"/>
      <c r="G12" s="10"/>
      <c r="H12" s="10"/>
      <c r="I12" s="10"/>
      <c r="J12" s="10"/>
      <c r="K12" s="10"/>
      <c r="L12" s="10"/>
      <c r="M12" s="10"/>
    </row>
    <row r="13" spans="1:13" ht="52.8">
      <c r="A13" s="13" t="s">
        <v>31</v>
      </c>
      <c r="B13" s="13" t="s">
        <v>32</v>
      </c>
      <c r="C13" s="13" t="s">
        <v>41</v>
      </c>
      <c r="D13" s="13" t="s">
        <v>46</v>
      </c>
      <c r="E13" s="13" t="s">
        <v>42</v>
      </c>
      <c r="F13" s="13" t="s">
        <v>47</v>
      </c>
      <c r="G13" s="13" t="s">
        <v>43</v>
      </c>
      <c r="H13" s="13" t="s">
        <v>48</v>
      </c>
      <c r="I13" s="13" t="s">
        <v>49</v>
      </c>
      <c r="J13" s="13" t="s">
        <v>50</v>
      </c>
      <c r="K13" s="13" t="s">
        <v>51</v>
      </c>
      <c r="L13" s="13" t="s">
        <v>44</v>
      </c>
      <c r="M13" s="13" t="s">
        <v>45</v>
      </c>
    </row>
    <row r="14" spans="1:13">
      <c r="A14" s="14" t="str">
        <f>B1</f>
        <v>TE</v>
      </c>
      <c r="B14" s="14" t="s">
        <v>56</v>
      </c>
      <c r="C14" s="14" t="s">
        <v>57</v>
      </c>
      <c r="D14" s="14" t="s">
        <v>58</v>
      </c>
      <c r="E14" s="14"/>
      <c r="F14" s="14">
        <v>1</v>
      </c>
      <c r="G14" s="14" t="s">
        <v>59</v>
      </c>
      <c r="H14" s="14" t="s">
        <v>60</v>
      </c>
      <c r="I14" s="7"/>
      <c r="J14" s="14"/>
      <c r="K14" s="14"/>
      <c r="L14" s="14" t="s">
        <v>62</v>
      </c>
      <c r="M14" s="14" t="s">
        <v>63</v>
      </c>
    </row>
    <row r="15" spans="1:13" ht="26.4">
      <c r="A15" s="14" t="str">
        <f>A14</f>
        <v>TE</v>
      </c>
      <c r="B15" s="14" t="s">
        <v>64</v>
      </c>
      <c r="C15" s="14" t="s">
        <v>65</v>
      </c>
      <c r="D15" s="14" t="s">
        <v>58</v>
      </c>
      <c r="E15" s="16" t="str" cm="1">
        <f t="array" aca="1" ref="E15" ca="1">HYPERLINK("#"&amp;CELL("address", INDEX(CodeList!H:H,MATCH(B1,CodeList!H:H,0))),B1)</f>
        <v>TE</v>
      </c>
      <c r="F15" s="14">
        <v>2</v>
      </c>
      <c r="G15" s="14" t="s">
        <v>59</v>
      </c>
      <c r="H15" s="14" t="s">
        <v>85</v>
      </c>
      <c r="I15" s="14">
        <v>2</v>
      </c>
      <c r="J15" s="14"/>
      <c r="K15" s="14"/>
      <c r="L15" s="14" t="s">
        <v>87</v>
      </c>
      <c r="M15" s="14" t="s">
        <v>63</v>
      </c>
    </row>
    <row r="16" spans="1:13" ht="92.4">
      <c r="A16" s="14" t="str">
        <f t="shared" ref="A16:A20" si="0">A15</f>
        <v>TE</v>
      </c>
      <c r="B16" s="14" t="s">
        <v>108</v>
      </c>
      <c r="C16" s="14" t="s">
        <v>109</v>
      </c>
      <c r="D16" s="14" t="s">
        <v>58</v>
      </c>
      <c r="E16" s="14"/>
      <c r="F16" s="14">
        <v>3</v>
      </c>
      <c r="G16" s="14" t="s">
        <v>91</v>
      </c>
      <c r="H16" s="14" t="s">
        <v>85</v>
      </c>
      <c r="I16" s="7"/>
      <c r="J16" s="7"/>
      <c r="K16" s="14"/>
      <c r="L16" s="14" t="s">
        <v>209</v>
      </c>
      <c r="M16" s="14" t="s">
        <v>63</v>
      </c>
    </row>
    <row r="17" spans="1:13" ht="26.4">
      <c r="A17" s="14" t="str">
        <f t="shared" si="0"/>
        <v>TE</v>
      </c>
      <c r="B17" s="14" t="s">
        <v>114</v>
      </c>
      <c r="C17" s="14" t="s">
        <v>115</v>
      </c>
      <c r="D17" s="14" t="s">
        <v>58</v>
      </c>
      <c r="E17" s="14"/>
      <c r="F17" s="14">
        <v>4</v>
      </c>
      <c r="G17" s="14" t="s">
        <v>95</v>
      </c>
      <c r="H17" s="14" t="s">
        <v>60</v>
      </c>
      <c r="I17" s="7"/>
      <c r="J17" s="7"/>
      <c r="K17" s="14"/>
      <c r="L17" s="14" t="s">
        <v>210</v>
      </c>
      <c r="M17" s="14" t="s">
        <v>63</v>
      </c>
    </row>
    <row r="18" spans="1:13" ht="26.4">
      <c r="A18" s="14" t="str">
        <f t="shared" si="0"/>
        <v>TE</v>
      </c>
      <c r="B18" s="14" t="s">
        <v>202</v>
      </c>
      <c r="C18" s="14" t="s">
        <v>205</v>
      </c>
      <c r="D18" s="14" t="s">
        <v>58</v>
      </c>
      <c r="E18" s="14"/>
      <c r="F18" s="14">
        <v>5</v>
      </c>
      <c r="G18" s="14" t="s">
        <v>126</v>
      </c>
      <c r="H18" s="14" t="s">
        <v>60</v>
      </c>
      <c r="I18" s="14"/>
      <c r="J18" s="7"/>
      <c r="K18" s="14"/>
      <c r="L18" s="14" t="s">
        <v>211</v>
      </c>
      <c r="M18" s="14" t="s">
        <v>63</v>
      </c>
    </row>
    <row r="19" spans="1:13" ht="39.6">
      <c r="A19" s="14" t="str">
        <f t="shared" si="0"/>
        <v>TE</v>
      </c>
      <c r="B19" s="14" t="s">
        <v>203</v>
      </c>
      <c r="C19" s="14" t="s">
        <v>206</v>
      </c>
      <c r="D19" s="14" t="s">
        <v>58</v>
      </c>
      <c r="E19" s="14"/>
      <c r="F19" s="14">
        <v>6</v>
      </c>
      <c r="G19" s="14" t="s">
        <v>126</v>
      </c>
      <c r="H19" s="14" t="s">
        <v>60</v>
      </c>
      <c r="I19" s="7"/>
      <c r="J19" s="7"/>
      <c r="K19" s="14"/>
      <c r="L19" s="14" t="s">
        <v>212</v>
      </c>
      <c r="M19" s="14" t="s">
        <v>117</v>
      </c>
    </row>
    <row r="20" spans="1:13" ht="52.8">
      <c r="A20" s="14" t="str">
        <f t="shared" si="0"/>
        <v>TE</v>
      </c>
      <c r="B20" s="14" t="s">
        <v>204</v>
      </c>
      <c r="C20" s="14" t="s">
        <v>207</v>
      </c>
      <c r="D20" s="14" t="s">
        <v>58</v>
      </c>
      <c r="E20" s="14" t="s">
        <v>208</v>
      </c>
      <c r="F20" s="14">
        <v>7</v>
      </c>
      <c r="G20" s="14" t="s">
        <v>105</v>
      </c>
      <c r="H20" s="14" t="s">
        <v>60</v>
      </c>
      <c r="I20" s="7"/>
      <c r="J20" s="7"/>
      <c r="K20" s="14"/>
      <c r="L20" s="14" t="s">
        <v>213</v>
      </c>
      <c r="M20" s="14" t="s">
        <v>117</v>
      </c>
    </row>
  </sheetData>
  <autoFilter ref="A13:M20" xr:uid="{C0116BDF-748C-41FF-8411-4EB62BE4D9FB}"/>
  <mergeCells count="11">
    <mergeCell ref="B6:M6"/>
    <mergeCell ref="B1:M1"/>
    <mergeCell ref="B2:M2"/>
    <mergeCell ref="B3:M3"/>
    <mergeCell ref="B4:M4"/>
    <mergeCell ref="B5:M5"/>
    <mergeCell ref="B7:M7"/>
    <mergeCell ref="B8:M8"/>
    <mergeCell ref="B9:M9"/>
    <mergeCell ref="B10:M10"/>
    <mergeCell ref="B11:M11"/>
  </mergeCells>
  <hyperlinks>
    <hyperlink ref="B11" r:id="rId1" location="page=402" xr:uid="{D4B06BF9-CA2F-438D-B722-A9BDB48B344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CoverPage</vt:lpstr>
      <vt:lpstr>DatasetsName</vt:lpstr>
      <vt:lpstr>CodeList</vt:lpstr>
      <vt:lpstr>TA</vt:lpstr>
      <vt:lpstr>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Jaeger</dc:creator>
  <cp:lastModifiedBy>Jonathan Jaeger</cp:lastModifiedBy>
  <dcterms:created xsi:type="dcterms:W3CDTF">2023-02-24T13:17:53Z</dcterms:created>
  <dcterms:modified xsi:type="dcterms:W3CDTF">2023-02-27T12:44:15Z</dcterms:modified>
</cp:coreProperties>
</file>