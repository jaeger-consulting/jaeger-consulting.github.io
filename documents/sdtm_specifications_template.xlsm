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G:\03_Projects\001_Website\jaeger-consulting.github.io\documents\"/>
    </mc:Choice>
  </mc:AlternateContent>
  <xr:revisionPtr revIDLastSave="0" documentId="13_ncr:1_{AFD220A5-01DD-41D7-BE07-EACCDC96B2B0}" xr6:coauthVersionLast="47" xr6:coauthVersionMax="47" xr10:uidLastSave="{00000000-0000-0000-0000-000000000000}"/>
  <bookViews>
    <workbookView xWindow="-96" yWindow="0" windowWidth="22812" windowHeight="25296" xr2:uid="{C525D025-6BEF-4023-A943-D7FEA36ED865}"/>
  </bookViews>
  <sheets>
    <sheet name="Instructions" sheetId="3" r:id="rId1"/>
    <sheet name="CoverPage" sheetId="1" r:id="rId2"/>
    <sheet name="DatasetsName" sheetId="2" r:id="rId3"/>
    <sheet name="ControlledTerms" sheetId="6" r:id="rId4"/>
    <sheet name="Format" sheetId="9" r:id="rId5"/>
    <sheet name="TA" sheetId="5" r:id="rId6"/>
    <sheet name="TE" sheetId="7" r:id="rId7"/>
    <sheet name="TV" sheetId="10" r:id="rId8"/>
    <sheet name="TD" sheetId="11" r:id="rId9"/>
    <sheet name="TM" sheetId="12" r:id="rId10"/>
    <sheet name="TI" sheetId="13" r:id="rId11"/>
    <sheet name="TS" sheetId="14" r:id="rId12"/>
    <sheet name="Template" sheetId="8" r:id="rId13"/>
  </sheets>
  <definedNames>
    <definedName name="_xlnm._FilterDatabase" localSheetId="3" hidden="1">ControlledTerms!$A$2:$L$2</definedName>
    <definedName name="_xlnm._FilterDatabase" localSheetId="2" hidden="1">DatasetsName!$A$1:$J$1</definedName>
    <definedName name="_xlnm._FilterDatabase" localSheetId="4" hidden="1">Format!$A$1:$B$2</definedName>
    <definedName name="_xlnm._FilterDatabase" localSheetId="5" hidden="1">TA!$A$13:$M$23</definedName>
    <definedName name="_xlnm._FilterDatabase" localSheetId="8" hidden="1">TD!$A$13:$M$15</definedName>
    <definedName name="_xlnm._FilterDatabase" localSheetId="6" hidden="1">TE!$A$13:$M$20</definedName>
    <definedName name="_xlnm._FilterDatabase" localSheetId="12" hidden="1">Template!$A$13:$M$16</definedName>
    <definedName name="_xlnm._FilterDatabase" localSheetId="10" hidden="1">TI!$A$13:$M$15</definedName>
    <definedName name="_xlnm._FilterDatabase" localSheetId="9" hidden="1">TM!$A$13:$M$15</definedName>
    <definedName name="_xlnm._FilterDatabase" localSheetId="11" hidden="1">TS!$A$13:$M$15</definedName>
    <definedName name="_xlnm._FilterDatabase" localSheetId="7" hidden="1">TV!$A$13:$M$15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 i="14" l="1"/>
  <c r="A23" i="14" s="1"/>
  <c r="A24" i="14" s="1"/>
  <c r="A14" i="14"/>
  <c r="A15" i="14" s="1"/>
  <c r="A16" i="14" s="1"/>
  <c r="A17" i="14" s="1"/>
  <c r="A18" i="14" s="1"/>
  <c r="A19" i="14" s="1"/>
  <c r="A20" i="14" s="1"/>
  <c r="A21" i="14" s="1"/>
  <c r="B8" i="14"/>
  <c r="B7" i="14"/>
  <c r="A7" i="14"/>
  <c r="B6" i="14"/>
  <c r="A6" i="14"/>
  <c r="B5" i="14"/>
  <c r="A5" i="14"/>
  <c r="B4" i="14"/>
  <c r="A4" i="14"/>
  <c r="B3" i="14"/>
  <c r="A3" i="14"/>
  <c r="B2" i="14"/>
  <c r="A2" i="14"/>
  <c r="A1" i="14"/>
  <c r="B8" i="8"/>
  <c r="B7" i="8"/>
  <c r="B6" i="8"/>
  <c r="B5" i="8"/>
  <c r="B4" i="8"/>
  <c r="B3" i="8"/>
  <c r="B2" i="8"/>
  <c r="B8" i="13"/>
  <c r="B7" i="13"/>
  <c r="B6" i="13"/>
  <c r="B5" i="13"/>
  <c r="B4" i="13"/>
  <c r="B3" i="13"/>
  <c r="B2" i="13"/>
  <c r="B8" i="12"/>
  <c r="B7" i="12"/>
  <c r="B6" i="12"/>
  <c r="B5" i="12"/>
  <c r="B4" i="12"/>
  <c r="B3" i="12"/>
  <c r="B2" i="12"/>
  <c r="B8" i="11"/>
  <c r="B7" i="11"/>
  <c r="B6" i="11"/>
  <c r="B5" i="11"/>
  <c r="B4" i="11"/>
  <c r="B3" i="11"/>
  <c r="B2" i="11"/>
  <c r="B8" i="10"/>
  <c r="B7" i="10"/>
  <c r="B6" i="10"/>
  <c r="B5" i="10"/>
  <c r="B4" i="10"/>
  <c r="B3" i="10"/>
  <c r="B2" i="10"/>
  <c r="B8" i="7"/>
  <c r="B7" i="7"/>
  <c r="B6" i="7"/>
  <c r="B5" i="7"/>
  <c r="B4" i="7"/>
  <c r="B3" i="7"/>
  <c r="B2" i="7"/>
  <c r="B8" i="5"/>
  <c r="B7" i="5"/>
  <c r="B6" i="5"/>
  <c r="B5" i="5"/>
  <c r="B4" i="5"/>
  <c r="B3" i="5"/>
  <c r="B2" i="5"/>
  <c r="A14" i="13"/>
  <c r="A15" i="13" s="1"/>
  <c r="A16" i="13" s="1"/>
  <c r="A17" i="13" s="1"/>
  <c r="A18" i="13" s="1"/>
  <c r="A19" i="13" s="1"/>
  <c r="A20" i="13" s="1"/>
  <c r="A21" i="13" s="1"/>
  <c r="A7" i="13"/>
  <c r="A6" i="13"/>
  <c r="A5" i="13"/>
  <c r="A4" i="13"/>
  <c r="A3" i="13"/>
  <c r="A2" i="13"/>
  <c r="A1" i="13"/>
  <c r="A14" i="12"/>
  <c r="A15" i="12" s="1"/>
  <c r="A16" i="12" s="1"/>
  <c r="A17" i="12" s="1"/>
  <c r="A18" i="12" s="1"/>
  <c r="A7" i="12"/>
  <c r="A6" i="12"/>
  <c r="A5" i="12"/>
  <c r="A4" i="12"/>
  <c r="A3" i="12"/>
  <c r="A2" i="12"/>
  <c r="A1" i="12"/>
  <c r="A14" i="11"/>
  <c r="A15" i="11" s="1"/>
  <c r="A16" i="11" s="1"/>
  <c r="A17" i="11" s="1"/>
  <c r="A18" i="11" s="1"/>
  <c r="A19" i="11" s="1"/>
  <c r="A20" i="11" s="1"/>
  <c r="A21" i="11" s="1"/>
  <c r="A22" i="11" s="1"/>
  <c r="A7" i="11"/>
  <c r="A6" i="11"/>
  <c r="A5" i="11"/>
  <c r="A4" i="11"/>
  <c r="A3" i="11"/>
  <c r="A2" i="11"/>
  <c r="A1" i="11"/>
  <c r="A14" i="10"/>
  <c r="A15" i="10" s="1"/>
  <c r="A16" i="10" s="1"/>
  <c r="A17" i="10" s="1"/>
  <c r="A18" i="10" s="1"/>
  <c r="A19" i="10" s="1"/>
  <c r="A20" i="10" s="1"/>
  <c r="A21" i="10" s="1"/>
  <c r="A22" i="10" s="1"/>
  <c r="A7" i="10"/>
  <c r="A6" i="10"/>
  <c r="A5" i="10"/>
  <c r="A4" i="10"/>
  <c r="A3" i="10"/>
  <c r="A2" i="10"/>
  <c r="A1" i="10"/>
  <c r="E23" i="14" a="1"/>
  <c r="E19" i="14" a="1"/>
  <c r="E18" i="14" a="1"/>
  <c r="E18" i="13" a="1"/>
  <c r="E15" i="14" a="1"/>
  <c r="E15" i="13" a="1"/>
  <c r="E18" i="12" a="1"/>
  <c r="E15" i="12" a="1"/>
  <c r="E21" i="11" a="1"/>
  <c r="E20" i="11" a="1"/>
  <c r="E19" i="11" a="1"/>
  <c r="E18" i="11" a="1"/>
  <c r="E15" i="11" a="1"/>
  <c r="E15" i="10" a="1"/>
  <c r="E20" i="7" a="1"/>
  <c r="E23" i="14" l="1"/>
  <c r="E19" i="14"/>
  <c r="E18" i="14"/>
  <c r="E18" i="13"/>
  <c r="E15" i="14"/>
  <c r="E15" i="13"/>
  <c r="E18" i="12"/>
  <c r="E15" i="12"/>
  <c r="E21" i="11"/>
  <c r="E20" i="11"/>
  <c r="E19" i="11"/>
  <c r="E18" i="11"/>
  <c r="E15" i="11"/>
  <c r="E15" i="10"/>
  <c r="E20" i="7"/>
  <c r="A14" i="8" l="1"/>
  <c r="A15" i="8" s="1"/>
  <c r="A16" i="8" s="1"/>
  <c r="A7" i="8"/>
  <c r="A6" i="8"/>
  <c r="A5" i="8"/>
  <c r="A4" i="8"/>
  <c r="A3" i="8"/>
  <c r="A2" i="8"/>
  <c r="A1" i="8"/>
  <c r="A14" i="7"/>
  <c r="A15" i="7" s="1"/>
  <c r="A16" i="7" s="1"/>
  <c r="A17" i="7" s="1"/>
  <c r="A18" i="7" s="1"/>
  <c r="A19" i="7" s="1"/>
  <c r="A20" i="7" s="1"/>
  <c r="A14" i="5"/>
  <c r="A15" i="5" s="1"/>
  <c r="A16" i="5" s="1"/>
  <c r="A17" i="5" s="1"/>
  <c r="A18" i="5" s="1"/>
  <c r="A19" i="5" s="1"/>
  <c r="A20" i="5" s="1"/>
  <c r="A21" i="5" s="1"/>
  <c r="A22" i="5" s="1"/>
  <c r="A23" i="5" s="1"/>
  <c r="A7" i="7"/>
  <c r="A6" i="7"/>
  <c r="A5" i="7"/>
  <c r="A4" i="7"/>
  <c r="A3" i="7"/>
  <c r="A2" i="7"/>
  <c r="A1" i="7"/>
  <c r="E15" i="5" a="1"/>
  <c r="E15" i="7" a="1"/>
  <c r="E23" i="5" a="1"/>
  <c r="E15" i="5" l="1"/>
  <c r="E15" i="7"/>
  <c r="E23" i="5"/>
  <c r="A7" i="5" l="1"/>
  <c r="A6" i="5"/>
  <c r="A5" i="5"/>
  <c r="A4" i="5"/>
  <c r="A3" i="5"/>
  <c r="A2" i="5"/>
  <c r="A1"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<sst xmlns="http://schemas.openxmlformats.org/spreadsheetml/2006/main" count="4206" uniqueCount="1092">
  <si>
    <t>CDISC SDTM datasets specification template</t>
  </si>
  <si>
    <t>Author: Jonathan Jaeger</t>
  </si>
  <si>
    <t>This document is a template for CDISC SDTM datasets specifications. It contains the backbone structures and instructions to fill out the sheets.Outside of covervage, the table of content and the codelist, each specific sheet corresponds to the specifications for the programming of the relevant SDTM datasets. Instructions are in italic blue. Remove this front page and the instruction before finalizing the document.</t>
  </si>
  <si>
    <t>Company logo</t>
  </si>
  <si>
    <t>CDISC SDTM datasets specifications</t>
  </si>
  <si>
    <t>Protocol title:</t>
  </si>
  <si>
    <t>Protocol number:</t>
  </si>
  <si>
    <t>CDISC SDTM datasets specification version (date):</t>
  </si>
  <si>
    <t>Sponsor:</t>
  </si>
  <si>
    <t>Investigational therapy:</t>
  </si>
  <si>
    <t>Development phase:</t>
  </si>
  <si>
    <t>EudraCT number:</t>
  </si>
  <si>
    <t>IND number:</t>
  </si>
  <si>
    <t>Insert protocol title</t>
  </si>
  <si>
    <t>Insert protocol number</t>
  </si>
  <si>
    <t>Insert version (date) under format x.z (DD-Mmm-YYYY)</t>
  </si>
  <si>
    <t>Insert company name and address</t>
  </si>
  <si>
    <t>Insert investigational therapy under evaluation</t>
  </si>
  <si>
    <t>Insert phase number</t>
  </si>
  <si>
    <t>Insert EudraCT number (if existing, otherwise remove)</t>
  </si>
  <si>
    <t>Insert IND number (if existing, otherwise remove)</t>
  </si>
  <si>
    <t>CDISC SDTM Implementation guide used:</t>
  </si>
  <si>
    <t>3.4 (21-Jul-2022)</t>
  </si>
  <si>
    <t>Order</t>
  </si>
  <si>
    <t>Trial Design</t>
  </si>
  <si>
    <t>Tabulation</t>
  </si>
  <si>
    <t>TA</t>
  </si>
  <si>
    <t>Trial Arms</t>
  </si>
  <si>
    <t>One record per planned Element per Arm</t>
  </si>
  <si>
    <t>ta.xpt</t>
  </si>
  <si>
    <t>STUDYID, ARMCD, TAETORD</t>
  </si>
  <si>
    <t>Dataset</t>
  </si>
  <si>
    <t>Variable Name</t>
  </si>
  <si>
    <t>Dataset Name</t>
  </si>
  <si>
    <t>Dataset Description</t>
  </si>
  <si>
    <t>Dataset Class</t>
  </si>
  <si>
    <t>Dataset Structure</t>
  </si>
  <si>
    <t>Dataset Purpose</t>
  </si>
  <si>
    <t>Dataset Keys</t>
  </si>
  <si>
    <t>Dataset Location</t>
  </si>
  <si>
    <t>Dataset Documentation</t>
  </si>
  <si>
    <t>Variable Label</t>
  </si>
  <si>
    <t>Controlled Terms, Codelist or Format</t>
  </si>
  <si>
    <t>Role</t>
  </si>
  <si>
    <t>CDISC Notes</t>
  </si>
  <si>
    <t>Core</t>
  </si>
  <si>
    <t>Variable Type</t>
  </si>
  <si>
    <t>Variable Order</t>
  </si>
  <si>
    <t>Origin</t>
  </si>
  <si>
    <t>Variable Length</t>
  </si>
  <si>
    <t>Derivations</t>
  </si>
  <si>
    <t>Comments</t>
  </si>
  <si>
    <t>Raw Datasets Used</t>
  </si>
  <si>
    <t>SDTM Datasets Used</t>
  </si>
  <si>
    <t>Program Location</t>
  </si>
  <si>
    <t>STUDYID</t>
  </si>
  <si>
    <t>Study Identifier</t>
  </si>
  <si>
    <t>Char</t>
  </si>
  <si>
    <t>Identifier</t>
  </si>
  <si>
    <t>Protocol</t>
  </si>
  <si>
    <r>
      <t>STUDYID="</t>
    </r>
    <r>
      <rPr>
        <i/>
        <sz val="10"/>
        <color rgb="FF4472C4"/>
        <rFont val="Helvetica Neue"/>
      </rPr>
      <t>Insert protocol number</t>
    </r>
    <r>
      <rPr>
        <sz val="10"/>
        <color theme="1"/>
        <rFont val="Helvetica Neue"/>
      </rPr>
      <t>"</t>
    </r>
  </si>
  <si>
    <t>Unique identifier for a study.</t>
  </si>
  <si>
    <t>Req</t>
  </si>
  <si>
    <t>DOMAIN</t>
  </si>
  <si>
    <t>Domain Abbreviation</t>
  </si>
  <si>
    <t>OID</t>
  </si>
  <si>
    <t>Name
(CDISC Submission Value)</t>
  </si>
  <si>
    <t>DataType Extensible</t>
  </si>
  <si>
    <t>NCI Code</t>
  </si>
  <si>
    <t>CDISC Synonym</t>
  </si>
  <si>
    <t>CDISC Definition</t>
  </si>
  <si>
    <t>Preferred Term</t>
  </si>
  <si>
    <t>Yes</t>
  </si>
  <si>
    <t>C66734</t>
  </si>
  <si>
    <t>SDTM Domain Abbreviation</t>
  </si>
  <si>
    <t>A unique, 2-character domain code used in the regulatory submission process. The domain abbreviation is used consistently throughout the submission, i.e. in the dataset name, as the value of the domain variable within the dataset, and as a prefix for most variable names in the dataset. (CDISC Glossary)</t>
  </si>
  <si>
    <t>CDISC SDTM Submission Domain Abbreviation Terminology</t>
  </si>
  <si>
    <t>CL.C66734.DOMAIN</t>
  </si>
  <si>
    <t>C49618</t>
  </si>
  <si>
    <t>A trial design domain that contains each planned arm in the trial.</t>
  </si>
  <si>
    <t>Trial Arms Domain</t>
  </si>
  <si>
    <t>First Level</t>
  </si>
  <si>
    <t>Second level</t>
  </si>
  <si>
    <t>Assigned</t>
  </si>
  <si>
    <t>DOMAIN="TA"</t>
  </si>
  <si>
    <t>Two-character abbreviation for the domain.</t>
  </si>
  <si>
    <t>ARMCD</t>
  </si>
  <si>
    <t>Planned Arm Code</t>
  </si>
  <si>
    <t>*</t>
  </si>
  <si>
    <t>Topic</t>
  </si>
  <si>
    <t>ARMCD is limited to 20 characters and does not have special character restrictions. The maximum length of ARMCD is longer than that for other "short" variables to accommodate the kind of values that are likely to be needed for crossover trials. For example, if ARMCD values for a 7-period crossover were constructed using 2-character abbreviations for each treatment and separating hyphens, the length of ARMCD values would be 20.</t>
  </si>
  <si>
    <t>ARM</t>
  </si>
  <si>
    <t>Description of Planned Arm</t>
  </si>
  <si>
    <t>Synonym Qualifier</t>
  </si>
  <si>
    <t>Insert number of characters from the protocol number</t>
  </si>
  <si>
    <t>Insert number of characters from maximum length of the planned arm code</t>
  </si>
  <si>
    <t>Insert number of characters from maximum length of the description of planned arm</t>
  </si>
  <si>
    <t>Create a record for each planned arm code for each element</t>
  </si>
  <si>
    <t>Create a record to describe each planned arm code for each element</t>
  </si>
  <si>
    <t xml:space="preserve">Name given to an arm or treatment group. </t>
  </si>
  <si>
    <t>TAETORD</t>
  </si>
  <si>
    <t>Planned Order of Element within Arm</t>
  </si>
  <si>
    <t>Num</t>
  </si>
  <si>
    <t>Timing</t>
  </si>
  <si>
    <t>Number that gives the order of the element within the arm.</t>
  </si>
  <si>
    <t>Create a chronological record for each element code</t>
  </si>
  <si>
    <t>ETCD</t>
  </si>
  <si>
    <t>Element Code</t>
  </si>
  <si>
    <t>Record Qualifier</t>
  </si>
  <si>
    <t>Insert number of characters from maximum length of the element code</t>
  </si>
  <si>
    <t>ETCD (the companion to ELEMENT) is limited to 8 characters and does not have special character restrictions. These values should be short for ease of use in programming, but it is not expected that ETCD will need to serve as a variable name.</t>
  </si>
  <si>
    <t>Create a record for each element code (for example for screening, treatment and follow-up)</t>
  </si>
  <si>
    <t>ELEMENT</t>
  </si>
  <si>
    <t>Description of Element</t>
  </si>
  <si>
    <t>The name of the element. The same element may occur more
than once within an arm.</t>
  </si>
  <si>
    <t>Perm</t>
  </si>
  <si>
    <t>Insert number of characters from maximum length of the element</t>
  </si>
  <si>
    <t>Create a record to describe each element code</t>
  </si>
  <si>
    <t>TABRANCH</t>
  </si>
  <si>
    <t>TATRANS</t>
  </si>
  <si>
    <t>EPOCH</t>
  </si>
  <si>
    <t>Branch</t>
  </si>
  <si>
    <t>Transition Rule</t>
  </si>
  <si>
    <t>Epoch</t>
  </si>
  <si>
    <t>Rule</t>
  </si>
  <si>
    <t>Condition subject met, at a "branch" in the trial design at the end of this element, to be included in this arm (e.g., "Randomization to DRUG X").</t>
  </si>
  <si>
    <t>If the trial design allows a subject to transition to an element other than the next element in sequence, then the conditions for transitioning to those other elements, and the alternative element sequences, are specified in this rule (e.g., "Responders go to washout").</t>
  </si>
  <si>
    <t>Exp</t>
  </si>
  <si>
    <t>Name of the trial epoch with which this element of the arm is associated.</t>
  </si>
  <si>
    <t>CL.C99079.EPOCH</t>
  </si>
  <si>
    <t>The name of the EPOCH.</t>
  </si>
  <si>
    <t>CDISC SDTM Epoch Terminology</t>
  </si>
  <si>
    <t>C125938</t>
  </si>
  <si>
    <t>C102255</t>
  </si>
  <si>
    <t>C123452</t>
  </si>
  <si>
    <t>C99158</t>
  </si>
  <si>
    <t>C123453</t>
  </si>
  <si>
    <t>C16032</t>
  </si>
  <si>
    <t>C165873</t>
  </si>
  <si>
    <t>C102256</t>
  </si>
  <si>
    <t>C98779</t>
  </si>
  <si>
    <t>C48262</t>
  </si>
  <si>
    <t>C101526</t>
  </si>
  <si>
    <t>C42872</t>
  </si>
  <si>
    <t>BASELINE</t>
  </si>
  <si>
    <t>BLINDED TREATMENT</t>
  </si>
  <si>
    <t>CONTINUATION TREATMENT</t>
  </si>
  <si>
    <t>FOLLOW-UP</t>
  </si>
  <si>
    <t>INDUCTION TREATMENT</t>
  </si>
  <si>
    <t>LONG-TERM FOLLOW-UP</t>
  </si>
  <si>
    <t>OBSERVATION</t>
  </si>
  <si>
    <t>OPEN LABEL TREATMENT</t>
  </si>
  <si>
    <t>RUN-IN</t>
  </si>
  <si>
    <t>SCREENING</t>
  </si>
  <si>
    <t>TREATMENT</t>
  </si>
  <si>
    <t>WASHOUT</t>
  </si>
  <si>
    <t>A period in a clinical study after eligibility has been met and before the start of treatment, at which baseline measurements are collected.</t>
  </si>
  <si>
    <t>Baseline Epoch</t>
  </si>
  <si>
    <t>A period in a clinical study during which subjects receive blinded therapeutic treatment.</t>
  </si>
  <si>
    <t>Blinded Treatment Epoch</t>
  </si>
  <si>
    <t>Continuation Phase</t>
  </si>
  <si>
    <t>A period in a clinical study during which subjects receive continuation treatment.</t>
  </si>
  <si>
    <t>Continuation Therapy Epoch</t>
  </si>
  <si>
    <t>A period in a clinical study during which information about the health status of an individual is obtained after study interventions have concluded.</t>
  </si>
  <si>
    <t>Clinical Study Follow-up</t>
  </si>
  <si>
    <t>Induction Phase; Intensive Phase</t>
  </si>
  <si>
    <t>A period in a clinical study during which subjects receive induction treatment.</t>
  </si>
  <si>
    <t>Induction Therapy Epoch</t>
  </si>
  <si>
    <t>A period in a clinical study during which information about the health status of an individual is obtained long after study interventions have concluded.</t>
  </si>
  <si>
    <t>Long-term Follow-up</t>
  </si>
  <si>
    <t>A period in a clinical study during which subjects are observed, without any planned intervention.</t>
  </si>
  <si>
    <t>Observation Study Epoch</t>
  </si>
  <si>
    <t>A period in a clinical study during which subjects receive open label therapeutic treatment.</t>
  </si>
  <si>
    <t>Open Label Treatment Epoch</t>
  </si>
  <si>
    <t>A period in a clinical study that occurs before the commencement of the primary clinical study investigation, during which subjects may be assessed for suitability in the clinical study, withdrawn from existing therapy, trained in study methodology or evaluated for any other protocol-specified reason.</t>
  </si>
  <si>
    <t>Run-in Period</t>
  </si>
  <si>
    <t>A period in a clinical study during which subjects are evaluated for participation in the study.</t>
  </si>
  <si>
    <t>Trial Screening</t>
  </si>
  <si>
    <t>A period in a study during which subjects are receiving investigational therapy or treatment.</t>
  </si>
  <si>
    <t>Treatment Epoch</t>
  </si>
  <si>
    <t>A period of time during a study when a subject is taken off of the investigational therapy or treatment in order to reduce the amount of investigational product within the body.</t>
  </si>
  <si>
    <t>Washout Period</t>
  </si>
  <si>
    <t>C99079</t>
  </si>
  <si>
    <t>Insert number of characters from maximum length of the branch</t>
  </si>
  <si>
    <t>Insert number of characters from maximum length of the transition rule</t>
  </si>
  <si>
    <t>Insert number of characters from maximum length of the epoch</t>
  </si>
  <si>
    <t>Create a record for each outcoume of a branch decision point in the trial design for subjects in the arm</t>
  </si>
  <si>
    <t>Create record only if transition to element are not sequential</t>
  </si>
  <si>
    <t>Create record matching the best with the allowable extensible codelist</t>
  </si>
  <si>
    <t>If any, list all raw datasets to be used for the dataset creation</t>
  </si>
  <si>
    <t>If any, list all SDTM datasets to be used for the dataset creation</t>
  </si>
  <si>
    <t>SDTMIG Section</t>
  </si>
  <si>
    <t>https://www.cdisc.org/system/files/members/standard/foundational/SDTMIG%20v3.4-FINAL_2022-07-21.pdf#page=384</t>
  </si>
  <si>
    <t>TE</t>
  </si>
  <si>
    <t>Trial Elements</t>
  </si>
  <si>
    <t>One record per planned Element</t>
  </si>
  <si>
    <t>STUDYID, ETCD</t>
  </si>
  <si>
    <t>te.xpt</t>
  </si>
  <si>
    <t>https://www.cdisc.org/system/files/members/standard/foundational/SDTMIG%20v3.4-FINAL_2022-07-21.pdf#page=402</t>
  </si>
  <si>
    <t>TESTRL</t>
  </si>
  <si>
    <t>TEENRL</t>
  </si>
  <si>
    <t>TEDUR</t>
  </si>
  <si>
    <t>Rule for Start of Element</t>
  </si>
  <si>
    <t>Rule for End of Element</t>
  </si>
  <si>
    <t>Planned Duration of Element</t>
  </si>
  <si>
    <t>ISO 8601 duration</t>
  </si>
  <si>
    <t>ETCD (the companion to ELEMENT) is limited to 8 characters and does not have special character restrictions.
These values should be short for ease of use in programming, but it is not expected that ETCD will need to serve as a variable name.</t>
  </si>
  <si>
    <t>The name of the element.</t>
  </si>
  <si>
    <t>Describes condition for beginning element.</t>
  </si>
  <si>
    <t>Describes condition for ending element. Either TEENRL or TEDUR must be present for each element.</t>
  </si>
  <si>
    <t>Planned duration of element in ISO 8601 format. Used when the rule for ending the element is applied after a fixed duration.</t>
  </si>
  <si>
    <t>A trial design domain that contains the element code that is unique for each element, the element description, and the rules for starting and ending an element.</t>
  </si>
  <si>
    <t>Trial Elements Domain</t>
  </si>
  <si>
    <t>C49619</t>
  </si>
  <si>
    <t>Signature</t>
  </si>
  <si>
    <t>Author</t>
  </si>
  <si>
    <t>Name, Degree(s)
Title</t>
  </si>
  <si>
    <t>Date</t>
  </si>
  <si>
    <t>Reviewer</t>
  </si>
  <si>
    <t>Approver</t>
  </si>
  <si>
    <t>CDISC SDTM datasets specifications amendment history</t>
  </si>
  <si>
    <t>Amendment N (DD-Mmm-YYYY)</t>
  </si>
  <si>
    <t>Amendment rationale</t>
  </si>
  <si>
    <t>Changes to the previous version of the CDISC SDTM datasets specifications</t>
  </si>
  <si>
    <t>Amendment 1 (DD-Mmm-YYYY)</t>
  </si>
  <si>
    <t>Amendment N-1 (DD-Mmm-YYYY)</t>
  </si>
  <si>
    <t>Template</t>
  </si>
  <si>
    <t>&lt;enter dataset location&gt;</t>
  </si>
  <si>
    <t>&lt;enter program location&gt;</t>
  </si>
  <si>
    <t>&lt;enter dataset keys&gt;</t>
  </si>
  <si>
    <r>
      <t xml:space="preserve">One record per </t>
    </r>
    <r>
      <rPr>
        <i/>
        <sz val="10"/>
        <color rgb="FF4472C4"/>
        <rFont val="Helvetica Neue"/>
      </rPr>
      <t>&lt;enter structure&gt;</t>
    </r>
  </si>
  <si>
    <t>&lt;enter template class&gt;</t>
  </si>
  <si>
    <t>&lt;enter template description&gt;</t>
  </si>
  <si>
    <t>&lt;enter variable name&gt;</t>
  </si>
  <si>
    <t>&lt;enter variable description&gt;</t>
  </si>
  <si>
    <t>…</t>
  </si>
  <si>
    <t>For each amendment, insert a block with rational and changes versus pervious version of the specification. Delete this row with instructions before printing out/requesting signature</t>
  </si>
  <si>
    <t>Complete the author, reviewer and approver signature boxes. In case of multiple authors, reviewers, approvers, add rows as needed</t>
  </si>
  <si>
    <t>DOMAIN="TE"</t>
  </si>
  <si>
    <t>Create a record for each element code describing the rule for the end of the element</t>
  </si>
  <si>
    <t>Create a record for each element code describing the rule for the start of the element</t>
  </si>
  <si>
    <t>Create a record for each element code describing the planned duration of the element.</t>
  </si>
  <si>
    <t>Format</t>
  </si>
  <si>
    <t>Description</t>
  </si>
  <si>
    <t>Description available under https://www.cdisc.org/system/files/members/standard/foundational/SDTMIG%20v3.4-FINAL_2022-07-21.pdf#page=40</t>
  </si>
  <si>
    <t>Insert number of characters from maximum length of the variable</t>
  </si>
  <si>
    <t>Insert the link to the page from the SDTMIG where the description of the rules are starting</t>
  </si>
  <si>
    <t>TI</t>
  </si>
  <si>
    <t>ti.xpt</t>
  </si>
  <si>
    <t>TV</t>
  </si>
  <si>
    <t>Trial Visits</t>
  </si>
  <si>
    <t>One record per planned Visit per Arm</t>
  </si>
  <si>
    <t>STUDYID, ARM, VISIT</t>
  </si>
  <si>
    <t>https://www.cdisc.org/system/files/members/standard/foundational/SDTMIG%20v3.4-FINAL_2022-07-21.pdf#page=407</t>
  </si>
  <si>
    <t>tv.xpt</t>
  </si>
  <si>
    <t>C49621</t>
  </si>
  <si>
    <t>A trial design domain that contains the planned order and number of visits in the study within each arm.</t>
  </si>
  <si>
    <t>Trial Visits Domain</t>
  </si>
  <si>
    <t>VISITNUM</t>
  </si>
  <si>
    <t>VISIT</t>
  </si>
  <si>
    <t>VISITDY</t>
  </si>
  <si>
    <t>TVSTRL</t>
  </si>
  <si>
    <t>TVENRL</t>
  </si>
  <si>
    <t>Visit Number</t>
  </si>
  <si>
    <t>Visit Name</t>
  </si>
  <si>
    <t>Planned Study Day of Visit</t>
  </si>
  <si>
    <t>Visit Start Rule</t>
  </si>
  <si>
    <t>Visit End Rule</t>
  </si>
  <si>
    <t>Clinical encounter number. Numeric version of VISIT, used for sorting.</t>
  </si>
  <si>
    <t>Description of clinical encounter. This is often defined in the protocol. Used in addition to VISITNUM and/or VISITDY as a text description of the clinical encounter.</t>
  </si>
  <si>
    <t>Planned study day of VISIT. Due to its sequential nature, used for sorting.</t>
  </si>
  <si>
    <t>1. ARMCD is limited to 20 characters and does not have special character restrictions. The maximum length of ARMCD is longer than for other "short" variables to accommodate the kind of values that are likely to be needed for crossover trials. For example, if ARMCD values for a 7-period crossover were constructed using 2-character abbreviations for each treatment and separating hyphens, the length of ARMCD values would be 20.
2. If the timing of visits for a trial does not depend on which arm a subject is in, then ARMCD should be null.</t>
  </si>
  <si>
    <t>1. Name given to an arm or treatment group.
2. If the timing of visits for a trial does not depend on which arm a subject is in, then Arm should be left blank.</t>
  </si>
  <si>
    <t>Rule describing when the visit starts, in relation to the sequence of elements.</t>
  </si>
  <si>
    <t>Rule describing when the visit ends, in relation to the sequence of elements.</t>
  </si>
  <si>
    <t>DOMAIN="TV"</t>
  </si>
  <si>
    <t xml:space="preserve">Create a visit number for each visit planned in the protocol. </t>
  </si>
  <si>
    <t>Create a visit name for each visit planned in the protocol</t>
  </si>
  <si>
    <t>Create a record giving the planned study day for each visit planned in the protocol</t>
  </si>
  <si>
    <t>In case a visit is arm specific, specify the planned arm code. Otherwise leave blank</t>
  </si>
  <si>
    <t>In case a visit is arm specific, specify the description of the planned arm. Otherwise leave blank</t>
  </si>
  <si>
    <t>Create a record to describe the rule for the start of the visit (to be linked with the epoch)</t>
  </si>
  <si>
    <t>Create a record to describe the rule for the end of the visit (to be linked with the epoch)</t>
  </si>
  <si>
    <t>TD</t>
  </si>
  <si>
    <t>Trial Disease Assessments</t>
  </si>
  <si>
    <t>One record per planned constant assessment period</t>
  </si>
  <si>
    <t>td.xpt</t>
  </si>
  <si>
    <t>STUDYID, TDORDER</t>
  </si>
  <si>
    <t>C117699</t>
  </si>
  <si>
    <t>A trial design domain that provides information on the protocol-specified disease assessment schedule, to be used for comparison with the actual occurrence of the efficacy assessments in order to determine whether there was good compliance with the schedule.</t>
  </si>
  <si>
    <t>Trial Disease Assessments Domain</t>
  </si>
  <si>
    <t>DOMAIN="TD"</t>
  </si>
  <si>
    <t>https://www.cdisc.org/system/files/members/standard/foundational/SDTMIG%20v3.4-FINAL_2022-07-21.pdf#page=410</t>
  </si>
  <si>
    <t>TDORDER</t>
  </si>
  <si>
    <t>TDANCVAR</t>
  </si>
  <si>
    <t>TDSTOFF</t>
  </si>
  <si>
    <t>TDTGTPAI</t>
  </si>
  <si>
    <t>TDMINPAI</t>
  </si>
  <si>
    <t>TDMAXPAI</t>
  </si>
  <si>
    <t>TDNUMRPT</t>
  </si>
  <si>
    <t>Sequence of Planned Assessment Schedule</t>
  </si>
  <si>
    <t>Anchor Variable Name</t>
  </si>
  <si>
    <t>Offset from the Anchor</t>
  </si>
  <si>
    <t>Planned Assessment Interval</t>
  </si>
  <si>
    <t>Planned Assessment Interval Minimum</t>
  </si>
  <si>
    <t>Planned Assessment Interval Maximum</t>
  </si>
  <si>
    <t>Maximum Number of Actual Assessments</t>
  </si>
  <si>
    <t>A number given to ensure ordinal sequencing of the planned assessment schedules within a trial.</t>
  </si>
  <si>
    <t>A reference to the date variable name that provides the start point from which the planned disease assessment schedule is measured. This must be a referenced from the ADaM ADSL dataset (e.g., "ANCH1DT"). Note: TDANCVAR will contain the name of a reference date variable</t>
  </si>
  <si>
    <t>A fixed offset from the date provided by the variable referenced in TDANCVAR. This is used when the timing of planned cycles does not start on the exact day referenced in the variable indicated in TDANCVAR. The value of this variable will be either zero or a positive value and will be represented in ISO 8601 character format.</t>
  </si>
  <si>
    <t>The planned interval between disease assessments represented in ISO 8601 character format.</t>
  </si>
  <si>
    <t>The lower limit of the allowed range for the planned interval between disease assessments represented in ISO 8601 character format.</t>
  </si>
  <si>
    <t>The upper limit of the allowed range for the planned interval between disease assessments represented in ISO 8601 character format.</t>
  </si>
  <si>
    <t>This variable must represent the maximum number of actual assessments for the analysis that this disease assessment schedule describes. In a trial where the maximum number of assessments is not defined explicitly in the protocol (e.g., assessments occur until death), TDNUMRPT should represent the maximum number of disease assessments that support the efficacy analysis encountered by any subject across the trial at that point in time.</t>
  </si>
  <si>
    <t>TM</t>
  </si>
  <si>
    <t>Trial Disease Milestones</t>
  </si>
  <si>
    <t>One record per Disease Milestone type</t>
  </si>
  <si>
    <t>tm.xpt</t>
  </si>
  <si>
    <t>STUDYID, MIDSTYPE</t>
  </si>
  <si>
    <t>A trial design domain that is used to describe disease milestones, which are observations or activities anticipated to occur in the course of the disease under study, and which trigger the collection of data.</t>
  </si>
  <si>
    <t>Trial Disease Milestones Domain</t>
  </si>
  <si>
    <t>C147270</t>
  </si>
  <si>
    <t>https://www.cdisc.org/system/files/members/standard/foundational/SDTMIG%20v3.4-FINAL_2022-07-21.pdf#page=415</t>
  </si>
  <si>
    <t>DOMAIN="TM"</t>
  </si>
  <si>
    <t>MIDSTYPE</t>
  </si>
  <si>
    <t>Disease Milestone Type</t>
  </si>
  <si>
    <t>TMDEF</t>
  </si>
  <si>
    <t>TMRPT</t>
  </si>
  <si>
    <t>Disease Milestone Repetition Indicator</t>
  </si>
  <si>
    <t>Disease Milestone Definition</t>
  </si>
  <si>
    <t>Variable Qualifier</t>
  </si>
  <si>
    <t>CL.C66742.NY</t>
  </si>
  <si>
    <t>No</t>
  </si>
  <si>
    <t>C66742</t>
  </si>
  <si>
    <t>No Yes Response</t>
  </si>
  <si>
    <t>A term that is used to indicate a question with permissible values of yes/no/unknown/not applicable.</t>
  </si>
  <si>
    <t>CDISC SDTM Yes No Unknown or Not Applicable Response Terminology</t>
  </si>
  <si>
    <t>The non-affirmative response to a question. (NCI)</t>
  </si>
  <si>
    <t>NA; Not Applicable</t>
  </si>
  <si>
    <t>Determination of a value is not relevant in the current context. (NCI)</t>
  </si>
  <si>
    <t>Not Applicable</t>
  </si>
  <si>
    <t>U; UNK; Unknown</t>
  </si>
  <si>
    <t>Not known, not observed, not recorded, or refused. (NCI)</t>
  </si>
  <si>
    <t>Unknown</t>
  </si>
  <si>
    <t>The affirmative response to a question. (NCI)</t>
  </si>
  <si>
    <t>N</t>
  </si>
  <si>
    <t>NA</t>
  </si>
  <si>
    <t>U</t>
  </si>
  <si>
    <t>Y</t>
  </si>
  <si>
    <t>C49487</t>
  </si>
  <si>
    <t>C48660</t>
  </si>
  <si>
    <t>C17998</t>
  </si>
  <si>
    <t>C49488</t>
  </si>
  <si>
    <t>NY</t>
  </si>
  <si>
    <t>The type of disease milestone. Example: "HYPOGLYCEMIC EVENT".</t>
  </si>
  <si>
    <t>Definition of the disease milestone.</t>
  </si>
  <si>
    <t>Indicates whether this is a disease milestone that can occur only once ("N") or a type of disease milestone that can occur multiple times ("Y").</t>
  </si>
  <si>
    <t>TS</t>
  </si>
  <si>
    <t>ts.xpt</t>
  </si>
  <si>
    <t>Trial Inclusion/Exclusion Criteria</t>
  </si>
  <si>
    <t>One record per I/E criterion</t>
  </si>
  <si>
    <t>Trial Summary</t>
  </si>
  <si>
    <t>One record per trial summary parameter value</t>
  </si>
  <si>
    <t>STUDYID, IETESTCD</t>
  </si>
  <si>
    <t>STUDYID, TSPARMCD,
TSSEQ</t>
  </si>
  <si>
    <t>C49620</t>
  </si>
  <si>
    <t>C53483</t>
  </si>
  <si>
    <t>A trial design domain that contains one record for each trial summary characteristic. This domain is not subject oriented.</t>
  </si>
  <si>
    <t>Trial Summary Domain</t>
  </si>
  <si>
    <t>A trial design domain that contains one record for each of the inclusion and exclusion criteria for the trial. This domain is not subject oriented.</t>
  </si>
  <si>
    <t>Trial Inclusion and Exclusion Criteria Domain</t>
  </si>
  <si>
    <t>https://www.cdisc.org/system/files/members/standard/foundational/SDTMIG%20v3.4-FINAL_2022-07-21.pdf#page=416</t>
  </si>
  <si>
    <t>IETESTCD</t>
  </si>
  <si>
    <t>IETEST</t>
  </si>
  <si>
    <t>IECAT</t>
  </si>
  <si>
    <t>IESCAT</t>
  </si>
  <si>
    <t>TIRL</t>
  </si>
  <si>
    <t>TIVERS</t>
  </si>
  <si>
    <t>Incl/Excl Criterion Short Name</t>
  </si>
  <si>
    <t>DOMAIN="TI"</t>
  </si>
  <si>
    <t>Short name IETEST. It can be used as a column name when converting a dataset from a vertical to a horizontal format. The value in IETESTCD cannot be longer than 8 characters, nor can it start with a number (e.g., "1TEST" is not valid). IETESTCD cannot contain characters other than letters, numbers, or underscores. The prefix "IE" is used to ensure consistency with the IE domain.</t>
  </si>
  <si>
    <t>Inclusion/Exclusion Criterion</t>
  </si>
  <si>
    <t>Inclusion/Exclusion Category</t>
  </si>
  <si>
    <t>Inclusion/Exclusion Subcategory</t>
  </si>
  <si>
    <t>Inclusion/Exclusion Criterion Rule</t>
  </si>
  <si>
    <t>Protocol Criteria Versions</t>
  </si>
  <si>
    <t>Full text of the inclusion or exclusion criterion. The prefix "IE" is used to ensure consistency with the IE domain.</t>
  </si>
  <si>
    <t>Used for categorization of the inclusion or exclusion criteria.</t>
  </si>
  <si>
    <t>A further categorization of the exception criterion. Can be used to distinguish criteria for a sub-study or to categorize as major or minor exceptions. Examples: "MAJOR", "MINOR".</t>
  </si>
  <si>
    <t>Grouping Qualifier</t>
  </si>
  <si>
    <t>Rule that expresses the criterion in computer-executable form. See Assumption 4.</t>
  </si>
  <si>
    <t>The number of this version of the Inclusion/Exclusion criteria. May be omitted if there is only 1 version.</t>
  </si>
  <si>
    <t>C66797</t>
  </si>
  <si>
    <t>Category of Inclusion/Exclusion</t>
  </si>
  <si>
    <t>A collection of criteria on which subjects are evaluated and that must be met by all study subjects. (NCI)</t>
  </si>
  <si>
    <t>CDISC SDTM Category for Inclusion And Or Exclusion Terminology</t>
  </si>
  <si>
    <t>EXCLUSION</t>
  </si>
  <si>
    <t>INCLUSION</t>
  </si>
  <si>
    <t>C25370</t>
  </si>
  <si>
    <t>C25532</t>
  </si>
  <si>
    <t>List of characteristics in a protocol, any one of which may exclude a potential subject from participation in a study. (CDISC glossary)</t>
  </si>
  <si>
    <t>Exclusion Criteria</t>
  </si>
  <si>
    <t>The criteria in a protocol that prospective subjects must meet to be eligible for participation in a study. NOTE: Exclusion and inclusion criteria define the study population. See also exclusion criteria. (CDISC glossary)</t>
  </si>
  <si>
    <t>Inclusion Criteria</t>
  </si>
  <si>
    <t>CL.C66797.IECAT</t>
  </si>
  <si>
    <t>DOMAIN="TS"</t>
  </si>
  <si>
    <t>TSSEQ</t>
  </si>
  <si>
    <t>TSGRPID</t>
  </si>
  <si>
    <t>TSPARMCD</t>
  </si>
  <si>
    <t>TSPARM</t>
  </si>
  <si>
    <t>TSVAL</t>
  </si>
  <si>
    <t>TSVALNF</t>
  </si>
  <si>
    <t>TSVALCD</t>
  </si>
  <si>
    <t>TSVCDREF</t>
  </si>
  <si>
    <t>TSVCDVER</t>
  </si>
  <si>
    <t>Sequence Number</t>
  </si>
  <si>
    <t>Group ID</t>
  </si>
  <si>
    <t>Trial Summary Parameter Short Name</t>
  </si>
  <si>
    <t>Trial Summary Parameter</t>
  </si>
  <si>
    <t>Parameter Value</t>
  </si>
  <si>
    <t>Parameter Value Null Flavor</t>
  </si>
  <si>
    <t>Parameter Value Code</t>
  </si>
  <si>
    <t>Name of the Reference Terminology</t>
  </si>
  <si>
    <t>Version of the Reference Terminology</t>
  </si>
  <si>
    <t>Result Qualifier</t>
  </si>
  <si>
    <t>Sequence number given to ensure uniqueness within a parameter. Allows inclusion of multiple records for the same TSPARMCD.</t>
  </si>
  <si>
    <t>Used to tie together a group of related records.</t>
  </si>
  <si>
    <t>TSPARMCD (the companion to TSPARM) is limited to 8 characters and does not have special character restrictions. These values should be short for ease of use in programming, but it is not expected that TSPARMCD will need to serve as variable names. Examples: "AGEMIN", "AGEMAX".</t>
  </si>
  <si>
    <t>Term for the trial summary parameter. The value in TSPARM cannot be longer than 40 characters. Examples: "Planned Minimum Age of Subjects", "Planned Maximum Age of Subjects".</t>
  </si>
  <si>
    <t>Value of TSPARM. Example: "ASTHMA" when TSPARM value is "Trial Indication". TSVAL can only be null when TSVALNF is populated. Text over 200 characters can be added to additional columns TSVAL1-TSVALn. See Assumption 8.</t>
  </si>
  <si>
    <t>Null flavor for the value of TSPARM, to be populated only if TSVAL is null.</t>
  </si>
  <si>
    <t>This is the code of the term in TSVAL. For example, "6CW7F3G59X" is the code for gabapentin; "C49488" is the code for Y. The length of this variable can be longer than 8 to accommodate the length of the external terminology.</t>
  </si>
  <si>
    <t>The name of the reference terminology from which TSVALCD is taken. For example; CDISC CT, SNOMED, ISO 8601.</t>
  </si>
  <si>
    <t>The version number of the reference terminology, if applicable.</t>
  </si>
  <si>
    <t>C66738</t>
  </si>
  <si>
    <t>Trial Summary Parameter Test Code</t>
  </si>
  <si>
    <t>The test code for an individual characteristic of a clinical trial, e.g. description of trial design, trial blinding schema, and primary objective of trial.</t>
  </si>
  <si>
    <t>CDISC SDTM Trial Summary Parameter Short Name Terminology</t>
  </si>
  <si>
    <t>CL.C66738.TSPARMCD</t>
  </si>
  <si>
    <t>ACTSUB</t>
  </si>
  <si>
    <t>ADAPT</t>
  </si>
  <si>
    <t>ADDON</t>
  </si>
  <si>
    <t>AGEMAX</t>
  </si>
  <si>
    <t>AGEMIN</t>
  </si>
  <si>
    <t>BIOSPRET</t>
  </si>
  <si>
    <t>CITNSTDY</t>
  </si>
  <si>
    <t>CMSPSTAT</t>
  </si>
  <si>
    <t>COMPTRT</t>
  </si>
  <si>
    <t>CONEMAIL</t>
  </si>
  <si>
    <t>CONMAIL</t>
  </si>
  <si>
    <t>CONNAME</t>
  </si>
  <si>
    <t>CONPHONE</t>
  </si>
  <si>
    <t>CONROLE</t>
  </si>
  <si>
    <t>CRMDUR</t>
  </si>
  <si>
    <t>CSRARDTC</t>
  </si>
  <si>
    <t>CTAUG</t>
  </si>
  <si>
    <t>CURTRT</t>
  </si>
  <si>
    <t>DCUTDESC</t>
  </si>
  <si>
    <t>DCUTDTC</t>
  </si>
  <si>
    <t>DGFCRIT</t>
  </si>
  <si>
    <t>DMCIND</t>
  </si>
  <si>
    <t>DOSE</t>
  </si>
  <si>
    <t>DOSFRM</t>
  </si>
  <si>
    <t>DOSFRQ</t>
  </si>
  <si>
    <t>DOSRGM</t>
  </si>
  <si>
    <t>DOSU</t>
  </si>
  <si>
    <t>DXCRIT</t>
  </si>
  <si>
    <t>EGBLIND</t>
  </si>
  <si>
    <t>EGCTMON</t>
  </si>
  <si>
    <t>EGLEADPR</t>
  </si>
  <si>
    <t>EGLEADSM</t>
  </si>
  <si>
    <t>EGRDMETH</t>
  </si>
  <si>
    <t>EGREPLBL</t>
  </si>
  <si>
    <t>EGREPLTR</t>
  </si>
  <si>
    <t>EGTWVALG</t>
  </si>
  <si>
    <t>EMAILXML</t>
  </si>
  <si>
    <t>EMPIPDCN</t>
  </si>
  <si>
    <t>EPDISIND</t>
  </si>
  <si>
    <t>EPIDEMIC</t>
  </si>
  <si>
    <t>EURSBIND</t>
  </si>
  <si>
    <t>EVSNDID</t>
  </si>
  <si>
    <t>EVSNDORG</t>
  </si>
  <si>
    <t>EXPARECN</t>
  </si>
  <si>
    <t>EXPASTAT</t>
  </si>
  <si>
    <t>EXTTIND</t>
  </si>
  <si>
    <t>FCNTRY</t>
  </si>
  <si>
    <t>FDADEIND</t>
  </si>
  <si>
    <t>FDADRIND</t>
  </si>
  <si>
    <t>FDATCHSP</t>
  </si>
  <si>
    <t>HLTSUBJI</t>
  </si>
  <si>
    <t>INDIC</t>
  </si>
  <si>
    <t>INTMODEL</t>
  </si>
  <si>
    <t>INTTYPE</t>
  </si>
  <si>
    <t>KEYWORD</t>
  </si>
  <si>
    <t>LENGTH</t>
  </si>
  <si>
    <t>MNFCNTRY</t>
  </si>
  <si>
    <t>MSEUTIND</t>
  </si>
  <si>
    <t>NARMS</t>
  </si>
  <si>
    <t>NCOHORT</t>
  </si>
  <si>
    <t>NUMSEUST</t>
  </si>
  <si>
    <t>OBJEXP</t>
  </si>
  <si>
    <t>OBJPRIM</t>
  </si>
  <si>
    <t>OBJSEC</t>
  </si>
  <si>
    <t>OBSMODEL</t>
  </si>
  <si>
    <t>OBSTIMP</t>
  </si>
  <si>
    <t>OBSTPOPD</t>
  </si>
  <si>
    <t>OBSTSMM</t>
  </si>
  <si>
    <t>OBSTSMMD</t>
  </si>
  <si>
    <t>OUTMSADD</t>
  </si>
  <si>
    <t>OUTMSEXP</t>
  </si>
  <si>
    <t>OUTMSPRI</t>
  </si>
  <si>
    <t>OUTMSSEC</t>
  </si>
  <si>
    <t>PASSIND</t>
  </si>
  <si>
    <t>PCLAS</t>
  </si>
  <si>
    <t>PDPSTIND</t>
  </si>
  <si>
    <t>PDSTIND</t>
  </si>
  <si>
    <t>PIPIND</t>
  </si>
  <si>
    <t>PLANSUB</t>
  </si>
  <si>
    <t>PLNTRDUR</t>
  </si>
  <si>
    <t>PROTRSK</t>
  </si>
  <si>
    <t>PTRTDUR</t>
  </si>
  <si>
    <t>PUBMEDID</t>
  </si>
  <si>
    <t>RANDOM</t>
  </si>
  <si>
    <t>RANDQT</t>
  </si>
  <si>
    <t>RDIND</t>
  </si>
  <si>
    <t>REGID</t>
  </si>
  <si>
    <t>RESUBLTR</t>
  </si>
  <si>
    <t>RLPSCRIT</t>
  </si>
  <si>
    <t>ROUTE</t>
  </si>
  <si>
    <t>RTSPCDES</t>
  </si>
  <si>
    <t>RXMLCIND</t>
  </si>
  <si>
    <t>SDMDUR</t>
  </si>
  <si>
    <t>SDTIGVER</t>
  </si>
  <si>
    <t>SDTMDVER</t>
  </si>
  <si>
    <t>SDTMVER</t>
  </si>
  <si>
    <t>SDXMLIND</t>
  </si>
  <si>
    <t>SENDTC</t>
  </si>
  <si>
    <t>SEVCRIT</t>
  </si>
  <si>
    <t>SEXPOP</t>
  </si>
  <si>
    <t>SPONSOR</t>
  </si>
  <si>
    <t>SPREFID</t>
  </si>
  <si>
    <t>SREVIND</t>
  </si>
  <si>
    <t>SRNCAIND</t>
  </si>
  <si>
    <t>SSEUTIND</t>
  </si>
  <si>
    <t>SSTDTC</t>
  </si>
  <si>
    <t>SSTDYDTL</t>
  </si>
  <si>
    <t>SSTDYIND</t>
  </si>
  <si>
    <t>STOPRULE</t>
  </si>
  <si>
    <t>STRATFCT</t>
  </si>
  <si>
    <t>STYPE</t>
  </si>
  <si>
    <t>TBLIND</t>
  </si>
  <si>
    <t>TCNTRL</t>
  </si>
  <si>
    <t>TDIGRP</t>
  </si>
  <si>
    <t>THERAREA</t>
  </si>
  <si>
    <t>TINDTP</t>
  </si>
  <si>
    <t>TITLE</t>
  </si>
  <si>
    <t>TPHASE</t>
  </si>
  <si>
    <t>TRGFUDUR</t>
  </si>
  <si>
    <t>TRT</t>
  </si>
  <si>
    <t>TTYPE</t>
  </si>
  <si>
    <t>URLSTDY</t>
  </si>
  <si>
    <t>URLSTDYD</t>
  </si>
  <si>
    <t>C98703</t>
  </si>
  <si>
    <t>C146995</t>
  </si>
  <si>
    <t>C49703</t>
  </si>
  <si>
    <t>C49694</t>
  </si>
  <si>
    <t>C49693</t>
  </si>
  <si>
    <t>C126058</t>
  </si>
  <si>
    <t>C127788</t>
  </si>
  <si>
    <t>C127789</t>
  </si>
  <si>
    <t>C68612</t>
  </si>
  <si>
    <t>C176375</t>
  </si>
  <si>
    <t>C176376</t>
  </si>
  <si>
    <t>C176373</t>
  </si>
  <si>
    <t>C176374</t>
  </si>
  <si>
    <t>C176372</t>
  </si>
  <si>
    <t>C98715</t>
  </si>
  <si>
    <t>C139273</t>
  </si>
  <si>
    <t>C156602</t>
  </si>
  <si>
    <t>C85582</t>
  </si>
  <si>
    <t>C98718</t>
  </si>
  <si>
    <t>C98717</t>
  </si>
  <si>
    <t>C135514</t>
  </si>
  <si>
    <t>C127790</t>
  </si>
  <si>
    <t>C25488</t>
  </si>
  <si>
    <t>C42636</t>
  </si>
  <si>
    <t>C89081</t>
  </si>
  <si>
    <t>C71137</t>
  </si>
  <si>
    <t>C73558</t>
  </si>
  <si>
    <t>C117960</t>
  </si>
  <si>
    <t>C119560</t>
  </si>
  <si>
    <t>C119561</t>
  </si>
  <si>
    <t>C119562</t>
  </si>
  <si>
    <t>C119563</t>
  </si>
  <si>
    <t>C119564</t>
  </si>
  <si>
    <t>C119565</t>
  </si>
  <si>
    <t>C119566</t>
  </si>
  <si>
    <t>C119582</t>
  </si>
  <si>
    <t>C127791</t>
  </si>
  <si>
    <t>C126059</t>
  </si>
  <si>
    <t>C171505</t>
  </si>
  <si>
    <t>C171506</t>
  </si>
  <si>
    <t>C126060</t>
  </si>
  <si>
    <t>C126061</t>
  </si>
  <si>
    <t>C126090</t>
  </si>
  <si>
    <t>C127792</t>
  </si>
  <si>
    <t>C127793</t>
  </si>
  <si>
    <t>C139274</t>
  </si>
  <si>
    <t>C98770</t>
  </si>
  <si>
    <t>C123629</t>
  </si>
  <si>
    <t>C123630</t>
  </si>
  <si>
    <t>C156603</t>
  </si>
  <si>
    <t>C98737</t>
  </si>
  <si>
    <t>C112038</t>
  </si>
  <si>
    <t>C98746</t>
  </si>
  <si>
    <t>C98747</t>
  </si>
  <si>
    <t>C126062</t>
  </si>
  <si>
    <t>C49697</t>
  </si>
  <si>
    <t>C124455</t>
  </si>
  <si>
    <t>C127794</t>
  </si>
  <si>
    <t>C98771</t>
  </si>
  <si>
    <t>C126063</t>
  </si>
  <si>
    <t>C127795</t>
  </si>
  <si>
    <t>C163559</t>
  </si>
  <si>
    <t>C85826</t>
  </si>
  <si>
    <t>C85827</t>
  </si>
  <si>
    <t>C126064</t>
  </si>
  <si>
    <t>C126065</t>
  </si>
  <si>
    <t>C126066</t>
  </si>
  <si>
    <t>C126067</t>
  </si>
  <si>
    <t>C126068</t>
  </si>
  <si>
    <t>C156601</t>
  </si>
  <si>
    <t>C98724</t>
  </si>
  <si>
    <t>C98772</t>
  </si>
  <si>
    <t>C98781</t>
  </si>
  <si>
    <t>C139275</t>
  </si>
  <si>
    <t>C98768</t>
  </si>
  <si>
    <t>C123631</t>
  </si>
  <si>
    <t>C123632</t>
  </si>
  <si>
    <t>C126069</t>
  </si>
  <si>
    <t>C49692</t>
  </si>
  <si>
    <t>C127796</t>
  </si>
  <si>
    <t>C139277</t>
  </si>
  <si>
    <t>C139276</t>
  </si>
  <si>
    <t>C127797</t>
  </si>
  <si>
    <t>C25196</t>
  </si>
  <si>
    <t>C98775</t>
  </si>
  <si>
    <t>C126070</t>
  </si>
  <si>
    <t>C98714</t>
  </si>
  <si>
    <t>C126071</t>
  </si>
  <si>
    <t>C117961</t>
  </si>
  <si>
    <t>C38114</t>
  </si>
  <si>
    <t>C126072</t>
  </si>
  <si>
    <t>C127798</t>
  </si>
  <si>
    <t>C98783</t>
  </si>
  <si>
    <t>C156604</t>
  </si>
  <si>
    <t>C189317</t>
  </si>
  <si>
    <t>C156605</t>
  </si>
  <si>
    <t>C127799</t>
  </si>
  <si>
    <t>C90462</t>
  </si>
  <si>
    <t>C117962</t>
  </si>
  <si>
    <t>C49696</t>
  </si>
  <si>
    <t>C70793</t>
  </si>
  <si>
    <t>C135009</t>
  </si>
  <si>
    <t>C126073</t>
  </si>
  <si>
    <t>C126074</t>
  </si>
  <si>
    <t>C127800</t>
  </si>
  <si>
    <t>C69208</t>
  </si>
  <si>
    <t>C126075</t>
  </si>
  <si>
    <t>C126076</t>
  </si>
  <si>
    <t>C49698</t>
  </si>
  <si>
    <t>C16153</t>
  </si>
  <si>
    <t>C142175</t>
  </si>
  <si>
    <t>C49658</t>
  </si>
  <si>
    <t>C49647</t>
  </si>
  <si>
    <t>C49650</t>
  </si>
  <si>
    <t>C101302</t>
  </si>
  <si>
    <t>C49652</t>
  </si>
  <si>
    <t>C49802</t>
  </si>
  <si>
    <t>C48281</t>
  </si>
  <si>
    <t>C126077</t>
  </si>
  <si>
    <t>C41161</t>
  </si>
  <si>
    <t>C49660</t>
  </si>
  <si>
    <t>C127801</t>
  </si>
  <si>
    <t>C127802</t>
  </si>
  <si>
    <t>Actual Number of Subjects</t>
  </si>
  <si>
    <t>Actual number of subjects enrolled; may include subjects who were not randomized.</t>
  </si>
  <si>
    <t>Actual Subject Number</t>
  </si>
  <si>
    <t>Adaptive Design</t>
  </si>
  <si>
    <t>Indicate if the study includes a prospectively planned opportunity for modification of one or more specified aspects of the study design and hypotheses based on analysis of data (usually interim data) from subjects in the study.</t>
  </si>
  <si>
    <t>Adaptive Study Design Indicator</t>
  </si>
  <si>
    <t>Added on to Existing Treatments</t>
  </si>
  <si>
    <t>The addition of a therapeutic product to the existing regimen in a clinical trial, where both entities remain as discrete products.</t>
  </si>
  <si>
    <t>Test Product Added to Existing Treatment</t>
  </si>
  <si>
    <t>Planned Maximum Age of Subjects</t>
  </si>
  <si>
    <t>The anticipated maximum age of the subjects to be entered in a clinical trial. (NCI)</t>
  </si>
  <si>
    <t>Planned Minimum Age of Subjects</t>
  </si>
  <si>
    <t>The anticipated minimum age of the subjects to be entered in a clinical trial. (NCI)</t>
  </si>
  <si>
    <t>Biospecimen Retention Contains DNA</t>
  </si>
  <si>
    <t>A textual description as to whether a biospecimen is retained and/or contains DNA.</t>
  </si>
  <si>
    <t>Biospecimen Retained and/or Contains DNA Indicator</t>
  </si>
  <si>
    <t>Citation Used in Study</t>
  </si>
  <si>
    <t>A bibliographical reference related to a particular study.</t>
  </si>
  <si>
    <t>Clinical Study Citation</t>
  </si>
  <si>
    <t>Commercial Sponsor Status</t>
  </si>
  <si>
    <t>The state or condition of the sponsor as pertains to whether the sponsor is considered a commercial entity.</t>
  </si>
  <si>
    <t>Sponsor Commercial Status</t>
  </si>
  <si>
    <t>Comparative Treatment Name</t>
  </si>
  <si>
    <t>A therapeutically active agent that is intended to provide reference measurements for the experimental protocol of a clinical trial.</t>
  </si>
  <si>
    <t>Active Comparator Drug</t>
  </si>
  <si>
    <t>Contact E-Mail Address</t>
  </si>
  <si>
    <t>E-mail address of study contact.</t>
  </si>
  <si>
    <t>Study Contact E-mail Address</t>
  </si>
  <si>
    <t>Contact Mailing Address</t>
  </si>
  <si>
    <t>Mailing address of study contact.</t>
  </si>
  <si>
    <t>Study Contact Postal Address</t>
  </si>
  <si>
    <t>Contact Name</t>
  </si>
  <si>
    <t>Name of study contact.</t>
  </si>
  <si>
    <t>Study Contact Name</t>
  </si>
  <si>
    <t>Contact Phone Number</t>
  </si>
  <si>
    <t>Phone number of study contact.</t>
  </si>
  <si>
    <t>Study Contact Telephone Number</t>
  </si>
  <si>
    <t>Contact Role</t>
  </si>
  <si>
    <t>Role of study contact.</t>
  </si>
  <si>
    <t>Study Contact Role</t>
  </si>
  <si>
    <t>Confirmed Response Minimum Duration</t>
  </si>
  <si>
    <t>The protocol specified minimum amount of time needed to meet the definition of a confirmed response to treatment.</t>
  </si>
  <si>
    <t>Clinical Study Report Archive Date</t>
  </si>
  <si>
    <t>The date when the clinical study report was archived.</t>
  </si>
  <si>
    <t>CDISC Therapeutic Area User Guide</t>
  </si>
  <si>
    <t>The name and version of the CDISC therapeutic area user guide that is being used in the study submission.</t>
  </si>
  <si>
    <t>CDISC Therapeutic Area User Guide Name and Version</t>
  </si>
  <si>
    <t>Current Therapy or Treatment</t>
  </si>
  <si>
    <t>The literal identifier of the therapy or medication that is currently being given per protocol.</t>
  </si>
  <si>
    <t>Current Therapy</t>
  </si>
  <si>
    <t>Data Cutoff Description</t>
  </si>
  <si>
    <t>Text that describes the cutoff date.</t>
  </si>
  <si>
    <t>Data Cutoff Date Description</t>
  </si>
  <si>
    <t>Data Cutoff Date</t>
  </si>
  <si>
    <t>A date which indicates any data collected by this date will be used for analysis.</t>
  </si>
  <si>
    <t>Delayed Graft Function Diagnostic Criteria; Delayed Graft Function Dx Criteria</t>
  </si>
  <si>
    <t>A standard by which the determination of delayed graft function (DGF) is established.</t>
  </si>
  <si>
    <t>Delayed Graft Function Diagnostic Criteria Name</t>
  </si>
  <si>
    <t>Data Monitoring Committee Indicator</t>
  </si>
  <si>
    <t>An indication as to whether the clinical trial has an appointed data monitoring committee.</t>
  </si>
  <si>
    <t>Dose Level; Dose per Administration</t>
  </si>
  <si>
    <t>The amount of study drug (or placebo) administered to a patient or test subject to be taken at one time or at stated intervals.</t>
  </si>
  <si>
    <t>Dose</t>
  </si>
  <si>
    <t>Dose Form</t>
  </si>
  <si>
    <t>The physical form in which active and/or inert ingredient(s) are presented.</t>
  </si>
  <si>
    <t>Pharmaceutical Dosage Form</t>
  </si>
  <si>
    <t>Dosing Frequency</t>
  </si>
  <si>
    <t>The number of doses administered per a specific interval.</t>
  </si>
  <si>
    <t>Dose Frequency</t>
  </si>
  <si>
    <t>Dose Regimen</t>
  </si>
  <si>
    <t>The planned schedule for the administration of an agent (such as a drug, substance or radiation).</t>
  </si>
  <si>
    <t>Dose Units</t>
  </si>
  <si>
    <t>The unit of measure for the dosage form.</t>
  </si>
  <si>
    <t>Dosage Form Unit</t>
  </si>
  <si>
    <t>Diagnostic Criteria</t>
  </si>
  <si>
    <t>A standard from which a judgment concerning a medical diagnosis can be established.</t>
  </si>
  <si>
    <t>ECG Reading Blinded</t>
  </si>
  <si>
    <t>Indicates whether assessors of ECGs for this study were blinded to subject identity, timing and treatment.</t>
  </si>
  <si>
    <t>ECG Evaluator Blinding Parameters</t>
  </si>
  <si>
    <t>ECG Continuous Monitoring</t>
  </si>
  <si>
    <t>Indicates whether the 10-second ECGs for this study were extracted from a continuous recording.</t>
  </si>
  <si>
    <t>ECG Continuous Monitoring Indicator</t>
  </si>
  <si>
    <t>ECG Planned Primary Lead</t>
  </si>
  <si>
    <t>The ECG lead which was planned to be used for ECG interval measurements for this study.</t>
  </si>
  <si>
    <t>ECG Planned Primary Lead for Study</t>
  </si>
  <si>
    <t>ECG Used Same Lead</t>
  </si>
  <si>
    <t>Indicates whether all ECG interval measurements for the study were based on the same lead.</t>
  </si>
  <si>
    <t>ECG Used Same Lead Indicator</t>
  </si>
  <si>
    <t>ECG Read Method</t>
  </si>
  <si>
    <t>The degree of automation involved in assessing the ECGs for this study.</t>
  </si>
  <si>
    <t>ECG Read Method Degree of Automation</t>
  </si>
  <si>
    <t>ECG Replicates at Baseline</t>
  </si>
  <si>
    <t>Indicates whether this study includes replicate ECGs for time points during the baseline portion of the study.</t>
  </si>
  <si>
    <t>ECG Replicates at Baseline Indicator</t>
  </si>
  <si>
    <t>ECG Replicates On-Treatment</t>
  </si>
  <si>
    <t>Indicates whether this study includes replicate ECGs for time points during the on-treatment portion of the study.</t>
  </si>
  <si>
    <t>ECG Replicates On-Treatment Indicator</t>
  </si>
  <si>
    <t>ECG Twave Algorithm</t>
  </si>
  <si>
    <t>The algorithm used to identify the end of the T wave for ECGs for this study.</t>
  </si>
  <si>
    <t>ECG T Wave Algorithm</t>
  </si>
  <si>
    <t>Email Address for XML File</t>
  </si>
  <si>
    <t>The Email address to which copies of the XML format of the EudraCT application should be sent.</t>
  </si>
  <si>
    <t>E-mail Address for XML File Feedback</t>
  </si>
  <si>
    <t>EMA Decision Number for PIP</t>
  </si>
  <si>
    <t>An alphanumeric code assigned by the European Medicines Agency (EMA) to an EMA regulatory decision for a pediatric investigation plan (PIP).</t>
  </si>
  <si>
    <t>EMA Decision Number for Pediatric Investigation Plan</t>
  </si>
  <si>
    <t>Epi/Pandemic Related Disruption Ind; Epidemic Related Disruption Indicator</t>
  </si>
  <si>
    <t>An indication as to whether the study disruption was caused by the epidemic or pandemic.</t>
  </si>
  <si>
    <t>Epidemic or Pandemic Related Disruption Indicator</t>
  </si>
  <si>
    <t>Name of Epi/Pandemic; Name of Epidemic and/or Pandemic</t>
  </si>
  <si>
    <t>The literal identifier of the epidemic and/or pandemic.</t>
  </si>
  <si>
    <t>Name of Epidemic or Pandemic</t>
  </si>
  <si>
    <t>EudraCT Resubmission Indicator</t>
  </si>
  <si>
    <t>An indication as to whether the trial being submitted to the EudraCT is a trial that has been previously submitted to the EudraCT system.</t>
  </si>
  <si>
    <t>EudraVigilance Sender ID</t>
  </si>
  <si>
    <t>A unique identifier assigned to the organization that is transmitting an adverse drug reaction report to the EudraVigilance system.</t>
  </si>
  <si>
    <t>EudraVigilance Sender Identifier</t>
  </si>
  <si>
    <t>EudraVigilance Sender Organization</t>
  </si>
  <si>
    <t>The name of the group or institution that is transmitting an adverse drug reaction report to the EudraVigilance system.</t>
  </si>
  <si>
    <t>Expanded Access Record NCT Number</t>
  </si>
  <si>
    <t>The unique alphanumeric identifier for the study with associated expanded access record, as assigned by the clinicaltrials.gov protocol registration and results system (PRS).</t>
  </si>
  <si>
    <t>Clinicaltrials.gov NCT Number for the Expanded Access Record</t>
  </si>
  <si>
    <t>Expanded Access Status</t>
  </si>
  <si>
    <t>Status indicating availability of an experimental drug or device outside any clinical trial protocol. (clinicaltrials.gov)</t>
  </si>
  <si>
    <t>Trial Expanded Access Status</t>
  </si>
  <si>
    <t>Extension Trial Indicator</t>
  </si>
  <si>
    <t>An indication as to whether the clinical trial is an extension trial.</t>
  </si>
  <si>
    <t>Planned Country of Investigational Sites</t>
  </si>
  <si>
    <t>The country name of planned study facility which has received IRB approval.</t>
  </si>
  <si>
    <t>Planned Country of Investigational Site</t>
  </si>
  <si>
    <t>FDA-Regulated Device Study Indicator</t>
  </si>
  <si>
    <t>An indication as to whether the study involves an FDA-regulated device.</t>
  </si>
  <si>
    <t>FDA-Regulated Drug Study Indicator</t>
  </si>
  <si>
    <t>An indication as to whether the study involves an FDA-regulated drug.</t>
  </si>
  <si>
    <t>FDA Technical Specification</t>
  </si>
  <si>
    <t>The name and version of the FDA technical specification that is being used in the study submission.</t>
  </si>
  <si>
    <t>FDA Technical Specification Name and Version</t>
  </si>
  <si>
    <t>Healthy Subject Indicator</t>
  </si>
  <si>
    <t>Indicate if persons who have not had the condition(s) being studied or otherwise related conditions or symptoms, as specified in the eligibility requirements, may participate in the study.</t>
  </si>
  <si>
    <t>Trial Disease/Condition Indication; Trial Disease/Condition Indication Description</t>
  </si>
  <si>
    <t>The textual representation of the condition, disease or disorder that the clinical trial is intended to investigate or address.</t>
  </si>
  <si>
    <t>Trial Indication</t>
  </si>
  <si>
    <t>Intervention Model</t>
  </si>
  <si>
    <t>The general design of the strategy for assigning interventions to participants in a clinical study. (clinicaltrials.gov)</t>
  </si>
  <si>
    <t>Intervention Type</t>
  </si>
  <si>
    <t>The kind of product or procedure studied in a trial.</t>
  </si>
  <si>
    <t>Protocol Keyword</t>
  </si>
  <si>
    <t>A word or small set of words designed to convey the focus of the protocol.</t>
  </si>
  <si>
    <t>Trial Length</t>
  </si>
  <si>
    <t>Planned length of observation for a single subject.</t>
  </si>
  <si>
    <t>Country of Manufacture</t>
  </si>
  <si>
    <t>The name of the country within which the final product under study is produced.</t>
  </si>
  <si>
    <t>Multiple Site EU State Trial Indicator</t>
  </si>
  <si>
    <t>An indication as to whether the clinical study is being conducted at multiple sites within the European Union member state concerned by the application.</t>
  </si>
  <si>
    <t>Multiple Site European Union State Trial Indicator</t>
  </si>
  <si>
    <t>Planned Number of Arms</t>
  </si>
  <si>
    <t>The planned number of intervention groups.</t>
  </si>
  <si>
    <t>Number of Groups/Cohorts</t>
  </si>
  <si>
    <t>The number of groups or cohorts that are part of the study.</t>
  </si>
  <si>
    <t>Number of Groups or Cohorts</t>
  </si>
  <si>
    <t>Number of Trial Sites EU State</t>
  </si>
  <si>
    <t>The total number of trial sites within the European Union member state concerned by the application.</t>
  </si>
  <si>
    <t>Number of Trial Sites within European Union State</t>
  </si>
  <si>
    <t>Trial Exploratory Objective</t>
  </si>
  <si>
    <t>The exploratory purpose of the trial.</t>
  </si>
  <si>
    <t>Study Primary Objective; Trial Primary Objective</t>
  </si>
  <si>
    <t>A principle objective of the study.</t>
  </si>
  <si>
    <t>Trial Primary Objective</t>
  </si>
  <si>
    <t>Study Secondary Objective; Trial Secondary Objective</t>
  </si>
  <si>
    <t>An auxiliary objective of the study.</t>
  </si>
  <si>
    <t>Trial Secondary Objective</t>
  </si>
  <si>
    <t>Observational Model</t>
  </si>
  <si>
    <t>The trial design developed to compare biomedical and/or health outcomes in pre-defined and non-assigned groups of individuals.</t>
  </si>
  <si>
    <t>Observational Time Perspective</t>
  </si>
  <si>
    <t>The temporal relationship between the observation period and time of subject enrollment. (ClinicalTrials.gov)</t>
  </si>
  <si>
    <t>Observational Time Perspective of Study</t>
  </si>
  <si>
    <t>Obs Study Population Description</t>
  </si>
  <si>
    <t>A description of the population from which the groups or cohorts will be selected within an observational study.</t>
  </si>
  <si>
    <t>Observational Study Population Description</t>
  </si>
  <si>
    <t>Observational Study Sampling Method</t>
  </si>
  <si>
    <t>The sampling method used to assign study participants into groups or cohorts within an observational study.</t>
  </si>
  <si>
    <t>Obs Study Sampling Method Description</t>
  </si>
  <si>
    <t>A textual description of the sampling method used to assign study participants into groups or cohorts within an observational study.</t>
  </si>
  <si>
    <t>Observational Study Sampling Method Description</t>
  </si>
  <si>
    <t>Additional Outcome Measure</t>
  </si>
  <si>
    <t>Additional key measures that will be used to evaluate the intervention(s) or, for observational studies, that are a focus of the study. These are the outcome measures not used to assess primary or secondary objectives.</t>
  </si>
  <si>
    <t>Exploratory Outcome Measure</t>
  </si>
  <si>
    <t>The outcome measure(s) that is part of a pre-specified analysis plan used to evaluate the exploratory endpoint(s) associated with exploratory study objective(s) and/or any other measures, excluding post-hoc measures, that are a focus of the study. (After clinicaltrials.gov)</t>
  </si>
  <si>
    <t>Primary Outcome Measure</t>
  </si>
  <si>
    <t>The outcome measure(s) of greatest importance specified in the protocol, usually the one(s) used in the power calculation, to evaluate the primary endpoint(s) associated with the primary study objective(s). (After Clinicaltrials.gov)</t>
  </si>
  <si>
    <t>Secondary Outcome Measure</t>
  </si>
  <si>
    <t>The outcome measure(s) that is part of a pre-specified analysis plan used to evaluate the secondary endpoint(s) associated with secondary study objective(s) and/or used to evaluate any measure(s) ancillary to the primary or secondary endpoint(s). (After Clinicaltrials.gov).</t>
  </si>
  <si>
    <t>Post Authorization Safety Study Ind</t>
  </si>
  <si>
    <t>An indication as to whether the clinical study is a post authorization safety study.</t>
  </si>
  <si>
    <t>Post Authorization Safety Study Indicator</t>
  </si>
  <si>
    <t>Pharmacologic Class</t>
  </si>
  <si>
    <t>The pharmacological class of the investigational product.</t>
  </si>
  <si>
    <t>Pharmacological Class of Investigational Therapy</t>
  </si>
  <si>
    <t>Pediatric Postmarket Study Indicator</t>
  </si>
  <si>
    <t>An indication as to whether the study is a pediatric postmarket study.</t>
  </si>
  <si>
    <t>Pediatric Study Indicator</t>
  </si>
  <si>
    <t>An indication as to whether the study is a pediatric study.</t>
  </si>
  <si>
    <t>Pediatric Investigation Plan Indicator</t>
  </si>
  <si>
    <t>An indication as to whether the trial is part of a pediatric investigation plan (PIP).</t>
  </si>
  <si>
    <t>Anticipated Enrollment; Planned Enrollment; Planned Number of Subjects; Target Enrollment</t>
  </si>
  <si>
    <t>The planned number of subjects to be entered in a clinical trial. (NCI)</t>
  </si>
  <si>
    <t>Planned Subject Number</t>
  </si>
  <si>
    <t>Planned Trial Duration</t>
  </si>
  <si>
    <t>The approximate period of time over which the clinical trial is expected to occur.</t>
  </si>
  <si>
    <t>Protocol Risk Assessment</t>
  </si>
  <si>
    <t>The potential future harm that may arise from a protocol-related activity.</t>
  </si>
  <si>
    <t>Planned Treatment Duration</t>
  </si>
  <si>
    <t>The period of time during which the treatment is intended to be given.</t>
  </si>
  <si>
    <t>PubMed ID for Citation Used in Study</t>
  </si>
  <si>
    <t>A globally unique identifier for a biomedical article, as assigned by PubMed.</t>
  </si>
  <si>
    <t>PubMed Unique Identifier</t>
  </si>
  <si>
    <t>Trial is Randomized</t>
  </si>
  <si>
    <t>The process of assigning trial subjects to treatment or control groups using an element of chance to determine the assignments in order to reduce bias. NOTE: Unequal randomization is used to allocate subjects into groups at a differential rate; for example, three subjects may be assigned to a treatment group for every one assigned to the control group. [ICH E6 1.48] See also balanced study. (CDISC glossary)</t>
  </si>
  <si>
    <t>Randomization</t>
  </si>
  <si>
    <t>Randomization Quotient</t>
  </si>
  <si>
    <t>The randomization quotient is the number of planned subjects to be exposed to investigational therapy, independent of dose or other factors, divided by the total number of planned subjects.</t>
  </si>
  <si>
    <t>Rare Disease Indicator</t>
  </si>
  <si>
    <t>An indication as to whether the condition under study is considered a rare disease.</t>
  </si>
  <si>
    <t>Registry Identifier</t>
  </si>
  <si>
    <t>Identification numbers assigned to the protocol by clinicaltrials.gov, EudraCT, or other registries.</t>
  </si>
  <si>
    <t>Clinical Trial Registry Identifier</t>
  </si>
  <si>
    <t>Resubmission Letter</t>
  </si>
  <si>
    <t>An alphabetic character that describes the incremental order of trial resubmissions.</t>
  </si>
  <si>
    <t>Relapse Criteria</t>
  </si>
  <si>
    <t>A standard from which a judgment concerning a disease relapse can be established.</t>
  </si>
  <si>
    <t>Route of Administration</t>
  </si>
  <si>
    <t>The pathway by which a substance is administered in order to reach the site of action in the body.</t>
  </si>
  <si>
    <t>Retained Biospecimen Description</t>
  </si>
  <si>
    <t>A textual description of the specimen types that are retained as reserve samples.</t>
  </si>
  <si>
    <t>Request for XML Copy of Study Indicator</t>
  </si>
  <si>
    <t>An indication as to whether the registrant would like to receive an XML copy of their study as saved on EudraCT.</t>
  </si>
  <si>
    <t>Study Saved as XML Indicator</t>
  </si>
  <si>
    <t>Stable Disease Minimum Duration</t>
  </si>
  <si>
    <t>The protocol specified minimum amount of time needed to meet the definition of stable disease.</t>
  </si>
  <si>
    <t>SDTM IG Version; SDTM Implementation Guide Version; SDTMIG Version</t>
  </si>
  <si>
    <t>The version of the CDISC Study Data Tabulation Model implementation guide that is being used in the study submission.</t>
  </si>
  <si>
    <t>Study Data Tabulation Model Implementation Guide Version</t>
  </si>
  <si>
    <t>SDTM IG Medical Device Version; SDTM Implementation Guide Medical Device Version; SDTMIG Medical Device Version; SDTMIG-MD Version</t>
  </si>
  <si>
    <t>The version of the CDISC Study Data Tabulation Model implementation guide for medical devices that is being used in the study submission.</t>
  </si>
  <si>
    <t>SDTM Implementation Guide Medical Device Version</t>
  </si>
  <si>
    <t>SDTM Version</t>
  </si>
  <si>
    <t>The version of the CDISC Study Data Tabulation Model that is being used in the study submission.</t>
  </si>
  <si>
    <t>Study Data Tabulation Model Version</t>
  </si>
  <si>
    <t>Secure Delivery XML Required Indicator</t>
  </si>
  <si>
    <t>An indication as to whether the XML copy of the EudraCT application requires secure E-mail delivery.</t>
  </si>
  <si>
    <t>Requires Secure Email Delivery of XML Indicator</t>
  </si>
  <si>
    <t>Study End Date</t>
  </si>
  <si>
    <t>The date on which the final data item for a clinical study was collected from the last study participant (that is, last subject, last visit, or as otherwise defined in the study protocol). (CDISC Glossary)</t>
  </si>
  <si>
    <t>Clinical Study End Date</t>
  </si>
  <si>
    <t>Severity Criteria</t>
  </si>
  <si>
    <t>A standard from which a judgment concerning the severity of an event, disease or condition can be established.</t>
  </si>
  <si>
    <t>Sex of Participants</t>
  </si>
  <si>
    <t>The specific sex, either male, female, or mixed of the subject group being studied. (NCI)</t>
  </si>
  <si>
    <t>Sex of Study Group</t>
  </si>
  <si>
    <t>Clinical Study Sponsor; Sponsor; Study Sponsor</t>
  </si>
  <si>
    <t>An individual, company, institution, or organization that takes responsibility for the initiation, management, and/or financing of a clinical study. [After ICH E6, WHO, 21 CFR 50.3 (e), and after IDMP]</t>
  </si>
  <si>
    <t>Clinical Study Sponsor</t>
  </si>
  <si>
    <t>Sponsor's Study Reference ID</t>
  </si>
  <si>
    <t>The reference identifier by which the study is known to the sponsor. This may be different from the STUDYID if the data were collected under a different identifier (e.g., used in a situation where a contract facility performs the study and provides a final report).</t>
  </si>
  <si>
    <t>Sponsor Study Reference Identifier</t>
  </si>
  <si>
    <t>SUSAR Reporting to EVCTM Indicator</t>
  </si>
  <si>
    <t>An indication as to whether suspected unexpected serious adverse reactions (SUSAR) will be reported to a EudraVigiliance clinical trial module (EVCTM).</t>
  </si>
  <si>
    <t>SUSAR Reporting to EudraVigiliance Clinical Trial Module Indicator</t>
  </si>
  <si>
    <t>SUSAR Reporting to NCA Indicator</t>
  </si>
  <si>
    <t>An indication as to whether suspected unexpected serious adverse reactions (SUSAR) will be reported to national competent authorities (NCA).</t>
  </si>
  <si>
    <t>SUSAR Reporting to National Competent Authority Indicator</t>
  </si>
  <si>
    <t>Single Site EU State Trial Indicator</t>
  </si>
  <si>
    <t>An indication as to whether the clinical study is being conducted at only one site within the European Union member state concerned by the application.</t>
  </si>
  <si>
    <t>Single Site European Union State Trial Indicator</t>
  </si>
  <si>
    <t>Study Start Date</t>
  </si>
  <si>
    <t>The earliest date of informed consent among any subject (Date/Time of Informed Consent, RFICDTC) that enrolled in the study. For studies conducted without informed consent (ie. emergency use) use the date of treatment. Dates for subjects who were screen failures are not included.</t>
  </si>
  <si>
    <t>Substudy Details</t>
  </si>
  <si>
    <t>A textual description of the substudy.</t>
  </si>
  <si>
    <t>Substudy Planned Indicator</t>
  </si>
  <si>
    <t>An indication as to whether a study performed on a subgroup of subjects included in the original trial (substudy) is planned for the current study.</t>
  </si>
  <si>
    <t>Study Stop Rules</t>
  </si>
  <si>
    <t>The rule, regulation and/or condition that determines the point in time when a clinical trial will be terminated. (NCI)</t>
  </si>
  <si>
    <t>Study Stop Rule</t>
  </si>
  <si>
    <t>Stratification Factor</t>
  </si>
  <si>
    <t>Selected factors that are used during randomization to ensure there is balance of these factors across all subjects within each arm of a study. The subject level values of these factors may be used as fixed effects in statistical models and for sensitivity analyses.</t>
  </si>
  <si>
    <t>Stratification Factors</t>
  </si>
  <si>
    <t>Study Type; Study Type Classification</t>
  </si>
  <si>
    <t>The nature of the investigation for which study information is being collected. (After clinicaltrials.gov)</t>
  </si>
  <si>
    <t>Study Type</t>
  </si>
  <si>
    <t>Study Blinding Design; Study Blinding Schema; Study Masking Design; Trial Blinding Design; Trial Blinding Schema; Trial Masking Design</t>
  </si>
  <si>
    <t>The type of experimental design used to describe the level of awareness of the study subjects and/ or study personnel as it relates to the respective intervention(s) or assessments being observed, received or administered.</t>
  </si>
  <si>
    <t>Trial Blinding Schema</t>
  </si>
  <si>
    <t>Control Type</t>
  </si>
  <si>
    <t>Comparator against which the study treatment is evaluated.</t>
  </si>
  <si>
    <t>Diagnosis Group</t>
  </si>
  <si>
    <t>A grouping of individuals on the basis of a shared procedure or disease, or lack thereof.</t>
  </si>
  <si>
    <t>Therapeutic Area</t>
  </si>
  <si>
    <t>A knowledge field that focuses on research and development of specific treatments for diseases and pathologic findings, as well as prevention of conditions that negatively impact the health of an individual. (NCI)</t>
  </si>
  <si>
    <t>Trial Intent Type</t>
  </si>
  <si>
    <t>The planned purpose of the therapy, device, or agent under study in the clinical trial.</t>
  </si>
  <si>
    <t>Clinical Study by Intent</t>
  </si>
  <si>
    <t>Official Study Title; Study Title; Trial Title</t>
  </si>
  <si>
    <t>The sponsor-defined name of the clinical study.</t>
  </si>
  <si>
    <t>Trial Title</t>
  </si>
  <si>
    <t>Trial Phase; Trial Phase Classification</t>
  </si>
  <si>
    <t>A step in the clinical research and development of a therapy from initial clinical trials to post-approval studies. NOTE: Clinical trials are generally categorized into four (sometimes five) phases. A therapeutic intervention may be evaluated in two or more phases simultaneously in different trials, and some trials may overlap two different phases. [21 CFR section 312.21; After ICH Topic E8 NOTE FOR GUIDANCE ON GENERAL CONSIDERATIONS FOR CLINICAL TRIALS, CPMP/ICH/291/95 March 1998]</t>
  </si>
  <si>
    <t>Trial Phase</t>
  </si>
  <si>
    <t>Target Follow-Up Duration</t>
  </si>
  <si>
    <t>The anticipated time period over which each study participant is to be followed. (ClinicalTrials.gov)</t>
  </si>
  <si>
    <t>Planned Follow-Up Duration</t>
  </si>
  <si>
    <t>Investigational Therapy or Treatment</t>
  </si>
  <si>
    <t>The investigational product under study.</t>
  </si>
  <si>
    <t>Protocol Agent</t>
  </si>
  <si>
    <t>Trial Scope; Trial Type</t>
  </si>
  <si>
    <t>The nature of the interventional study for which information is being collected.</t>
  </si>
  <si>
    <t>Trial Type</t>
  </si>
  <si>
    <t>URL Related to Study</t>
  </si>
  <si>
    <t>The uniform resource locator (URL) related to a particular study.</t>
  </si>
  <si>
    <t>Study Protocol Uniform Resource Locator</t>
  </si>
  <si>
    <t>URL Related to Study Description</t>
  </si>
  <si>
    <t>A textual description of the uniform resource locator (URL) related to a particular study.</t>
  </si>
  <si>
    <t>Study Protocol Uniform Resource Locator Description</t>
  </si>
  <si>
    <t>C67152</t>
  </si>
  <si>
    <t>CL.C67152.TSPARM</t>
  </si>
  <si>
    <t>Trial Summary Parameter Test Name</t>
  </si>
  <si>
    <t>The test name for an individual characteristic of a clinical trial, e.g. description of trial design, trial blinding schema, and primary objective of trial.</t>
  </si>
  <si>
    <t>CDISC SDTM Trial Summary Parameter Long Name Terminology</t>
  </si>
  <si>
    <t>Delayed Graft Function Dx Criteria</t>
  </si>
  <si>
    <t>Dose per Administration</t>
  </si>
  <si>
    <t>Epi/Pandemic Related Disruption Ind</t>
  </si>
  <si>
    <t>Name of Epi/Pandemic</t>
  </si>
  <si>
    <t>Planned Number of Subjects</t>
  </si>
  <si>
    <t>SDTM IG Version</t>
  </si>
  <si>
    <t>SDTMIG Medical Device Version</t>
  </si>
  <si>
    <t>Trial Disease/Condition Indication</t>
  </si>
  <si>
    <t>Trial Phase Classification</t>
  </si>
  <si>
    <t>DICTNAM</t>
  </si>
  <si>
    <t>Dictionary Name</t>
  </si>
  <si>
    <t>A name given to a reference source that lists words and gives their meaning. (NCI)</t>
  </si>
  <si>
    <t>CDISC Dictionary Name Terminology</t>
  </si>
  <si>
    <t>CL.C66788.DICTNAM</t>
  </si>
  <si>
    <t>CDISC CT</t>
  </si>
  <si>
    <t>COSTART</t>
  </si>
  <si>
    <t>CTCAE</t>
  </si>
  <si>
    <t>D-U-N-S NUMBER</t>
  </si>
  <si>
    <t>ICD</t>
  </si>
  <si>
    <t>ICD-O</t>
  </si>
  <si>
    <t>LOINC</t>
  </si>
  <si>
    <t>MED-RT</t>
  </si>
  <si>
    <t>MedDRA</t>
  </si>
  <si>
    <t>SNOMED</t>
  </si>
  <si>
    <t>UNII</t>
  </si>
  <si>
    <t>WHO ATC CLASSIFICATION SYSTEM</t>
  </si>
  <si>
    <t>WHOART</t>
  </si>
  <si>
    <t>WHODD</t>
  </si>
  <si>
    <t>C163415</t>
  </si>
  <si>
    <t>C49471</t>
  </si>
  <si>
    <t>C49704</t>
  </si>
  <si>
    <t>C134003</t>
  </si>
  <si>
    <t>C49474</t>
  </si>
  <si>
    <t>C37978</t>
  </si>
  <si>
    <t>C49476</t>
  </si>
  <si>
    <t>C163416</t>
  </si>
  <si>
    <t>C43820</t>
  </si>
  <si>
    <t>C53489</t>
  </si>
  <si>
    <t>C163417</t>
  </si>
  <si>
    <t>C154331</t>
  </si>
  <si>
    <t>C49468</t>
  </si>
  <si>
    <t>C49475</t>
  </si>
  <si>
    <t>CDISC Controlled Terminology; Clinical Data Interchange Standards Consortium Controlled Terminology</t>
  </si>
  <si>
    <t>A standard terminology developed and maintained by Clinical Data Interchange Standards Consortium (CDISC) and the National Cancer Institute Enterprise Vocabulary Services (NCI-EVS) to support CDISC models, domains and specifications for data representation in regulated research.</t>
  </si>
  <si>
    <t>Clinical Data Interchange Standards Consortium Controlled Terminology</t>
  </si>
  <si>
    <t>Coding Symbols for a Thesaurus of Adverse Reaction Terms</t>
  </si>
  <si>
    <t>A terminology developed and used by the Food and Drug Administration (FDA) for the coding, filing and retrieving of post marketing adverse reaction reports. (NCI)</t>
  </si>
  <si>
    <t>Thesaurus of Adverse Reaction Term Coding Symbols</t>
  </si>
  <si>
    <t>Common Terminology Criteria for Adverse Events</t>
  </si>
  <si>
    <t>A standard terminology developed and maintained by the National Cancer Institute to report adverse events occurring in cancer clinical trials. The CTCAE contains a grading scale for each adverse event term representing the severity of the event.</t>
  </si>
  <si>
    <t>Data Universal Number System; DUNS Numbers</t>
  </si>
  <si>
    <t>A proprietary system developed and regulated by Dun &amp; Bradstreet that assigns a unique nine digit numeric identifier to a single business entity location.</t>
  </si>
  <si>
    <t>Data Universal Numbering System</t>
  </si>
  <si>
    <t>International Classification of Diseases</t>
  </si>
  <si>
    <t>A system of categories to which morbid entries are assigned according to established criteria. Included is the entire range of conditions in a manageable number of categories, grouped to facilitate mortality reporting. It is produced by the World Health Organization (from ICD-10, p1). The Clinical Modifications, produced by the United States Dept. of Health and Human Services, are larger extensions used for morbidity and general epidemiological purposes, primarily in the U.S. (MSH2005_2004_10_12)</t>
  </si>
  <si>
    <t>International Classification of Diseases for Oncology</t>
  </si>
  <si>
    <t>A World Health Organization (WHO) multi-axial classification of the site, morphology, behaviour, and grading of neoplasms.</t>
  </si>
  <si>
    <t>Logical Observation Identifiers Names and Codes</t>
  </si>
  <si>
    <t>Published by The Regenstrief Institute, the Logical Observation Identifiers Names and Codes covers clinical and clinical laboratory terminology. (NCI)</t>
  </si>
  <si>
    <t>Medication Reference Terminology; NDF-RT</t>
  </si>
  <si>
    <t>A standard terminology developed and maintained by the Veterans Health Administration (VHA) that includes terminology to support the mechanism of action, physiologic effect, and asserted pharmacologic classification relationships of medications. MED-RT incorporates terminology from RxNORM, MeSH, and SNOMED CT.</t>
  </si>
  <si>
    <t>Medication Reference Terminology</t>
  </si>
  <si>
    <t>Medical Dictionary for Regulatory Activities</t>
  </si>
  <si>
    <t>MedDRA is an international medical terminology designed to support the classification, retrieval, presentation, and communication of medical information throughout the medical product regulatory cycle. MedDRA was developed under the auspices of the International Conference on Harmonisation of Technical Requirements for Registration of Pharmaceuticals for Human Use (ICH). The MedDRA Maintenance and Support Services Organization (MSSO) holds a contract with the International Federation of Pharmaceutical Manufacturers Associations (IFPMA) to maintain and support the implementation of the terminology. (NCI)</t>
  </si>
  <si>
    <t>Systematized Nomenclature of Medicine</t>
  </si>
  <si>
    <t>A multiaxial, hierarchical classification system for diseases in man developed by the College of American Pathologists. (NCI)</t>
  </si>
  <si>
    <t>SRS-UNII; Substance Registration System-Unique Ingredient Identifier</t>
  </si>
  <si>
    <t>A standard terminology developed and maintained by the Department of Veterans Affairs/Veterans Health Administration designated federal collaborative Structured Product Labeling Interagency Expert Panel (SPLIEP). It contains terminology to support the mechanism of action, physiologic effect, and asserted pharmacologic classification relationships of drug ingredients and food allergens.</t>
  </si>
  <si>
    <t>Substance Registration System-Unique Ingredient Identifier</t>
  </si>
  <si>
    <t>Anatomical Therapeutic Chemical Classification System</t>
  </si>
  <si>
    <t>A World Health Organization (WHO) classification system, developed and maintained by the WHO Collaborating Centre for Drug Statistics Methodology, for medicinal substances where active substances are divided into different groups according to the organ or system on which they act and their therapeutic, pharmacological, and chemical properties.</t>
  </si>
  <si>
    <t>World Health Organization Adverse Reaction Terms</t>
  </si>
  <si>
    <t>A terminology implemented by the World Health Organization to describe adverse reactions to a prescribed medication or treatment regimen. (NCI)</t>
  </si>
  <si>
    <t>World Health Organization Adverse Reaction Terminology</t>
  </si>
  <si>
    <t>WHODrug Global; World Health Organization Drug Dictionary</t>
  </si>
  <si>
    <t>A reference source of drugs and drug associated information maintained by the World Health Organization. (NCI)</t>
  </si>
  <si>
    <t>World Health Organization Drug Dictionary</t>
  </si>
  <si>
    <t>C66788</t>
  </si>
  <si>
    <t>First release: 27-Feb-2023 - Last modification: 01-Mar-2023</t>
  </si>
  <si>
    <t>https://www.cdisc.org/system/files/members/standard/foundational/SDTMIG%20v3.4-FINAL_2022-07-21.pdf#page=417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</si>
</sst>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0"/>
      <color theme="1"/>
      <name val="Helvetica Neue"/>
    </font>
    <font>
      <i/>
      <sz val="10"/>
      <color rgb="FF4472C4"/>
      <name val="Helvetica Neue"/>
    </font>
    <font>
      <i/>
      <sz val="16"/>
      <color rgb="FF4472C4"/>
      <name val="Helvetica Neue"/>
    </font>
    <font>
      <sz val="10"/>
      <color theme="1"/>
      <name val="Helvetica Neue"/>
    </font>
    <font>
      <sz val="11"/>
      <color theme="1"/>
      <name val="Helvetica Neue"/>
    </font>
    <font>
      <b/>
      <sz val="16"/>
      <color theme="1"/>
      <name val="Helvetica Neue"/>
    </font>
    <font>
      <sz val="10"/>
      <name val="Helvetica Neue"/>
    </font>
    <font>
      <b/>
      <sz val="11"/>
      <color theme="0"/>
      <name val="Helvetica Neue"/>
    </font>
    <font>
      <b/>
      <sz val="10"/>
      <color theme="0"/>
      <name val="Helvetica Neue"/>
    </font>
    <font>
      <u/>
      <sz val="10"/>
      <color theme="10"/>
      <name val="Helvetica Neue"/>
    </font>
    <font>
      <u/>
      <sz val="10"/>
      <name val="Helvetica Neue"/>
    </font>
    <font>
      <sz val="10"/>
      <color rgb="FF4472C4"/>
      <name val="Helvetica Neue"/>
    </font>
    <font>
      <i/>
      <sz val="11"/>
      <color rgb="FF4472C4"/>
      <name val="Helvetica Neue"/>
    </font>
  </fonts>
  <fills count="3">
    <fill>
      <patternFill patternType="none"/>
    </fill>
    <fill>
      <patternFill patternType="gray125"/>
    </fill>
    <fill>
      <patternFill patternType="solid">
        <fgColor theme="0" tint="-0.49998474074526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5">
    <xf numFmtId="0" fontId="0" fillId="0" borderId="0" xfId="0"/>
    <xf numFmtId="0" fontId="2"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left" vertical="center" wrapText="1"/>
    </xf>
    <xf numFmtId="0" fontId="4" fillId="0" borderId="0" xfId="0" applyFont="1" applyAlignment="1">
      <alignment wrapText="1"/>
    </xf>
    <xf numFmtId="0" fontId="3" fillId="0" borderId="1" xfId="0" applyFont="1" applyBorder="1" applyAlignment="1">
      <alignment horizontal="center" vertical="center" wrapText="1"/>
    </xf>
    <xf numFmtId="0" fontId="1" fillId="0" borderId="1" xfId="0" applyFont="1" applyBorder="1" applyAlignment="1">
      <alignment horizontal="left" vertical="top" wrapText="1"/>
    </xf>
    <xf numFmtId="0" fontId="3" fillId="0" borderId="0" xfId="0" applyFont="1" applyAlignment="1">
      <alignment horizontal="left" vertical="top" wrapText="1"/>
    </xf>
    <xf numFmtId="0" fontId="4" fillId="0" borderId="0" xfId="0" applyFont="1"/>
    <xf numFmtId="0" fontId="3" fillId="0" borderId="0" xfId="0" applyFont="1" applyAlignment="1">
      <alignment horizontal="left" vertical="top"/>
    </xf>
    <xf numFmtId="0" fontId="3" fillId="0" borderId="0" xfId="0" applyFont="1" applyAlignment="1">
      <alignment horizontal="center" vertical="top" wrapText="1"/>
    </xf>
    <xf numFmtId="0" fontId="8" fillId="2" borderId="1" xfId="0" applyFont="1" applyFill="1" applyBorder="1" applyAlignment="1">
      <alignment horizontal="left" vertical="top" wrapText="1"/>
    </xf>
    <xf numFmtId="0" fontId="3" fillId="0" borderId="1" xfId="0" applyFont="1" applyBorder="1" applyAlignment="1">
      <alignment horizontal="left" vertical="top" wrapText="1"/>
    </xf>
    <xf numFmtId="0" fontId="8" fillId="2" borderId="1" xfId="0" applyFont="1" applyFill="1" applyBorder="1" applyAlignment="1">
      <alignment horizontal="left" vertical="top"/>
    </xf>
    <xf numFmtId="0" fontId="9" fillId="0" borderId="1" xfId="1" applyBorder="1" applyAlignment="1">
      <alignment horizontal="left" vertical="top" wrapText="1"/>
    </xf>
    <xf numFmtId="0" fontId="9" fillId="0" borderId="1" xfId="1" applyFont="1" applyBorder="1" applyAlignment="1">
      <alignment horizontal="left" vertical="top" wrapText="1"/>
    </xf>
    <xf numFmtId="0" fontId="1" fillId="0" borderId="1" xfId="0" applyFont="1" applyBorder="1" applyAlignment="1">
      <alignment horizontal="left" vertical="top" wrapText="1"/>
    </xf>
    <xf numFmtId="0" fontId="6" fillId="0" borderId="1" xfId="0" applyFont="1" applyBorder="1" applyAlignment="1">
      <alignment horizontal="left" vertical="top" wrapText="1"/>
    </xf>
    <xf numFmtId="0" fontId="8" fillId="2" borderId="1" xfId="0" applyFont="1" applyFill="1" applyBorder="1" applyAlignment="1">
      <alignment horizontal="center" vertical="top" wrapText="1"/>
    </xf>
    <xf numFmtId="0" fontId="3" fillId="0" borderId="1" xfId="0" applyFont="1" applyBorder="1" applyAlignment="1">
      <alignment vertical="top"/>
    </xf>
    <xf numFmtId="0" fontId="1" fillId="0" borderId="1" xfId="0" applyFont="1" applyBorder="1" applyAlignment="1">
      <alignment vertical="top"/>
    </xf>
    <xf numFmtId="0" fontId="10" fillId="0" borderId="1" xfId="1" applyFont="1" applyBorder="1" applyAlignment="1">
      <alignment vertical="top"/>
    </xf>
    <xf numFmtId="0" fontId="6" fillId="0" borderId="1" xfId="0" applyFont="1" applyBorder="1" applyAlignment="1">
      <alignment vertical="top"/>
    </xf>
    <xf numFmtId="0" fontId="9" fillId="0" borderId="1" xfId="1" applyFont="1" applyBorder="1" applyAlignment="1">
      <alignment vertical="top"/>
    </xf>
    <xf numFmtId="0" fontId="7" fillId="2" borderId="1" xfId="0" applyFont="1" applyFill="1" applyBorder="1" applyAlignment="1">
      <alignment vertical="top" wrapText="1"/>
    </xf>
    <xf numFmtId="0" fontId="4" fillId="0" borderId="0" xfId="0" applyFont="1" applyAlignment="1">
      <alignment vertical="top" wrapText="1"/>
    </xf>
    <xf numFmtId="0" fontId="5" fillId="0" borderId="0" xfId="0" applyFont="1" applyAlignment="1">
      <alignment horizontal="center" vertical="top" wrapText="1"/>
    </xf>
    <xf numFmtId="0" fontId="7" fillId="2" borderId="2" xfId="0" applyFont="1" applyFill="1" applyBorder="1" applyAlignment="1">
      <alignment vertical="top" wrapText="1"/>
    </xf>
    <xf numFmtId="0" fontId="7" fillId="2" borderId="3" xfId="0" applyFont="1" applyFill="1" applyBorder="1" applyAlignment="1">
      <alignment vertical="top" wrapText="1"/>
    </xf>
    <xf numFmtId="0" fontId="7" fillId="2" borderId="4" xfId="0" applyFont="1" applyFill="1" applyBorder="1" applyAlignment="1">
      <alignment vertical="top" wrapText="1"/>
    </xf>
    <xf numFmtId="0" fontId="4" fillId="0" borderId="1" xfId="0" applyFont="1" applyBorder="1" applyAlignment="1">
      <alignment vertical="top" wrapText="1"/>
    </xf>
    <xf numFmtId="0" fontId="11" fillId="0" borderId="1" xfId="0" applyFont="1" applyBorder="1" applyAlignment="1">
      <alignment horizontal="left" vertical="top" wrapText="1"/>
    </xf>
    <xf numFmtId="0" fontId="12" fillId="0" borderId="0" xfId="0" applyFont="1" applyAlignment="1">
      <alignment vertical="top" wrapText="1"/>
    </xf>
    <xf numFmtId="0" fontId="4" fillId="0" borderId="5" xfId="0" applyFont="1" applyBorder="1" applyAlignment="1">
      <alignment horizontal="left" vertical="top" wrapText="1" indent="1"/>
    </xf>
    <xf numFmtId="0" fontId="4" fillId="0" borderId="6" xfId="0" applyFont="1" applyBorder="1" applyAlignment="1">
      <alignment horizontal="left" vertical="top" wrapText="1" indent="1"/>
    </xf>
    <xf numFmtId="0" fontId="4" fillId="0" borderId="7" xfId="0" applyFont="1" applyBorder="1" applyAlignment="1">
      <alignment horizontal="left" vertical="top" wrapText="1" indent="1"/>
    </xf>
    <xf numFmtId="0" fontId="4" fillId="0" borderId="8" xfId="0" applyFont="1" applyBorder="1" applyAlignment="1">
      <alignment horizontal="left" vertical="top" wrapText="1" indent="1"/>
    </xf>
    <xf numFmtId="0" fontId="4" fillId="0" borderId="9" xfId="0" applyFont="1" applyBorder="1" applyAlignment="1">
      <alignment horizontal="left" vertical="top" wrapText="1" indent="1"/>
    </xf>
    <xf numFmtId="0" fontId="4" fillId="0" borderId="10" xfId="0" applyFont="1" applyBorder="1" applyAlignment="1">
      <alignment horizontal="left" vertical="top" wrapText="1" indent="1"/>
    </xf>
    <xf numFmtId="0" fontId="3" fillId="0" borderId="0" xfId="0" applyFont="1" applyAlignment="1">
      <alignment vertical="top" wrapText="1"/>
    </xf>
    <xf numFmtId="0" fontId="3" fillId="0" borderId="1" xfId="0" applyFont="1" applyBorder="1" applyAlignment="1">
      <alignment vertical="top" wrapText="1"/>
    </xf>
    <xf numFmtId="0" fontId="9" fillId="0" borderId="1" xfId="1" applyBorder="1" applyAlignment="1">
      <alignment vertical="top"/>
    </xf>
    <xf numFmtId="0" fontId="0" fillId="0" borderId="1" xfId="0" applyFont="1" applyBorder="1" applyAlignment="1">
      <alignment vertical="top"/>
    </xf>
    <xf numFmtId="0" fontId="0" fillId="0" borderId="1" xfId="0" applyFont="1" applyBorder="1" applyAlignment="1">
      <alignment horizontal="left" vertical="top" wrapText="1"/>
    </xf>
    <xf numFmtId="0" fontId="0" fillId="0" borderId="1" xfId="0" applyBorder="1" applyAlignment="1">
      <alignment vertical="top" wrapText="1"/>
    </xf>
  </cellXfs>
  <cellStyles count="2">
    <cellStyle name="Hyperlink" xfId="1" builtinId="8" customBuiltin="1"/>
    <cellStyle name="Normal" xfId="0" builtinId="0" customBuiltin="1"/>
  </cellStyles>
  <dxfs count="0"/>
  <tableStyles count="0" defaultTableStyle="TableStyleMedium2" defaultPivotStyle="PivotStyleLight16"/>
  <colors>
    <mruColors>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cdisc.org/system/files/members/standard/foundational/SDTMIG%20v3.4-FINAL_2022-07-21.pdf"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cdisc.org/system/files/members/standard/foundational/SDTMIG%20v3.4-FINAL_2022-07-21.pdf"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cdisc.org/system/files/members/standard/foundational/SDTMIG%20v3.4-FINAL_2022-07-21.pdf"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cdisc.org/system/files/members/standard/foundational/SDTMIG%20v3.4-FINAL_2022-07-21.pdf"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cdisc.org/system/files/members/standard/foundational/SDTMIG%20v3.4-FINAL_2022-07-21.pdf"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disc.org/system/files/members/standard/foundational/SDTMIG%20v3.4-FINAL_2022-07-21.pdf"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disc.org/system/files/members/standard/foundational/SDTMIG%20v3.4-FINAL_2022-07-21.pdf"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49A5D-EBAB-494B-8DFA-E1E6F8D42B93}">
  <sheetPr codeName="Sheet1"/>
  <dimension ref="A1:A7"/>
  <sheetViews>
    <sheetView showGridLines="0" tabSelected="1" workbookViewId="0"/>
  </sheetViews>
  <sheetFormatPr defaultRowHeight="13.8"/>
  <cols>
    <col min="1" max="1" width="133.33203125" style="4" customWidth="1"/>
    <col min="2" max="16384" width="8.88671875" style="8"/>
  </cols>
  <sheetData>
    <row r="1" spans="1:1" ht="20.399999999999999">
      <c r="A1" s="1" t="s">
        <v>0</v>
      </c>
    </row>
    <row r="2" spans="1:1">
      <c r="A2" s="2"/>
    </row>
    <row r="3" spans="1:1">
      <c r="A3" s="2" t="s">
        <v>1</v>
      </c>
    </row>
    <row r="4" spans="1:1">
      <c r="A4" s="2"/>
    </row>
    <row r="5" spans="1:1">
      <c r="A5" s="2" t="s">
        <v>1090</v>
      </c>
    </row>
    <row r="6" spans="1:1">
      <c r="A6" s="2"/>
    </row>
    <row r="7" spans="1:1" ht="39.6">
      <c r="A7" s="3" t="s">
        <v>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49FC2-0AB4-4F81-84FE-59DCFC503A18}">
  <sheetPr codeName="Sheet2"/>
  <dimension ref="A1:C40"/>
  <sheetViews>
    <sheetView showGridLines="0" workbookViewId="0"/>
  </sheetViews>
  <sheetFormatPr defaultRowHeight="13.8"/>
  <cols>
    <col min="1" max="3" width="44.44140625" style="25" customWidth="1"/>
    <col min="4" max="16384" width="8.88671875" style="25"/>
  </cols>
  <sheetData>
    <row r="1" spans="1:3" ht="56.4" customHeight="1">
      <c r="B1" s="5" t="s">
        <v>3</v>
      </c>
    </row>
    <row r="2" spans="1:3">
      <c r="B2" s="10"/>
    </row>
    <row r="3" spans="1:3" ht="21">
      <c r="A3" s="26" t="s">
        <v>4</v>
      </c>
      <c r="B3" s="26"/>
      <c r="C3" s="26"/>
    </row>
    <row r="4" spans="1:3">
      <c r="B4" s="10"/>
    </row>
    <row r="5" spans="1:3">
      <c r="A5" s="24" t="s">
        <v>5</v>
      </c>
      <c r="B5" s="16" t="s">
        <v>13</v>
      </c>
      <c r="C5" s="16"/>
    </row>
    <row r="6" spans="1:3">
      <c r="A6" s="24" t="s">
        <v>6</v>
      </c>
      <c r="B6" s="16" t="s">
        <v>14</v>
      </c>
      <c r="C6" s="16"/>
    </row>
    <row r="7" spans="1:3" ht="27.6">
      <c r="A7" s="24" t="s">
        <v>7</v>
      </c>
      <c r="B7" s="16" t="s">
        <v>15</v>
      </c>
      <c r="C7" s="16"/>
    </row>
    <row r="8" spans="1:3">
      <c r="A8" s="24" t="s">
        <v>21</v>
      </c>
      <c r="B8" s="17" t="s">
        <v>22</v>
      </c>
      <c r="C8" s="17"/>
    </row>
    <row r="9" spans="1:3">
      <c r="A9" s="24" t="s">
        <v>8</v>
      </c>
      <c r="B9" s="16" t="s">
        <v>16</v>
      </c>
      <c r="C9" s="16"/>
    </row>
    <row r="10" spans="1:3">
      <c r="A10" s="24" t="s">
        <v>9</v>
      </c>
      <c r="B10" s="16" t="s">
        <v>17</v>
      </c>
      <c r="C10" s="16"/>
    </row>
    <row r="11" spans="1:3">
      <c r="A11" s="24" t="s">
        <v>10</v>
      </c>
      <c r="B11" s="16" t="s">
        <v>18</v>
      </c>
      <c r="C11" s="16"/>
    </row>
    <row r="12" spans="1:3">
      <c r="A12" s="24" t="s">
        <v>11</v>
      </c>
      <c r="B12" s="16" t="s">
        <v>19</v>
      </c>
      <c r="C12" s="16"/>
    </row>
    <row r="13" spans="1:3">
      <c r="A13" s="24" t="s">
        <v>12</v>
      </c>
      <c r="B13" s="16" t="s">
        <v>20</v>
      </c>
      <c r="C13" s="16"/>
    </row>
    <row r="15" spans="1:3" ht="21">
      <c r="A15" s="26" t="s">
        <v>214</v>
      </c>
      <c r="B15" s="26"/>
      <c r="C15" s="26"/>
    </row>
    <row r="16" spans="1:3" ht="14.4">
      <c r="A16" s="32" t="s">
        <v>237</v>
      </c>
      <c r="B16" s="32"/>
      <c r="C16" s="32"/>
    </row>
    <row r="18" spans="1:3">
      <c r="A18" s="27" t="s">
        <v>215</v>
      </c>
      <c r="B18" s="28"/>
      <c r="C18" s="29"/>
    </row>
    <row r="19" spans="1:3" ht="55.2" customHeight="1">
      <c r="A19" s="30"/>
      <c r="B19" s="30"/>
      <c r="C19" s="30"/>
    </row>
    <row r="20" spans="1:3" ht="27.6">
      <c r="A20" s="30" t="s">
        <v>216</v>
      </c>
      <c r="B20" s="30" t="s">
        <v>217</v>
      </c>
      <c r="C20" s="30" t="s">
        <v>214</v>
      </c>
    </row>
    <row r="21" spans="1:3">
      <c r="A21" s="27" t="s">
        <v>218</v>
      </c>
      <c r="B21" s="28"/>
      <c r="C21" s="29"/>
    </row>
    <row r="22" spans="1:3" ht="55.2" customHeight="1">
      <c r="A22" s="30"/>
      <c r="B22" s="30"/>
      <c r="C22" s="30"/>
    </row>
    <row r="23" spans="1:3" ht="27.6">
      <c r="A23" s="30" t="s">
        <v>216</v>
      </c>
      <c r="B23" s="30" t="s">
        <v>217</v>
      </c>
      <c r="C23" s="30" t="s">
        <v>214</v>
      </c>
    </row>
    <row r="24" spans="1:3">
      <c r="A24" s="27" t="s">
        <v>219</v>
      </c>
      <c r="B24" s="28"/>
      <c r="C24" s="29"/>
    </row>
    <row r="25" spans="1:3" ht="55.2" customHeight="1">
      <c r="A25" s="30"/>
      <c r="B25" s="30"/>
      <c r="C25" s="30"/>
    </row>
    <row r="26" spans="1:3" ht="27.6">
      <c r="A26" s="30" t="s">
        <v>216</v>
      </c>
      <c r="B26" s="30" t="s">
        <v>217</v>
      </c>
      <c r="C26" s="30" t="s">
        <v>214</v>
      </c>
    </row>
    <row r="28" spans="1:3" ht="21">
      <c r="A28" s="26" t="s">
        <v>220</v>
      </c>
      <c r="B28" s="26"/>
      <c r="C28" s="26"/>
    </row>
    <row r="29" spans="1:3" ht="27.6" customHeight="1">
      <c r="A29" s="32" t="s">
        <v>236</v>
      </c>
      <c r="B29" s="32"/>
      <c r="C29" s="32"/>
    </row>
    <row r="31" spans="1:3">
      <c r="A31" s="27" t="s">
        <v>221</v>
      </c>
      <c r="B31" s="28"/>
      <c r="C31" s="29"/>
    </row>
    <row r="32" spans="1:3">
      <c r="A32" s="33" t="s">
        <v>222</v>
      </c>
      <c r="B32" s="34"/>
      <c r="C32" s="35"/>
    </row>
    <row r="33" spans="1:3">
      <c r="A33" s="36" t="s">
        <v>223</v>
      </c>
      <c r="B33" s="37"/>
      <c r="C33" s="38"/>
    </row>
    <row r="34" spans="1:3">
      <c r="A34" s="27" t="s">
        <v>225</v>
      </c>
      <c r="B34" s="28"/>
      <c r="C34" s="29"/>
    </row>
    <row r="35" spans="1:3">
      <c r="A35" s="33" t="s">
        <v>222</v>
      </c>
      <c r="B35" s="34"/>
      <c r="C35" s="35"/>
    </row>
    <row r="36" spans="1:3" ht="13.8" customHeight="1">
      <c r="A36" s="36" t="s">
        <v>223</v>
      </c>
      <c r="B36" s="37"/>
      <c r="C36" s="38"/>
    </row>
    <row r="37" spans="1:3">
      <c r="A37" s="27" t="s">
        <v>224</v>
      </c>
      <c r="B37" s="28"/>
      <c r="C37" s="29"/>
    </row>
    <row r="38" spans="1:3">
      <c r="A38" s="33" t="s">
        <v>222</v>
      </c>
      <c r="B38" s="34"/>
      <c r="C38" s="35"/>
    </row>
    <row r="39" spans="1:3" ht="13.8" customHeight="1">
      <c r="A39" s="36" t="s">
        <v>223</v>
      </c>
      <c r="B39" s="37"/>
      <c r="C39" s="38"/>
    </row>
    <row r="40" spans="1:3">
      <c r="A40" s="33"/>
      <c r="B40" s="34"/>
      <c r="C40" s="35"/>
    </row>
  </sheetData>
  <mergeCells count="27">
    <mergeCell ref="A40:C40"/>
    <mergeCell ref="A36:C36"/>
    <mergeCell ref="A37:C37"/>
    <mergeCell ref="A38:C38"/>
    <mergeCell ref="A39:C39"/>
    <mergeCell ref="A29:C29"/>
    <mergeCell ref="A31:C31"/>
    <mergeCell ref="A32:C32"/>
    <mergeCell ref="A33:C33"/>
    <mergeCell ref="A34:C34"/>
    <mergeCell ref="A35:C35"/>
    <mergeCell ref="A15:C15"/>
    <mergeCell ref="A18:C18"/>
    <mergeCell ref="A21:C21"/>
    <mergeCell ref="A24:C24"/>
    <mergeCell ref="A28:C28"/>
    <mergeCell ref="A16:C16"/>
    <mergeCell ref="B11:C11"/>
    <mergeCell ref="B12:C12"/>
    <mergeCell ref="B13:C13"/>
    <mergeCell ref="B8:C8"/>
    <mergeCell ref="A3:C3"/>
    <mergeCell ref="B5:C5"/>
    <mergeCell ref="B6:C6"/>
    <mergeCell ref="B7:C7"/>
    <mergeCell ref="B9:C9"/>
    <mergeCell ref="B10:C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D02E5-71C1-48BE-B849-D3724D1BC169}">
  <sheetPr codeName="Sheet3"/>
  <dimension ref="A1:J9"/>
  <sheetViews>
    <sheetView showGridLines="0" workbookViewId="0">
      <pane ySplit="1" topLeftCell="A2" activePane="bottomLeft" state="frozen"/>
      <selection pane="bottomLeft" activeCell="A2" sqref="A2"/>
    </sheetView>
  </sheetViews>
  <sheetFormatPr defaultRowHeight="13.2"/>
  <cols>
    <col min="1" max="2" width="8.33203125" style="7" customWidth="1"/>
    <col min="3" max="3" width="33.33203125" style="7" customWidth="1"/>
    <col min="4" max="4" width="16.6640625" style="7" customWidth="1"/>
    <col min="5" max="5" width="33.33203125" style="7" customWidth="1"/>
    <col min="6" max="6" width="16.6640625" style="7" customWidth="1"/>
    <col min="7" max="10" width="33.33203125" style="7" customWidth="1"/>
    <col min="11" max="16384" width="8.88671875" style="7"/>
  </cols>
  <sheetData>
    <row r="1" spans="1:10" ht="26.4">
      <c r="A1" s="11" t="s">
        <v>23</v>
      </c>
      <c r="B1" s="11" t="s">
        <v>33</v>
      </c>
      <c r="C1" s="11" t="s">
        <v>34</v>
      </c>
      <c r="D1" s="11" t="s">
        <v>35</v>
      </c>
      <c r="E1" s="11" t="s">
        <v>36</v>
      </c>
      <c r="F1" s="11" t="s">
        <v>37</v>
      </c>
      <c r="G1" s="11" t="s">
        <v>38</v>
      </c>
      <c r="H1" s="11" t="s">
        <v>39</v>
      </c>
      <c r="I1" s="11" t="s">
        <v>54</v>
      </c>
      <c r="J1" s="11" t="s">
        <v>40</v>
      </c>
    </row>
    <row r="2" spans="1:10" ht="26.4">
      <c r="A2" s="12">
        <v>1</v>
      </c>
      <c r="B2" s="12" t="s">
        <v>26</v>
      </c>
      <c r="C2" s="12" t="s">
        <v>27</v>
      </c>
      <c r="D2" s="12" t="s">
        <v>24</v>
      </c>
      <c r="E2" s="12" t="s">
        <v>28</v>
      </c>
      <c r="F2" s="12" t="s">
        <v>25</v>
      </c>
      <c r="G2" s="12" t="s">
        <v>30</v>
      </c>
      <c r="H2" s="12" t="s">
        <v>29</v>
      </c>
      <c r="I2" s="6" t="s">
        <v>228</v>
      </c>
      <c r="J2" s="12"/>
    </row>
    <row r="3" spans="1:10">
      <c r="A3" s="12">
        <v>2</v>
      </c>
      <c r="B3" s="12" t="s">
        <v>193</v>
      </c>
      <c r="C3" s="12" t="s">
        <v>194</v>
      </c>
      <c r="D3" s="12" t="s">
        <v>24</v>
      </c>
      <c r="E3" s="12" t="s">
        <v>195</v>
      </c>
      <c r="F3" s="12" t="s">
        <v>25</v>
      </c>
      <c r="G3" s="12" t="s">
        <v>196</v>
      </c>
      <c r="H3" s="12" t="s">
        <v>197</v>
      </c>
      <c r="I3" s="6" t="s">
        <v>228</v>
      </c>
      <c r="J3" s="12"/>
    </row>
    <row r="4" spans="1:10">
      <c r="A4" s="12">
        <v>3</v>
      </c>
      <c r="B4" s="12" t="s">
        <v>249</v>
      </c>
      <c r="C4" s="12" t="s">
        <v>250</v>
      </c>
      <c r="D4" s="12" t="s">
        <v>24</v>
      </c>
      <c r="E4" s="12" t="s">
        <v>251</v>
      </c>
      <c r="F4" s="12" t="s">
        <v>25</v>
      </c>
      <c r="G4" s="43" t="s">
        <v>252</v>
      </c>
      <c r="H4" s="43" t="s">
        <v>254</v>
      </c>
      <c r="I4" s="6" t="s">
        <v>228</v>
      </c>
      <c r="J4" s="12"/>
    </row>
    <row r="5" spans="1:10" ht="26.4">
      <c r="A5" s="12">
        <v>4</v>
      </c>
      <c r="B5" s="43" t="s">
        <v>283</v>
      </c>
      <c r="C5" s="43" t="s">
        <v>284</v>
      </c>
      <c r="D5" s="12" t="s">
        <v>24</v>
      </c>
      <c r="E5" s="43" t="s">
        <v>285</v>
      </c>
      <c r="F5" s="12" t="s">
        <v>25</v>
      </c>
      <c r="G5" s="43" t="s">
        <v>287</v>
      </c>
      <c r="H5" s="43" t="s">
        <v>286</v>
      </c>
      <c r="I5" s="6" t="s">
        <v>228</v>
      </c>
      <c r="J5" s="12"/>
    </row>
    <row r="6" spans="1:10">
      <c r="A6" s="12">
        <v>5</v>
      </c>
      <c r="B6" s="43" t="s">
        <v>314</v>
      </c>
      <c r="C6" s="43" t="s">
        <v>315</v>
      </c>
      <c r="D6" s="12" t="s">
        <v>24</v>
      </c>
      <c r="E6" s="43" t="s">
        <v>316</v>
      </c>
      <c r="F6" s="12" t="s">
        <v>25</v>
      </c>
      <c r="G6" s="43" t="s">
        <v>318</v>
      </c>
      <c r="H6" s="43" t="s">
        <v>317</v>
      </c>
      <c r="I6" s="6" t="s">
        <v>228</v>
      </c>
      <c r="J6" s="12"/>
    </row>
    <row r="7" spans="1:10">
      <c r="A7" s="12">
        <v>6</v>
      </c>
      <c r="B7" s="43" t="s">
        <v>247</v>
      </c>
      <c r="C7" s="43" t="s">
        <v>359</v>
      </c>
      <c r="D7" s="12" t="s">
        <v>24</v>
      </c>
      <c r="E7" s="43" t="s">
        <v>360</v>
      </c>
      <c r="F7" s="12" t="s">
        <v>25</v>
      </c>
      <c r="G7" s="43" t="s">
        <v>363</v>
      </c>
      <c r="H7" s="43" t="s">
        <v>248</v>
      </c>
      <c r="I7" s="6" t="s">
        <v>228</v>
      </c>
      <c r="J7" s="12"/>
    </row>
    <row r="8" spans="1:10" ht="26.4">
      <c r="A8" s="12">
        <v>7</v>
      </c>
      <c r="B8" s="43" t="s">
        <v>357</v>
      </c>
      <c r="C8" s="43" t="s">
        <v>361</v>
      </c>
      <c r="D8" s="12" t="s">
        <v>24</v>
      </c>
      <c r="E8" s="43" t="s">
        <v>362</v>
      </c>
      <c r="F8" s="12" t="s">
        <v>25</v>
      </c>
      <c r="G8" s="43" t="s">
        <v>364</v>
      </c>
      <c r="H8" s="43" t="s">
        <v>358</v>
      </c>
      <c r="I8" s="6" t="s">
        <v>228</v>
      </c>
      <c r="J8" s="12"/>
    </row>
    <row r="9" spans="1:10" ht="26.4">
      <c r="A9" s="12">
        <v>99</v>
      </c>
      <c r="B9" s="12" t="s">
        <v>226</v>
      </c>
      <c r="C9" s="31" t="s">
        <v>232</v>
      </c>
      <c r="D9" s="6" t="s">
        <v>231</v>
      </c>
      <c r="E9" s="12" t="s">
        <v>230</v>
      </c>
      <c r="F9" s="12" t="s">
        <v>25</v>
      </c>
      <c r="G9" s="6" t="s">
        <v>229</v>
      </c>
      <c r="H9" s="6" t="s">
        <v>227</v>
      </c>
      <c r="I9" s="6" t="s">
        <v>228</v>
      </c>
      <c r="J9" s="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26A67-EC33-4B60-8C93-4DE7C27A55AF}">
  <sheetPr codeName="Sheet5"/>
  <dimension ref="A1:L287"/>
  <sheetViews>
    <sheetView showGridLines="0" zoomScaleNormal="100" workbookViewId="0">
      <pane ySplit="2" topLeftCell="A3" activePane="bottomLeft" state="frozen"/>
      <selection pane="bottomLeft" activeCell="A3" sqref="A3"/>
    </sheetView>
  </sheetViews>
  <sheetFormatPr defaultRowHeight="13.2"/>
  <cols>
    <col min="1" max="5" width="16.6640625" style="7" customWidth="1"/>
    <col min="6" max="6" width="50" style="7" customWidth="1"/>
    <col min="7" max="10" width="16.6640625" style="7" customWidth="1"/>
    <col min="11" max="11" width="50" style="7" customWidth="1"/>
    <col min="12" max="12" width="16.6640625" style="7" customWidth="1"/>
    <col min="13" max="16384" width="8.88671875" style="7"/>
  </cols>
  <sheetData>
    <row r="1" spans="1:12" s="10" customFormat="1">
      <c r="A1" s="18" t="s">
        <v>81</v>
      </c>
      <c r="B1" s="18"/>
      <c r="C1" s="18"/>
      <c r="D1" s="18"/>
      <c r="E1" s="18"/>
      <c r="F1" s="18"/>
      <c r="G1" s="18"/>
      <c r="H1" s="18" t="s">
        <v>82</v>
      </c>
      <c r="I1" s="18"/>
      <c r="J1" s="18"/>
      <c r="K1" s="18"/>
      <c r="L1" s="18"/>
    </row>
    <row r="2" spans="1:12" ht="52.8">
      <c r="A2" s="11" t="s">
        <v>65</v>
      </c>
      <c r="B2" s="11" t="s">
        <v>66</v>
      </c>
      <c r="C2" s="11" t="s">
        <v>67</v>
      </c>
      <c r="D2" s="11" t="s">
        <v>68</v>
      </c>
      <c r="E2" s="11" t="s">
        <v>69</v>
      </c>
      <c r="F2" s="11" t="s">
        <v>70</v>
      </c>
      <c r="G2" s="11" t="s">
        <v>71</v>
      </c>
      <c r="H2" s="11" t="s">
        <v>66</v>
      </c>
      <c r="I2" s="11" t="s">
        <v>68</v>
      </c>
      <c r="J2" s="11" t="s">
        <v>69</v>
      </c>
      <c r="K2" s="11" t="s">
        <v>70</v>
      </c>
      <c r="L2" s="11" t="s">
        <v>71</v>
      </c>
    </row>
    <row r="3" spans="1:12" ht="79.2">
      <c r="A3" s="12" t="s">
        <v>77</v>
      </c>
      <c r="B3" s="43" t="s">
        <v>63</v>
      </c>
      <c r="C3" s="12" t="s">
        <v>72</v>
      </c>
      <c r="D3" s="12" t="s">
        <v>73</v>
      </c>
      <c r="E3" s="12" t="s">
        <v>74</v>
      </c>
      <c r="F3" s="12" t="s">
        <v>75</v>
      </c>
      <c r="G3" s="12" t="s">
        <v>76</v>
      </c>
      <c r="H3" s="12" t="s">
        <v>26</v>
      </c>
      <c r="I3" s="12" t="s">
        <v>78</v>
      </c>
      <c r="J3" s="12" t="s">
        <v>27</v>
      </c>
      <c r="K3" s="12" t="s">
        <v>79</v>
      </c>
      <c r="L3" s="12" t="s">
        <v>80</v>
      </c>
    </row>
    <row r="4" spans="1:12" ht="79.2">
      <c r="A4" s="12" t="s">
        <v>77</v>
      </c>
      <c r="B4" s="43" t="s">
        <v>63</v>
      </c>
      <c r="C4" s="12" t="s">
        <v>72</v>
      </c>
      <c r="D4" s="43" t="s">
        <v>73</v>
      </c>
      <c r="E4" s="12" t="s">
        <v>74</v>
      </c>
      <c r="F4" s="12" t="s">
        <v>75</v>
      </c>
      <c r="G4" s="12" t="s">
        <v>76</v>
      </c>
      <c r="H4" s="43" t="s">
        <v>283</v>
      </c>
      <c r="I4" s="12" t="s">
        <v>288</v>
      </c>
      <c r="J4" s="12" t="s">
        <v>284</v>
      </c>
      <c r="K4" s="12" t="s">
        <v>289</v>
      </c>
      <c r="L4" s="12" t="s">
        <v>290</v>
      </c>
    </row>
    <row r="5" spans="1:12" ht="79.2">
      <c r="A5" s="12" t="s">
        <v>77</v>
      </c>
      <c r="B5" s="43" t="s">
        <v>63</v>
      </c>
      <c r="C5" s="12" t="s">
        <v>72</v>
      </c>
      <c r="D5" s="43" t="s">
        <v>73</v>
      </c>
      <c r="E5" s="12" t="s">
        <v>74</v>
      </c>
      <c r="F5" s="12" t="s">
        <v>75</v>
      </c>
      <c r="G5" s="12" t="s">
        <v>76</v>
      </c>
      <c r="H5" s="12" t="s">
        <v>193</v>
      </c>
      <c r="I5" s="12" t="s">
        <v>213</v>
      </c>
      <c r="J5" s="12" t="s">
        <v>194</v>
      </c>
      <c r="K5" s="12" t="s">
        <v>211</v>
      </c>
      <c r="L5" s="12" t="s">
        <v>212</v>
      </c>
    </row>
    <row r="6" spans="1:12" ht="79.2">
      <c r="A6" s="12" t="s">
        <v>77</v>
      </c>
      <c r="B6" s="43" t="s">
        <v>63</v>
      </c>
      <c r="C6" s="12" t="s">
        <v>72</v>
      </c>
      <c r="D6" s="43" t="s">
        <v>73</v>
      </c>
      <c r="E6" s="12" t="s">
        <v>74</v>
      </c>
      <c r="F6" s="12" t="s">
        <v>75</v>
      </c>
      <c r="G6" s="12" t="s">
        <v>76</v>
      </c>
      <c r="H6" s="43" t="s">
        <v>247</v>
      </c>
      <c r="I6" s="12" t="s">
        <v>365</v>
      </c>
      <c r="J6" s="12" t="s">
        <v>359</v>
      </c>
      <c r="K6" s="12" t="s">
        <v>369</v>
      </c>
      <c r="L6" s="12" t="s">
        <v>370</v>
      </c>
    </row>
    <row r="7" spans="1:12" ht="79.2">
      <c r="A7" s="12" t="s">
        <v>77</v>
      </c>
      <c r="B7" s="43" t="s">
        <v>63</v>
      </c>
      <c r="C7" s="12" t="s">
        <v>72</v>
      </c>
      <c r="D7" s="43" t="s">
        <v>73</v>
      </c>
      <c r="E7" s="12" t="s">
        <v>74</v>
      </c>
      <c r="F7" s="12" t="s">
        <v>75</v>
      </c>
      <c r="G7" s="12" t="s">
        <v>76</v>
      </c>
      <c r="H7" s="43" t="s">
        <v>314</v>
      </c>
      <c r="I7" s="43" t="s">
        <v>321</v>
      </c>
      <c r="J7" s="12" t="s">
        <v>315</v>
      </c>
      <c r="K7" s="12" t="s">
        <v>319</v>
      </c>
      <c r="L7" s="12" t="s">
        <v>320</v>
      </c>
    </row>
    <row r="8" spans="1:12" ht="79.2">
      <c r="A8" s="12" t="s">
        <v>77</v>
      </c>
      <c r="B8" s="43" t="s">
        <v>63</v>
      </c>
      <c r="C8" s="12" t="s">
        <v>72</v>
      </c>
      <c r="D8" s="43" t="s">
        <v>73</v>
      </c>
      <c r="E8" s="12" t="s">
        <v>74</v>
      </c>
      <c r="F8" s="12" t="s">
        <v>75</v>
      </c>
      <c r="G8" s="12" t="s">
        <v>76</v>
      </c>
      <c r="H8" s="43" t="s">
        <v>357</v>
      </c>
      <c r="I8" s="12" t="s">
        <v>366</v>
      </c>
      <c r="J8" s="12" t="s">
        <v>361</v>
      </c>
      <c r="K8" s="12" t="s">
        <v>367</v>
      </c>
      <c r="L8" s="12" t="s">
        <v>368</v>
      </c>
    </row>
    <row r="9" spans="1:12" ht="79.2">
      <c r="A9" s="12" t="s">
        <v>77</v>
      </c>
      <c r="B9" s="43" t="s">
        <v>63</v>
      </c>
      <c r="C9" s="12" t="s">
        <v>72</v>
      </c>
      <c r="D9" s="43" t="s">
        <v>73</v>
      </c>
      <c r="E9" s="12" t="s">
        <v>74</v>
      </c>
      <c r="F9" s="12" t="s">
        <v>75</v>
      </c>
      <c r="G9" s="12" t="s">
        <v>76</v>
      </c>
      <c r="H9" s="12" t="s">
        <v>249</v>
      </c>
      <c r="I9" s="12" t="s">
        <v>255</v>
      </c>
      <c r="J9" s="12" t="s">
        <v>250</v>
      </c>
      <c r="K9" s="12" t="s">
        <v>256</v>
      </c>
      <c r="L9" s="12" t="s">
        <v>257</v>
      </c>
    </row>
    <row r="10" spans="1:12" ht="52.8">
      <c r="A10" s="43" t="s">
        <v>438</v>
      </c>
      <c r="B10" s="43" t="s">
        <v>408</v>
      </c>
      <c r="C10" s="43" t="s">
        <v>72</v>
      </c>
      <c r="D10" s="43" t="s">
        <v>434</v>
      </c>
      <c r="E10" s="12" t="s">
        <v>435</v>
      </c>
      <c r="F10" s="12" t="s">
        <v>436</v>
      </c>
      <c r="G10" s="12" t="s">
        <v>437</v>
      </c>
      <c r="H10" s="12" t="s">
        <v>439</v>
      </c>
      <c r="I10" s="12" t="s">
        <v>562</v>
      </c>
      <c r="J10" s="12" t="s">
        <v>685</v>
      </c>
      <c r="K10" s="12" t="s">
        <v>686</v>
      </c>
      <c r="L10" s="12" t="s">
        <v>687</v>
      </c>
    </row>
    <row r="11" spans="1:12" ht="66">
      <c r="A11" s="43" t="s">
        <v>438</v>
      </c>
      <c r="B11" s="43" t="s">
        <v>408</v>
      </c>
      <c r="C11" s="43" t="s">
        <v>72</v>
      </c>
      <c r="D11" s="43" t="s">
        <v>434</v>
      </c>
      <c r="E11" s="12" t="s">
        <v>435</v>
      </c>
      <c r="F11" s="12" t="s">
        <v>436</v>
      </c>
      <c r="G11" s="12" t="s">
        <v>437</v>
      </c>
      <c r="H11" s="12" t="s">
        <v>440</v>
      </c>
      <c r="I11" s="12" t="s">
        <v>563</v>
      </c>
      <c r="J11" s="12" t="s">
        <v>688</v>
      </c>
      <c r="K11" s="12" t="s">
        <v>689</v>
      </c>
      <c r="L11" s="12" t="s">
        <v>690</v>
      </c>
    </row>
    <row r="12" spans="1:12" ht="52.8">
      <c r="A12" s="43" t="s">
        <v>438</v>
      </c>
      <c r="B12" s="43" t="s">
        <v>408</v>
      </c>
      <c r="C12" s="43" t="s">
        <v>72</v>
      </c>
      <c r="D12" s="43" t="s">
        <v>434</v>
      </c>
      <c r="E12" s="12" t="s">
        <v>435</v>
      </c>
      <c r="F12" s="12" t="s">
        <v>436</v>
      </c>
      <c r="G12" s="12" t="s">
        <v>437</v>
      </c>
      <c r="H12" s="12" t="s">
        <v>441</v>
      </c>
      <c r="I12" s="12" t="s">
        <v>564</v>
      </c>
      <c r="J12" s="12" t="s">
        <v>691</v>
      </c>
      <c r="K12" s="12" t="s">
        <v>692</v>
      </c>
      <c r="L12" s="12" t="s">
        <v>693</v>
      </c>
    </row>
    <row r="13" spans="1:12" ht="52.8">
      <c r="A13" s="43" t="s">
        <v>438</v>
      </c>
      <c r="B13" s="43" t="s">
        <v>408</v>
      </c>
      <c r="C13" s="43" t="s">
        <v>72</v>
      </c>
      <c r="D13" s="43" t="s">
        <v>434</v>
      </c>
      <c r="E13" s="12" t="s">
        <v>435</v>
      </c>
      <c r="F13" s="12" t="s">
        <v>436</v>
      </c>
      <c r="G13" s="12" t="s">
        <v>437</v>
      </c>
      <c r="H13" s="12" t="s">
        <v>442</v>
      </c>
      <c r="I13" s="12" t="s">
        <v>565</v>
      </c>
      <c r="J13" s="12" t="s">
        <v>694</v>
      </c>
      <c r="K13" s="12" t="s">
        <v>695</v>
      </c>
      <c r="L13" s="12" t="s">
        <v>694</v>
      </c>
    </row>
    <row r="14" spans="1:12" ht="52.8">
      <c r="A14" s="43" t="s">
        <v>438</v>
      </c>
      <c r="B14" s="43" t="s">
        <v>408</v>
      </c>
      <c r="C14" s="43" t="s">
        <v>72</v>
      </c>
      <c r="D14" s="43" t="s">
        <v>434</v>
      </c>
      <c r="E14" s="12" t="s">
        <v>435</v>
      </c>
      <c r="F14" s="12" t="s">
        <v>436</v>
      </c>
      <c r="G14" s="12" t="s">
        <v>437</v>
      </c>
      <c r="H14" s="12" t="s">
        <v>443</v>
      </c>
      <c r="I14" s="12" t="s">
        <v>566</v>
      </c>
      <c r="J14" s="12" t="s">
        <v>696</v>
      </c>
      <c r="K14" s="12" t="s">
        <v>697</v>
      </c>
      <c r="L14" s="12" t="s">
        <v>696</v>
      </c>
    </row>
    <row r="15" spans="1:12" ht="52.8">
      <c r="A15" s="43" t="s">
        <v>438</v>
      </c>
      <c r="B15" s="43" t="s">
        <v>408</v>
      </c>
      <c r="C15" s="43" t="s">
        <v>72</v>
      </c>
      <c r="D15" s="43" t="s">
        <v>434</v>
      </c>
      <c r="E15" s="12" t="s">
        <v>435</v>
      </c>
      <c r="F15" s="12" t="s">
        <v>436</v>
      </c>
      <c r="G15" s="12" t="s">
        <v>437</v>
      </c>
      <c r="H15" s="12" t="s">
        <v>444</v>
      </c>
      <c r="I15" s="12" t="s">
        <v>567</v>
      </c>
      <c r="J15" s="12" t="s">
        <v>698</v>
      </c>
      <c r="K15" s="12" t="s">
        <v>699</v>
      </c>
      <c r="L15" s="12" t="s">
        <v>700</v>
      </c>
    </row>
    <row r="16" spans="1:12" ht="52.8">
      <c r="A16" s="43" t="s">
        <v>438</v>
      </c>
      <c r="B16" s="43" t="s">
        <v>408</v>
      </c>
      <c r="C16" s="43" t="s">
        <v>72</v>
      </c>
      <c r="D16" s="43" t="s">
        <v>434</v>
      </c>
      <c r="E16" s="12" t="s">
        <v>435</v>
      </c>
      <c r="F16" s="12" t="s">
        <v>436</v>
      </c>
      <c r="G16" s="12" t="s">
        <v>437</v>
      </c>
      <c r="H16" s="12" t="s">
        <v>445</v>
      </c>
      <c r="I16" s="12" t="s">
        <v>568</v>
      </c>
      <c r="J16" s="12" t="s">
        <v>701</v>
      </c>
      <c r="K16" s="12" t="s">
        <v>702</v>
      </c>
      <c r="L16" s="12" t="s">
        <v>703</v>
      </c>
    </row>
    <row r="17" spans="1:12" ht="52.8">
      <c r="A17" s="43" t="s">
        <v>438</v>
      </c>
      <c r="B17" s="43" t="s">
        <v>408</v>
      </c>
      <c r="C17" s="43" t="s">
        <v>72</v>
      </c>
      <c r="D17" s="43" t="s">
        <v>434</v>
      </c>
      <c r="E17" s="12" t="s">
        <v>435</v>
      </c>
      <c r="F17" s="12" t="s">
        <v>436</v>
      </c>
      <c r="G17" s="12" t="s">
        <v>437</v>
      </c>
      <c r="H17" s="12" t="s">
        <v>446</v>
      </c>
      <c r="I17" s="12" t="s">
        <v>569</v>
      </c>
      <c r="J17" s="12" t="s">
        <v>704</v>
      </c>
      <c r="K17" s="12" t="s">
        <v>705</v>
      </c>
      <c r="L17" s="12" t="s">
        <v>706</v>
      </c>
    </row>
    <row r="18" spans="1:12" ht="52.8">
      <c r="A18" s="43" t="s">
        <v>438</v>
      </c>
      <c r="B18" s="43" t="s">
        <v>408</v>
      </c>
      <c r="C18" s="43" t="s">
        <v>72</v>
      </c>
      <c r="D18" s="43" t="s">
        <v>434</v>
      </c>
      <c r="E18" s="12" t="s">
        <v>435</v>
      </c>
      <c r="F18" s="12" t="s">
        <v>436</v>
      </c>
      <c r="G18" s="12" t="s">
        <v>437</v>
      </c>
      <c r="H18" s="12" t="s">
        <v>447</v>
      </c>
      <c r="I18" s="12" t="s">
        <v>570</v>
      </c>
      <c r="J18" s="12" t="s">
        <v>707</v>
      </c>
      <c r="K18" s="12" t="s">
        <v>708</v>
      </c>
      <c r="L18" s="12" t="s">
        <v>709</v>
      </c>
    </row>
    <row r="19" spans="1:12" ht="52.8">
      <c r="A19" s="43" t="s">
        <v>438</v>
      </c>
      <c r="B19" s="43" t="s">
        <v>408</v>
      </c>
      <c r="C19" s="43" t="s">
        <v>72</v>
      </c>
      <c r="D19" s="43" t="s">
        <v>434</v>
      </c>
      <c r="E19" s="12" t="s">
        <v>435</v>
      </c>
      <c r="F19" s="12" t="s">
        <v>436</v>
      </c>
      <c r="G19" s="12" t="s">
        <v>437</v>
      </c>
      <c r="H19" s="12" t="s">
        <v>448</v>
      </c>
      <c r="I19" s="12" t="s">
        <v>571</v>
      </c>
      <c r="J19" s="12" t="s">
        <v>710</v>
      </c>
      <c r="K19" s="12" t="s">
        <v>711</v>
      </c>
      <c r="L19" s="12" t="s">
        <v>712</v>
      </c>
    </row>
    <row r="20" spans="1:12" ht="52.8">
      <c r="A20" s="43" t="s">
        <v>438</v>
      </c>
      <c r="B20" s="43" t="s">
        <v>408</v>
      </c>
      <c r="C20" s="43" t="s">
        <v>72</v>
      </c>
      <c r="D20" s="43" t="s">
        <v>434</v>
      </c>
      <c r="E20" s="12" t="s">
        <v>435</v>
      </c>
      <c r="F20" s="12" t="s">
        <v>436</v>
      </c>
      <c r="G20" s="12" t="s">
        <v>437</v>
      </c>
      <c r="H20" s="12" t="s">
        <v>449</v>
      </c>
      <c r="I20" s="12" t="s">
        <v>572</v>
      </c>
      <c r="J20" s="12" t="s">
        <v>713</v>
      </c>
      <c r="K20" s="12" t="s">
        <v>714</v>
      </c>
      <c r="L20" s="12" t="s">
        <v>715</v>
      </c>
    </row>
    <row r="21" spans="1:12" ht="52.8">
      <c r="A21" s="43" t="s">
        <v>438</v>
      </c>
      <c r="B21" s="43" t="s">
        <v>408</v>
      </c>
      <c r="C21" s="43" t="s">
        <v>72</v>
      </c>
      <c r="D21" s="43" t="s">
        <v>434</v>
      </c>
      <c r="E21" s="12" t="s">
        <v>435</v>
      </c>
      <c r="F21" s="12" t="s">
        <v>436</v>
      </c>
      <c r="G21" s="12" t="s">
        <v>437</v>
      </c>
      <c r="H21" s="12" t="s">
        <v>450</v>
      </c>
      <c r="I21" s="12" t="s">
        <v>573</v>
      </c>
      <c r="J21" s="12" t="s">
        <v>716</v>
      </c>
      <c r="K21" s="12" t="s">
        <v>717</v>
      </c>
      <c r="L21" s="12" t="s">
        <v>718</v>
      </c>
    </row>
    <row r="22" spans="1:12" ht="52.8">
      <c r="A22" s="43" t="s">
        <v>438</v>
      </c>
      <c r="B22" s="43" t="s">
        <v>408</v>
      </c>
      <c r="C22" s="43" t="s">
        <v>72</v>
      </c>
      <c r="D22" s="43" t="s">
        <v>434</v>
      </c>
      <c r="E22" s="12" t="s">
        <v>435</v>
      </c>
      <c r="F22" s="12" t="s">
        <v>436</v>
      </c>
      <c r="G22" s="12" t="s">
        <v>437</v>
      </c>
      <c r="H22" s="12" t="s">
        <v>451</v>
      </c>
      <c r="I22" s="12" t="s">
        <v>574</v>
      </c>
      <c r="J22" s="12" t="s">
        <v>719</v>
      </c>
      <c r="K22" s="12" t="s">
        <v>720</v>
      </c>
      <c r="L22" s="12" t="s">
        <v>721</v>
      </c>
    </row>
    <row r="23" spans="1:12" ht="52.8">
      <c r="A23" s="43" t="s">
        <v>438</v>
      </c>
      <c r="B23" s="43" t="s">
        <v>408</v>
      </c>
      <c r="C23" s="43" t="s">
        <v>72</v>
      </c>
      <c r="D23" s="43" t="s">
        <v>434</v>
      </c>
      <c r="E23" s="12" t="s">
        <v>435</v>
      </c>
      <c r="F23" s="12" t="s">
        <v>436</v>
      </c>
      <c r="G23" s="12" t="s">
        <v>437</v>
      </c>
      <c r="H23" s="12" t="s">
        <v>452</v>
      </c>
      <c r="I23" s="12" t="s">
        <v>575</v>
      </c>
      <c r="J23" s="12" t="s">
        <v>722</v>
      </c>
      <c r="K23" s="12" t="s">
        <v>723</v>
      </c>
      <c r="L23" s="12" t="s">
        <v>724</v>
      </c>
    </row>
    <row r="24" spans="1:12" ht="52.8">
      <c r="A24" s="43" t="s">
        <v>438</v>
      </c>
      <c r="B24" s="43" t="s">
        <v>408</v>
      </c>
      <c r="C24" s="43" t="s">
        <v>72</v>
      </c>
      <c r="D24" s="43" t="s">
        <v>434</v>
      </c>
      <c r="E24" s="12" t="s">
        <v>435</v>
      </c>
      <c r="F24" s="12" t="s">
        <v>436</v>
      </c>
      <c r="G24" s="12" t="s">
        <v>437</v>
      </c>
      <c r="H24" s="12" t="s">
        <v>453</v>
      </c>
      <c r="I24" s="12" t="s">
        <v>576</v>
      </c>
      <c r="J24" s="12" t="s">
        <v>725</v>
      </c>
      <c r="K24" s="12" t="s">
        <v>726</v>
      </c>
      <c r="L24" s="12" t="s">
        <v>725</v>
      </c>
    </row>
    <row r="25" spans="1:12" ht="52.8">
      <c r="A25" s="43" t="s">
        <v>438</v>
      </c>
      <c r="B25" s="43" t="s">
        <v>408</v>
      </c>
      <c r="C25" s="43" t="s">
        <v>72</v>
      </c>
      <c r="D25" s="43" t="s">
        <v>434</v>
      </c>
      <c r="E25" s="12" t="s">
        <v>435</v>
      </c>
      <c r="F25" s="12" t="s">
        <v>436</v>
      </c>
      <c r="G25" s="12" t="s">
        <v>437</v>
      </c>
      <c r="H25" s="12" t="s">
        <v>454</v>
      </c>
      <c r="I25" s="12" t="s">
        <v>577</v>
      </c>
      <c r="J25" s="12" t="s">
        <v>727</v>
      </c>
      <c r="K25" s="12" t="s">
        <v>728</v>
      </c>
      <c r="L25" s="12" t="s">
        <v>727</v>
      </c>
    </row>
    <row r="26" spans="1:12" ht="52.8">
      <c r="A26" s="43" t="s">
        <v>438</v>
      </c>
      <c r="B26" s="43" t="s">
        <v>408</v>
      </c>
      <c r="C26" s="43" t="s">
        <v>72</v>
      </c>
      <c r="D26" s="43" t="s">
        <v>434</v>
      </c>
      <c r="E26" s="12" t="s">
        <v>435</v>
      </c>
      <c r="F26" s="12" t="s">
        <v>436</v>
      </c>
      <c r="G26" s="12" t="s">
        <v>437</v>
      </c>
      <c r="H26" s="12" t="s">
        <v>455</v>
      </c>
      <c r="I26" s="12" t="s">
        <v>578</v>
      </c>
      <c r="J26" s="12" t="s">
        <v>729</v>
      </c>
      <c r="K26" s="12" t="s">
        <v>730</v>
      </c>
      <c r="L26" s="12" t="s">
        <v>731</v>
      </c>
    </row>
    <row r="27" spans="1:12" ht="52.8">
      <c r="A27" s="43" t="s">
        <v>438</v>
      </c>
      <c r="B27" s="43" t="s">
        <v>408</v>
      </c>
      <c r="C27" s="43" t="s">
        <v>72</v>
      </c>
      <c r="D27" s="43" t="s">
        <v>434</v>
      </c>
      <c r="E27" s="12" t="s">
        <v>435</v>
      </c>
      <c r="F27" s="12" t="s">
        <v>436</v>
      </c>
      <c r="G27" s="12" t="s">
        <v>437</v>
      </c>
      <c r="H27" s="12" t="s">
        <v>456</v>
      </c>
      <c r="I27" s="12" t="s">
        <v>579</v>
      </c>
      <c r="J27" s="12" t="s">
        <v>732</v>
      </c>
      <c r="K27" s="12" t="s">
        <v>733</v>
      </c>
      <c r="L27" s="12" t="s">
        <v>734</v>
      </c>
    </row>
    <row r="28" spans="1:12" ht="52.8">
      <c r="A28" s="43" t="s">
        <v>438</v>
      </c>
      <c r="B28" s="43" t="s">
        <v>408</v>
      </c>
      <c r="C28" s="43" t="s">
        <v>72</v>
      </c>
      <c r="D28" s="43" t="s">
        <v>434</v>
      </c>
      <c r="E28" s="12" t="s">
        <v>435</v>
      </c>
      <c r="F28" s="12" t="s">
        <v>436</v>
      </c>
      <c r="G28" s="12" t="s">
        <v>437</v>
      </c>
      <c r="H28" s="12" t="s">
        <v>457</v>
      </c>
      <c r="I28" s="12" t="s">
        <v>580</v>
      </c>
      <c r="J28" s="12" t="s">
        <v>735</v>
      </c>
      <c r="K28" s="12" t="s">
        <v>736</v>
      </c>
      <c r="L28" s="12" t="s">
        <v>737</v>
      </c>
    </row>
    <row r="29" spans="1:12" ht="52.8">
      <c r="A29" s="43" t="s">
        <v>438</v>
      </c>
      <c r="B29" s="43" t="s">
        <v>408</v>
      </c>
      <c r="C29" s="43" t="s">
        <v>72</v>
      </c>
      <c r="D29" s="43" t="s">
        <v>434</v>
      </c>
      <c r="E29" s="12" t="s">
        <v>435</v>
      </c>
      <c r="F29" s="12" t="s">
        <v>436</v>
      </c>
      <c r="G29" s="12" t="s">
        <v>437</v>
      </c>
      <c r="H29" s="12" t="s">
        <v>458</v>
      </c>
      <c r="I29" s="12" t="s">
        <v>581</v>
      </c>
      <c r="J29" s="12" t="s">
        <v>738</v>
      </c>
      <c r="K29" s="12" t="s">
        <v>739</v>
      </c>
      <c r="L29" s="12" t="s">
        <v>738</v>
      </c>
    </row>
    <row r="30" spans="1:12" ht="79.2">
      <c r="A30" s="43" t="s">
        <v>438</v>
      </c>
      <c r="B30" s="43" t="s">
        <v>408</v>
      </c>
      <c r="C30" s="43" t="s">
        <v>72</v>
      </c>
      <c r="D30" s="43" t="s">
        <v>434</v>
      </c>
      <c r="E30" s="12" t="s">
        <v>435</v>
      </c>
      <c r="F30" s="12" t="s">
        <v>436</v>
      </c>
      <c r="G30" s="12" t="s">
        <v>437</v>
      </c>
      <c r="H30" s="12" t="s">
        <v>459</v>
      </c>
      <c r="I30" s="12" t="s">
        <v>582</v>
      </c>
      <c r="J30" s="12" t="s">
        <v>740</v>
      </c>
      <c r="K30" s="12" t="s">
        <v>741</v>
      </c>
      <c r="L30" s="12" t="s">
        <v>742</v>
      </c>
    </row>
    <row r="31" spans="1:12" ht="52.8">
      <c r="A31" s="43" t="s">
        <v>438</v>
      </c>
      <c r="B31" s="43" t="s">
        <v>408</v>
      </c>
      <c r="C31" s="43" t="s">
        <v>72</v>
      </c>
      <c r="D31" s="43" t="s">
        <v>434</v>
      </c>
      <c r="E31" s="12" t="s">
        <v>435</v>
      </c>
      <c r="F31" s="12" t="s">
        <v>436</v>
      </c>
      <c r="G31" s="12" t="s">
        <v>437</v>
      </c>
      <c r="H31" s="12" t="s">
        <v>460</v>
      </c>
      <c r="I31" s="12" t="s">
        <v>583</v>
      </c>
      <c r="J31" s="12" t="s">
        <v>743</v>
      </c>
      <c r="K31" s="12" t="s">
        <v>744</v>
      </c>
      <c r="L31" s="12" t="s">
        <v>743</v>
      </c>
    </row>
    <row r="32" spans="1:12" ht="52.8">
      <c r="A32" s="43" t="s">
        <v>438</v>
      </c>
      <c r="B32" s="43" t="s">
        <v>408</v>
      </c>
      <c r="C32" s="43" t="s">
        <v>72</v>
      </c>
      <c r="D32" s="43" t="s">
        <v>434</v>
      </c>
      <c r="E32" s="12" t="s">
        <v>435</v>
      </c>
      <c r="F32" s="12" t="s">
        <v>436</v>
      </c>
      <c r="G32" s="12" t="s">
        <v>437</v>
      </c>
      <c r="H32" s="12" t="s">
        <v>461</v>
      </c>
      <c r="I32" s="12" t="s">
        <v>584</v>
      </c>
      <c r="J32" s="12" t="s">
        <v>745</v>
      </c>
      <c r="K32" s="12" t="s">
        <v>746</v>
      </c>
      <c r="L32" s="12" t="s">
        <v>747</v>
      </c>
    </row>
    <row r="33" spans="1:12" ht="52.8">
      <c r="A33" s="43" t="s">
        <v>438</v>
      </c>
      <c r="B33" s="43" t="s">
        <v>408</v>
      </c>
      <c r="C33" s="43" t="s">
        <v>72</v>
      </c>
      <c r="D33" s="43" t="s">
        <v>434</v>
      </c>
      <c r="E33" s="12" t="s">
        <v>435</v>
      </c>
      <c r="F33" s="12" t="s">
        <v>436</v>
      </c>
      <c r="G33" s="12" t="s">
        <v>437</v>
      </c>
      <c r="H33" s="12" t="s">
        <v>462</v>
      </c>
      <c r="I33" s="12" t="s">
        <v>585</v>
      </c>
      <c r="J33" s="12" t="s">
        <v>748</v>
      </c>
      <c r="K33" s="12" t="s">
        <v>749</v>
      </c>
      <c r="L33" s="12" t="s">
        <v>750</v>
      </c>
    </row>
    <row r="34" spans="1:12" ht="52.8">
      <c r="A34" s="43" t="s">
        <v>438</v>
      </c>
      <c r="B34" s="43" t="s">
        <v>408</v>
      </c>
      <c r="C34" s="43" t="s">
        <v>72</v>
      </c>
      <c r="D34" s="43" t="s">
        <v>434</v>
      </c>
      <c r="E34" s="12" t="s">
        <v>435</v>
      </c>
      <c r="F34" s="12" t="s">
        <v>436</v>
      </c>
      <c r="G34" s="12" t="s">
        <v>437</v>
      </c>
      <c r="H34" s="12" t="s">
        <v>463</v>
      </c>
      <c r="I34" s="12" t="s">
        <v>586</v>
      </c>
      <c r="J34" s="12" t="s">
        <v>751</v>
      </c>
      <c r="K34" s="12" t="s">
        <v>752</v>
      </c>
      <c r="L34" s="12" t="s">
        <v>753</v>
      </c>
    </row>
    <row r="35" spans="1:12" ht="52.8">
      <c r="A35" s="43" t="s">
        <v>438</v>
      </c>
      <c r="B35" s="43" t="s">
        <v>408</v>
      </c>
      <c r="C35" s="43" t="s">
        <v>72</v>
      </c>
      <c r="D35" s="43" t="s">
        <v>434</v>
      </c>
      <c r="E35" s="12" t="s">
        <v>435</v>
      </c>
      <c r="F35" s="12" t="s">
        <v>436</v>
      </c>
      <c r="G35" s="12" t="s">
        <v>437</v>
      </c>
      <c r="H35" s="12" t="s">
        <v>464</v>
      </c>
      <c r="I35" s="12" t="s">
        <v>587</v>
      </c>
      <c r="J35" s="12" t="s">
        <v>754</v>
      </c>
      <c r="K35" s="12" t="s">
        <v>755</v>
      </c>
      <c r="L35" s="12" t="s">
        <v>754</v>
      </c>
    </row>
    <row r="36" spans="1:12" ht="52.8">
      <c r="A36" s="43" t="s">
        <v>438</v>
      </c>
      <c r="B36" s="43" t="s">
        <v>408</v>
      </c>
      <c r="C36" s="43" t="s">
        <v>72</v>
      </c>
      <c r="D36" s="43" t="s">
        <v>434</v>
      </c>
      <c r="E36" s="12" t="s">
        <v>435</v>
      </c>
      <c r="F36" s="12" t="s">
        <v>436</v>
      </c>
      <c r="G36" s="12" t="s">
        <v>437</v>
      </c>
      <c r="H36" s="12" t="s">
        <v>465</v>
      </c>
      <c r="I36" s="12" t="s">
        <v>588</v>
      </c>
      <c r="J36" s="12" t="s">
        <v>756</v>
      </c>
      <c r="K36" s="12" t="s">
        <v>757</v>
      </c>
      <c r="L36" s="12" t="s">
        <v>758</v>
      </c>
    </row>
    <row r="37" spans="1:12" ht="52.8">
      <c r="A37" s="43" t="s">
        <v>438</v>
      </c>
      <c r="B37" s="43" t="s">
        <v>408</v>
      </c>
      <c r="C37" s="43" t="s">
        <v>72</v>
      </c>
      <c r="D37" s="43" t="s">
        <v>434</v>
      </c>
      <c r="E37" s="12" t="s">
        <v>435</v>
      </c>
      <c r="F37" s="12" t="s">
        <v>436</v>
      </c>
      <c r="G37" s="12" t="s">
        <v>437</v>
      </c>
      <c r="H37" s="12" t="s">
        <v>466</v>
      </c>
      <c r="I37" s="12" t="s">
        <v>589</v>
      </c>
      <c r="J37" s="12" t="s">
        <v>759</v>
      </c>
      <c r="K37" s="12" t="s">
        <v>760</v>
      </c>
      <c r="L37" s="12" t="s">
        <v>759</v>
      </c>
    </row>
    <row r="38" spans="1:12" ht="52.8">
      <c r="A38" s="43" t="s">
        <v>438</v>
      </c>
      <c r="B38" s="43" t="s">
        <v>408</v>
      </c>
      <c r="C38" s="43" t="s">
        <v>72</v>
      </c>
      <c r="D38" s="43" t="s">
        <v>434</v>
      </c>
      <c r="E38" s="12" t="s">
        <v>435</v>
      </c>
      <c r="F38" s="12" t="s">
        <v>436</v>
      </c>
      <c r="G38" s="12" t="s">
        <v>437</v>
      </c>
      <c r="H38" s="12" t="s">
        <v>467</v>
      </c>
      <c r="I38" s="12" t="s">
        <v>590</v>
      </c>
      <c r="J38" s="12" t="s">
        <v>761</v>
      </c>
      <c r="K38" s="12" t="s">
        <v>762</v>
      </c>
      <c r="L38" s="12" t="s">
        <v>763</v>
      </c>
    </row>
    <row r="39" spans="1:12" ht="52.8">
      <c r="A39" s="43" t="s">
        <v>438</v>
      </c>
      <c r="B39" s="43" t="s">
        <v>408</v>
      </c>
      <c r="C39" s="43" t="s">
        <v>72</v>
      </c>
      <c r="D39" s="43" t="s">
        <v>434</v>
      </c>
      <c r="E39" s="12" t="s">
        <v>435</v>
      </c>
      <c r="F39" s="12" t="s">
        <v>436</v>
      </c>
      <c r="G39" s="12" t="s">
        <v>437</v>
      </c>
      <c r="H39" s="12" t="s">
        <v>468</v>
      </c>
      <c r="I39" s="12" t="s">
        <v>591</v>
      </c>
      <c r="J39" s="12" t="s">
        <v>764</v>
      </c>
      <c r="K39" s="12" t="s">
        <v>765</v>
      </c>
      <c r="L39" s="12" t="s">
        <v>766</v>
      </c>
    </row>
    <row r="40" spans="1:12" ht="52.8">
      <c r="A40" s="43" t="s">
        <v>438</v>
      </c>
      <c r="B40" s="43" t="s">
        <v>408</v>
      </c>
      <c r="C40" s="43" t="s">
        <v>72</v>
      </c>
      <c r="D40" s="43" t="s">
        <v>434</v>
      </c>
      <c r="E40" s="12" t="s">
        <v>435</v>
      </c>
      <c r="F40" s="12" t="s">
        <v>436</v>
      </c>
      <c r="G40" s="12" t="s">
        <v>437</v>
      </c>
      <c r="H40" s="12" t="s">
        <v>469</v>
      </c>
      <c r="I40" s="12" t="s">
        <v>592</v>
      </c>
      <c r="J40" s="12" t="s">
        <v>767</v>
      </c>
      <c r="K40" s="12" t="s">
        <v>768</v>
      </c>
      <c r="L40" s="12" t="s">
        <v>769</v>
      </c>
    </row>
    <row r="41" spans="1:12" ht="52.8">
      <c r="A41" s="43" t="s">
        <v>438</v>
      </c>
      <c r="B41" s="43" t="s">
        <v>408</v>
      </c>
      <c r="C41" s="43" t="s">
        <v>72</v>
      </c>
      <c r="D41" s="43" t="s">
        <v>434</v>
      </c>
      <c r="E41" s="12" t="s">
        <v>435</v>
      </c>
      <c r="F41" s="12" t="s">
        <v>436</v>
      </c>
      <c r="G41" s="12" t="s">
        <v>437</v>
      </c>
      <c r="H41" s="12" t="s">
        <v>470</v>
      </c>
      <c r="I41" s="12" t="s">
        <v>593</v>
      </c>
      <c r="J41" s="12" t="s">
        <v>770</v>
      </c>
      <c r="K41" s="12" t="s">
        <v>771</v>
      </c>
      <c r="L41" s="12" t="s">
        <v>772</v>
      </c>
    </row>
    <row r="42" spans="1:12" ht="52.8">
      <c r="A42" s="43" t="s">
        <v>438</v>
      </c>
      <c r="B42" s="43" t="s">
        <v>408</v>
      </c>
      <c r="C42" s="43" t="s">
        <v>72</v>
      </c>
      <c r="D42" s="43" t="s">
        <v>434</v>
      </c>
      <c r="E42" s="12" t="s">
        <v>435</v>
      </c>
      <c r="F42" s="12" t="s">
        <v>436</v>
      </c>
      <c r="G42" s="12" t="s">
        <v>437</v>
      </c>
      <c r="H42" s="12" t="s">
        <v>471</v>
      </c>
      <c r="I42" s="12" t="s">
        <v>594</v>
      </c>
      <c r="J42" s="12" t="s">
        <v>773</v>
      </c>
      <c r="K42" s="12" t="s">
        <v>774</v>
      </c>
      <c r="L42" s="12" t="s">
        <v>775</v>
      </c>
    </row>
    <row r="43" spans="1:12" ht="52.8">
      <c r="A43" s="43" t="s">
        <v>438</v>
      </c>
      <c r="B43" s="43" t="s">
        <v>408</v>
      </c>
      <c r="C43" s="43" t="s">
        <v>72</v>
      </c>
      <c r="D43" s="43" t="s">
        <v>434</v>
      </c>
      <c r="E43" s="12" t="s">
        <v>435</v>
      </c>
      <c r="F43" s="12" t="s">
        <v>436</v>
      </c>
      <c r="G43" s="12" t="s">
        <v>437</v>
      </c>
      <c r="H43" s="12" t="s">
        <v>472</v>
      </c>
      <c r="I43" s="12" t="s">
        <v>595</v>
      </c>
      <c r="J43" s="12" t="s">
        <v>776</v>
      </c>
      <c r="K43" s="12" t="s">
        <v>777</v>
      </c>
      <c r="L43" s="12" t="s">
        <v>778</v>
      </c>
    </row>
    <row r="44" spans="1:12" ht="52.8">
      <c r="A44" s="43" t="s">
        <v>438</v>
      </c>
      <c r="B44" s="43" t="s">
        <v>408</v>
      </c>
      <c r="C44" s="43" t="s">
        <v>72</v>
      </c>
      <c r="D44" s="43" t="s">
        <v>434</v>
      </c>
      <c r="E44" s="12" t="s">
        <v>435</v>
      </c>
      <c r="F44" s="12" t="s">
        <v>436</v>
      </c>
      <c r="G44" s="12" t="s">
        <v>437</v>
      </c>
      <c r="H44" s="12" t="s">
        <v>473</v>
      </c>
      <c r="I44" s="12" t="s">
        <v>596</v>
      </c>
      <c r="J44" s="12" t="s">
        <v>779</v>
      </c>
      <c r="K44" s="12" t="s">
        <v>780</v>
      </c>
      <c r="L44" s="12" t="s">
        <v>781</v>
      </c>
    </row>
    <row r="45" spans="1:12" ht="52.8">
      <c r="A45" s="43" t="s">
        <v>438</v>
      </c>
      <c r="B45" s="43" t="s">
        <v>408</v>
      </c>
      <c r="C45" s="43" t="s">
        <v>72</v>
      </c>
      <c r="D45" s="43" t="s">
        <v>434</v>
      </c>
      <c r="E45" s="12" t="s">
        <v>435</v>
      </c>
      <c r="F45" s="12" t="s">
        <v>436</v>
      </c>
      <c r="G45" s="12" t="s">
        <v>437</v>
      </c>
      <c r="H45" s="12" t="s">
        <v>474</v>
      </c>
      <c r="I45" s="12" t="s">
        <v>597</v>
      </c>
      <c r="J45" s="12" t="s">
        <v>782</v>
      </c>
      <c r="K45" s="12" t="s">
        <v>783</v>
      </c>
      <c r="L45" s="12" t="s">
        <v>784</v>
      </c>
    </row>
    <row r="46" spans="1:12" ht="52.8">
      <c r="A46" s="43" t="s">
        <v>438</v>
      </c>
      <c r="B46" s="43" t="s">
        <v>408</v>
      </c>
      <c r="C46" s="43" t="s">
        <v>72</v>
      </c>
      <c r="D46" s="43" t="s">
        <v>434</v>
      </c>
      <c r="E46" s="12" t="s">
        <v>435</v>
      </c>
      <c r="F46" s="12" t="s">
        <v>436</v>
      </c>
      <c r="G46" s="12" t="s">
        <v>437</v>
      </c>
      <c r="H46" s="12" t="s">
        <v>475</v>
      </c>
      <c r="I46" s="12" t="s">
        <v>598</v>
      </c>
      <c r="J46" s="12" t="s">
        <v>785</v>
      </c>
      <c r="K46" s="12" t="s">
        <v>786</v>
      </c>
      <c r="L46" s="12" t="s">
        <v>787</v>
      </c>
    </row>
    <row r="47" spans="1:12" ht="52.8">
      <c r="A47" s="43" t="s">
        <v>438</v>
      </c>
      <c r="B47" s="43" t="s">
        <v>408</v>
      </c>
      <c r="C47" s="43" t="s">
        <v>72</v>
      </c>
      <c r="D47" s="43" t="s">
        <v>434</v>
      </c>
      <c r="E47" s="12" t="s">
        <v>435</v>
      </c>
      <c r="F47" s="12" t="s">
        <v>436</v>
      </c>
      <c r="G47" s="12" t="s">
        <v>437</v>
      </c>
      <c r="H47" s="12" t="s">
        <v>476</v>
      </c>
      <c r="I47" s="12" t="s">
        <v>599</v>
      </c>
      <c r="J47" s="12" t="s">
        <v>788</v>
      </c>
      <c r="K47" s="12" t="s">
        <v>789</v>
      </c>
      <c r="L47" s="12" t="s">
        <v>790</v>
      </c>
    </row>
    <row r="48" spans="1:12" ht="66">
      <c r="A48" s="43" t="s">
        <v>438</v>
      </c>
      <c r="B48" s="43" t="s">
        <v>408</v>
      </c>
      <c r="C48" s="43" t="s">
        <v>72</v>
      </c>
      <c r="D48" s="43" t="s">
        <v>434</v>
      </c>
      <c r="E48" s="12" t="s">
        <v>435</v>
      </c>
      <c r="F48" s="12" t="s">
        <v>436</v>
      </c>
      <c r="G48" s="12" t="s">
        <v>437</v>
      </c>
      <c r="H48" s="12" t="s">
        <v>477</v>
      </c>
      <c r="I48" s="12" t="s">
        <v>600</v>
      </c>
      <c r="J48" s="12" t="s">
        <v>791</v>
      </c>
      <c r="K48" s="12" t="s">
        <v>792</v>
      </c>
      <c r="L48" s="12" t="s">
        <v>793</v>
      </c>
    </row>
    <row r="49" spans="1:12" ht="52.8">
      <c r="A49" s="43" t="s">
        <v>438</v>
      </c>
      <c r="B49" s="43" t="s">
        <v>408</v>
      </c>
      <c r="C49" s="43" t="s">
        <v>72</v>
      </c>
      <c r="D49" s="43" t="s">
        <v>434</v>
      </c>
      <c r="E49" s="12" t="s">
        <v>435</v>
      </c>
      <c r="F49" s="12" t="s">
        <v>436</v>
      </c>
      <c r="G49" s="12" t="s">
        <v>437</v>
      </c>
      <c r="H49" s="12" t="s">
        <v>478</v>
      </c>
      <c r="I49" s="12" t="s">
        <v>601</v>
      </c>
      <c r="J49" s="12" t="s">
        <v>794</v>
      </c>
      <c r="K49" s="12" t="s">
        <v>795</v>
      </c>
      <c r="L49" s="12" t="s">
        <v>796</v>
      </c>
    </row>
    <row r="50" spans="1:12" ht="52.8">
      <c r="A50" s="43" t="s">
        <v>438</v>
      </c>
      <c r="B50" s="43" t="s">
        <v>408</v>
      </c>
      <c r="C50" s="43" t="s">
        <v>72</v>
      </c>
      <c r="D50" s="43" t="s">
        <v>434</v>
      </c>
      <c r="E50" s="12" t="s">
        <v>435</v>
      </c>
      <c r="F50" s="12" t="s">
        <v>436</v>
      </c>
      <c r="G50" s="12" t="s">
        <v>437</v>
      </c>
      <c r="H50" s="12" t="s">
        <v>479</v>
      </c>
      <c r="I50" s="12" t="s">
        <v>602</v>
      </c>
      <c r="J50" s="12" t="s">
        <v>797</v>
      </c>
      <c r="K50" s="12" t="s">
        <v>798</v>
      </c>
      <c r="L50" s="12" t="s">
        <v>797</v>
      </c>
    </row>
    <row r="51" spans="1:12" ht="52.8">
      <c r="A51" s="43" t="s">
        <v>438</v>
      </c>
      <c r="B51" s="43" t="s">
        <v>408</v>
      </c>
      <c r="C51" s="43" t="s">
        <v>72</v>
      </c>
      <c r="D51" s="43" t="s">
        <v>434</v>
      </c>
      <c r="E51" s="12" t="s">
        <v>435</v>
      </c>
      <c r="F51" s="12" t="s">
        <v>436</v>
      </c>
      <c r="G51" s="12" t="s">
        <v>437</v>
      </c>
      <c r="H51" s="12" t="s">
        <v>480</v>
      </c>
      <c r="I51" s="12" t="s">
        <v>603</v>
      </c>
      <c r="J51" s="12" t="s">
        <v>799</v>
      </c>
      <c r="K51" s="12" t="s">
        <v>800</v>
      </c>
      <c r="L51" s="12" t="s">
        <v>801</v>
      </c>
    </row>
    <row r="52" spans="1:12" ht="52.8">
      <c r="A52" s="43" t="s">
        <v>438</v>
      </c>
      <c r="B52" s="43" t="s">
        <v>408</v>
      </c>
      <c r="C52" s="43" t="s">
        <v>72</v>
      </c>
      <c r="D52" s="43" t="s">
        <v>434</v>
      </c>
      <c r="E52" s="12" t="s">
        <v>435</v>
      </c>
      <c r="F52" s="12" t="s">
        <v>436</v>
      </c>
      <c r="G52" s="12" t="s">
        <v>437</v>
      </c>
      <c r="H52" s="12" t="s">
        <v>481</v>
      </c>
      <c r="I52" s="12" t="s">
        <v>604</v>
      </c>
      <c r="J52" s="12" t="s">
        <v>802</v>
      </c>
      <c r="K52" s="12" t="s">
        <v>803</v>
      </c>
      <c r="L52" s="12" t="s">
        <v>802</v>
      </c>
    </row>
    <row r="53" spans="1:12" ht="52.8">
      <c r="A53" s="43" t="s">
        <v>438</v>
      </c>
      <c r="B53" s="43" t="s">
        <v>408</v>
      </c>
      <c r="C53" s="43" t="s">
        <v>72</v>
      </c>
      <c r="D53" s="43" t="s">
        <v>434</v>
      </c>
      <c r="E53" s="12" t="s">
        <v>435</v>
      </c>
      <c r="F53" s="12" t="s">
        <v>436</v>
      </c>
      <c r="G53" s="12" t="s">
        <v>437</v>
      </c>
      <c r="H53" s="12" t="s">
        <v>482</v>
      </c>
      <c r="I53" s="12" t="s">
        <v>605</v>
      </c>
      <c r="J53" s="12" t="s">
        <v>804</v>
      </c>
      <c r="K53" s="12" t="s">
        <v>805</v>
      </c>
      <c r="L53" s="12" t="s">
        <v>806</v>
      </c>
    </row>
    <row r="54" spans="1:12" ht="52.8">
      <c r="A54" s="43" t="s">
        <v>438</v>
      </c>
      <c r="B54" s="43" t="s">
        <v>408</v>
      </c>
      <c r="C54" s="43" t="s">
        <v>72</v>
      </c>
      <c r="D54" s="43" t="s">
        <v>434</v>
      </c>
      <c r="E54" s="12" t="s">
        <v>435</v>
      </c>
      <c r="F54" s="12" t="s">
        <v>436</v>
      </c>
      <c r="G54" s="12" t="s">
        <v>437</v>
      </c>
      <c r="H54" s="12" t="s">
        <v>483</v>
      </c>
      <c r="I54" s="12" t="s">
        <v>606</v>
      </c>
      <c r="J54" s="12" t="s">
        <v>807</v>
      </c>
      <c r="K54" s="12" t="s">
        <v>808</v>
      </c>
      <c r="L54" s="12" t="s">
        <v>809</v>
      </c>
    </row>
    <row r="55" spans="1:12" ht="52.8">
      <c r="A55" s="43" t="s">
        <v>438</v>
      </c>
      <c r="B55" s="43" t="s">
        <v>408</v>
      </c>
      <c r="C55" s="43" t="s">
        <v>72</v>
      </c>
      <c r="D55" s="43" t="s">
        <v>434</v>
      </c>
      <c r="E55" s="12" t="s">
        <v>435</v>
      </c>
      <c r="F55" s="12" t="s">
        <v>436</v>
      </c>
      <c r="G55" s="12" t="s">
        <v>437</v>
      </c>
      <c r="H55" s="12" t="s">
        <v>484</v>
      </c>
      <c r="I55" s="12" t="s">
        <v>607</v>
      </c>
      <c r="J55" s="12" t="s">
        <v>810</v>
      </c>
      <c r="K55" s="12" t="s">
        <v>811</v>
      </c>
      <c r="L55" s="12" t="s">
        <v>810</v>
      </c>
    </row>
    <row r="56" spans="1:12" ht="52.8">
      <c r="A56" s="43" t="s">
        <v>438</v>
      </c>
      <c r="B56" s="43" t="s">
        <v>408</v>
      </c>
      <c r="C56" s="43" t="s">
        <v>72</v>
      </c>
      <c r="D56" s="43" t="s">
        <v>434</v>
      </c>
      <c r="E56" s="12" t="s">
        <v>435</v>
      </c>
      <c r="F56" s="12" t="s">
        <v>436</v>
      </c>
      <c r="G56" s="12" t="s">
        <v>437</v>
      </c>
      <c r="H56" s="12" t="s">
        <v>485</v>
      </c>
      <c r="I56" s="12" t="s">
        <v>608</v>
      </c>
      <c r="J56" s="12" t="s">
        <v>812</v>
      </c>
      <c r="K56" s="12" t="s">
        <v>813</v>
      </c>
      <c r="L56" s="12" t="s">
        <v>814</v>
      </c>
    </row>
    <row r="57" spans="1:12" ht="52.8">
      <c r="A57" s="43" t="s">
        <v>438</v>
      </c>
      <c r="B57" s="43" t="s">
        <v>408</v>
      </c>
      <c r="C57" s="43" t="s">
        <v>72</v>
      </c>
      <c r="D57" s="43" t="s">
        <v>434</v>
      </c>
      <c r="E57" s="12" t="s">
        <v>435</v>
      </c>
      <c r="F57" s="12" t="s">
        <v>436</v>
      </c>
      <c r="G57" s="12" t="s">
        <v>437</v>
      </c>
      <c r="H57" s="12" t="s">
        <v>486</v>
      </c>
      <c r="I57" s="12" t="s">
        <v>609</v>
      </c>
      <c r="J57" s="12" t="s">
        <v>815</v>
      </c>
      <c r="K57" s="12" t="s">
        <v>816</v>
      </c>
      <c r="L57" s="12" t="s">
        <v>815</v>
      </c>
    </row>
    <row r="58" spans="1:12" ht="52.8">
      <c r="A58" s="43" t="s">
        <v>438</v>
      </c>
      <c r="B58" s="43" t="s">
        <v>408</v>
      </c>
      <c r="C58" s="43" t="s">
        <v>72</v>
      </c>
      <c r="D58" s="43" t="s">
        <v>434</v>
      </c>
      <c r="E58" s="12" t="s">
        <v>435</v>
      </c>
      <c r="F58" s="12" t="s">
        <v>436</v>
      </c>
      <c r="G58" s="12" t="s">
        <v>437</v>
      </c>
      <c r="H58" s="12" t="s">
        <v>487</v>
      </c>
      <c r="I58" s="12" t="s">
        <v>610</v>
      </c>
      <c r="J58" s="12" t="s">
        <v>817</v>
      </c>
      <c r="K58" s="12" t="s">
        <v>818</v>
      </c>
      <c r="L58" s="12" t="s">
        <v>817</v>
      </c>
    </row>
    <row r="59" spans="1:12" ht="52.8">
      <c r="A59" s="43" t="s">
        <v>438</v>
      </c>
      <c r="B59" s="43" t="s">
        <v>408</v>
      </c>
      <c r="C59" s="43" t="s">
        <v>72</v>
      </c>
      <c r="D59" s="43" t="s">
        <v>434</v>
      </c>
      <c r="E59" s="12" t="s">
        <v>435</v>
      </c>
      <c r="F59" s="12" t="s">
        <v>436</v>
      </c>
      <c r="G59" s="12" t="s">
        <v>437</v>
      </c>
      <c r="H59" s="12" t="s">
        <v>488</v>
      </c>
      <c r="I59" s="12" t="s">
        <v>611</v>
      </c>
      <c r="J59" s="12" t="s">
        <v>819</v>
      </c>
      <c r="K59" s="12" t="s">
        <v>820</v>
      </c>
      <c r="L59" s="12" t="s">
        <v>821</v>
      </c>
    </row>
    <row r="60" spans="1:12" ht="52.8">
      <c r="A60" s="43" t="s">
        <v>438</v>
      </c>
      <c r="B60" s="43" t="s">
        <v>408</v>
      </c>
      <c r="C60" s="43" t="s">
        <v>72</v>
      </c>
      <c r="D60" s="43" t="s">
        <v>434</v>
      </c>
      <c r="E60" s="12" t="s">
        <v>435</v>
      </c>
      <c r="F60" s="12" t="s">
        <v>436</v>
      </c>
      <c r="G60" s="12" t="s">
        <v>437</v>
      </c>
      <c r="H60" s="12" t="s">
        <v>489</v>
      </c>
      <c r="I60" s="12" t="s">
        <v>612</v>
      </c>
      <c r="J60" s="12" t="s">
        <v>822</v>
      </c>
      <c r="K60" s="12" t="s">
        <v>823</v>
      </c>
      <c r="L60" s="12" t="s">
        <v>822</v>
      </c>
    </row>
    <row r="61" spans="1:12" ht="79.2">
      <c r="A61" s="43" t="s">
        <v>438</v>
      </c>
      <c r="B61" s="43" t="s">
        <v>408</v>
      </c>
      <c r="C61" s="43" t="s">
        <v>72</v>
      </c>
      <c r="D61" s="43" t="s">
        <v>434</v>
      </c>
      <c r="E61" s="12" t="s">
        <v>435</v>
      </c>
      <c r="F61" s="12" t="s">
        <v>436</v>
      </c>
      <c r="G61" s="12" t="s">
        <v>437</v>
      </c>
      <c r="H61" s="12" t="s">
        <v>490</v>
      </c>
      <c r="I61" s="12" t="s">
        <v>613</v>
      </c>
      <c r="J61" s="12" t="s">
        <v>824</v>
      </c>
      <c r="K61" s="12" t="s">
        <v>825</v>
      </c>
      <c r="L61" s="12" t="s">
        <v>826</v>
      </c>
    </row>
    <row r="62" spans="1:12" ht="52.8">
      <c r="A62" s="43" t="s">
        <v>438</v>
      </c>
      <c r="B62" s="43" t="s">
        <v>408</v>
      </c>
      <c r="C62" s="43" t="s">
        <v>72</v>
      </c>
      <c r="D62" s="43" t="s">
        <v>434</v>
      </c>
      <c r="E62" s="12" t="s">
        <v>435</v>
      </c>
      <c r="F62" s="12" t="s">
        <v>436</v>
      </c>
      <c r="G62" s="12" t="s">
        <v>437</v>
      </c>
      <c r="H62" s="12" t="s">
        <v>491</v>
      </c>
      <c r="I62" s="12" t="s">
        <v>614</v>
      </c>
      <c r="J62" s="12" t="s">
        <v>827</v>
      </c>
      <c r="K62" s="12" t="s">
        <v>828</v>
      </c>
      <c r="L62" s="12" t="s">
        <v>827</v>
      </c>
    </row>
    <row r="63" spans="1:12" ht="52.8">
      <c r="A63" s="43" t="s">
        <v>438</v>
      </c>
      <c r="B63" s="43" t="s">
        <v>408</v>
      </c>
      <c r="C63" s="43" t="s">
        <v>72</v>
      </c>
      <c r="D63" s="43" t="s">
        <v>434</v>
      </c>
      <c r="E63" s="12" t="s">
        <v>435</v>
      </c>
      <c r="F63" s="12" t="s">
        <v>436</v>
      </c>
      <c r="G63" s="12" t="s">
        <v>437</v>
      </c>
      <c r="H63" s="12" t="s">
        <v>492</v>
      </c>
      <c r="I63" s="12" t="s">
        <v>615</v>
      </c>
      <c r="J63" s="12" t="s">
        <v>829</v>
      </c>
      <c r="K63" s="12" t="s">
        <v>830</v>
      </c>
      <c r="L63" s="12" t="s">
        <v>829</v>
      </c>
    </row>
    <row r="64" spans="1:12" ht="52.8">
      <c r="A64" s="43" t="s">
        <v>438</v>
      </c>
      <c r="B64" s="43" t="s">
        <v>408</v>
      </c>
      <c r="C64" s="43" t="s">
        <v>72</v>
      </c>
      <c r="D64" s="43" t="s">
        <v>434</v>
      </c>
      <c r="E64" s="12" t="s">
        <v>435</v>
      </c>
      <c r="F64" s="12" t="s">
        <v>436</v>
      </c>
      <c r="G64" s="12" t="s">
        <v>437</v>
      </c>
      <c r="H64" s="12" t="s">
        <v>493</v>
      </c>
      <c r="I64" s="12" t="s">
        <v>616</v>
      </c>
      <c r="J64" s="12" t="s">
        <v>831</v>
      </c>
      <c r="K64" s="12" t="s">
        <v>832</v>
      </c>
      <c r="L64" s="12" t="s">
        <v>831</v>
      </c>
    </row>
    <row r="65" spans="1:12" ht="52.8">
      <c r="A65" s="43" t="s">
        <v>438</v>
      </c>
      <c r="B65" s="43" t="s">
        <v>408</v>
      </c>
      <c r="C65" s="43" t="s">
        <v>72</v>
      </c>
      <c r="D65" s="43" t="s">
        <v>434</v>
      </c>
      <c r="E65" s="12" t="s">
        <v>435</v>
      </c>
      <c r="F65" s="12" t="s">
        <v>436</v>
      </c>
      <c r="G65" s="12" t="s">
        <v>437</v>
      </c>
      <c r="H65" s="12" t="s">
        <v>494</v>
      </c>
      <c r="I65" s="12" t="s">
        <v>617</v>
      </c>
      <c r="J65" s="12" t="s">
        <v>833</v>
      </c>
      <c r="K65" s="12" t="s">
        <v>834</v>
      </c>
      <c r="L65" s="12" t="s">
        <v>833</v>
      </c>
    </row>
    <row r="66" spans="1:12" ht="52.8">
      <c r="A66" s="43" t="s">
        <v>438</v>
      </c>
      <c r="B66" s="43" t="s">
        <v>408</v>
      </c>
      <c r="C66" s="43" t="s">
        <v>72</v>
      </c>
      <c r="D66" s="43" t="s">
        <v>434</v>
      </c>
      <c r="E66" s="12" t="s">
        <v>435</v>
      </c>
      <c r="F66" s="12" t="s">
        <v>436</v>
      </c>
      <c r="G66" s="12" t="s">
        <v>437</v>
      </c>
      <c r="H66" s="12" t="s">
        <v>495</v>
      </c>
      <c r="I66" s="12" t="s">
        <v>618</v>
      </c>
      <c r="J66" s="12" t="s">
        <v>835</v>
      </c>
      <c r="K66" s="12" t="s">
        <v>836</v>
      </c>
      <c r="L66" s="12" t="s">
        <v>835</v>
      </c>
    </row>
    <row r="67" spans="1:12" ht="52.8">
      <c r="A67" s="43" t="s">
        <v>438</v>
      </c>
      <c r="B67" s="43" t="s">
        <v>408</v>
      </c>
      <c r="C67" s="43" t="s">
        <v>72</v>
      </c>
      <c r="D67" s="43" t="s">
        <v>434</v>
      </c>
      <c r="E67" s="12" t="s">
        <v>435</v>
      </c>
      <c r="F67" s="12" t="s">
        <v>436</v>
      </c>
      <c r="G67" s="12" t="s">
        <v>437</v>
      </c>
      <c r="H67" s="12" t="s">
        <v>496</v>
      </c>
      <c r="I67" s="12" t="s">
        <v>619</v>
      </c>
      <c r="J67" s="12" t="s">
        <v>837</v>
      </c>
      <c r="K67" s="12" t="s">
        <v>838</v>
      </c>
      <c r="L67" s="12" t="s">
        <v>839</v>
      </c>
    </row>
    <row r="68" spans="1:12" ht="52.8">
      <c r="A68" s="43" t="s">
        <v>438</v>
      </c>
      <c r="B68" s="43" t="s">
        <v>408</v>
      </c>
      <c r="C68" s="43" t="s">
        <v>72</v>
      </c>
      <c r="D68" s="43" t="s">
        <v>434</v>
      </c>
      <c r="E68" s="12" t="s">
        <v>435</v>
      </c>
      <c r="F68" s="12" t="s">
        <v>436</v>
      </c>
      <c r="G68" s="12" t="s">
        <v>437</v>
      </c>
      <c r="H68" s="12" t="s">
        <v>497</v>
      </c>
      <c r="I68" s="12" t="s">
        <v>620</v>
      </c>
      <c r="J68" s="12" t="s">
        <v>840</v>
      </c>
      <c r="K68" s="12" t="s">
        <v>841</v>
      </c>
      <c r="L68" s="12" t="s">
        <v>840</v>
      </c>
    </row>
    <row r="69" spans="1:12" ht="52.8">
      <c r="A69" s="43" t="s">
        <v>438</v>
      </c>
      <c r="B69" s="43" t="s">
        <v>408</v>
      </c>
      <c r="C69" s="43" t="s">
        <v>72</v>
      </c>
      <c r="D69" s="43" t="s">
        <v>434</v>
      </c>
      <c r="E69" s="12" t="s">
        <v>435</v>
      </c>
      <c r="F69" s="12" t="s">
        <v>436</v>
      </c>
      <c r="G69" s="12" t="s">
        <v>437</v>
      </c>
      <c r="H69" s="12" t="s">
        <v>498</v>
      </c>
      <c r="I69" s="12" t="s">
        <v>621</v>
      </c>
      <c r="J69" s="12" t="s">
        <v>842</v>
      </c>
      <c r="K69" s="12" t="s">
        <v>843</v>
      </c>
      <c r="L69" s="12" t="s">
        <v>844</v>
      </c>
    </row>
    <row r="70" spans="1:12" ht="52.8">
      <c r="A70" s="43" t="s">
        <v>438</v>
      </c>
      <c r="B70" s="43" t="s">
        <v>408</v>
      </c>
      <c r="C70" s="43" t="s">
        <v>72</v>
      </c>
      <c r="D70" s="43" t="s">
        <v>434</v>
      </c>
      <c r="E70" s="12" t="s">
        <v>435</v>
      </c>
      <c r="F70" s="12" t="s">
        <v>436</v>
      </c>
      <c r="G70" s="12" t="s">
        <v>437</v>
      </c>
      <c r="H70" s="12" t="s">
        <v>499</v>
      </c>
      <c r="I70" s="12" t="s">
        <v>622</v>
      </c>
      <c r="J70" s="12" t="s">
        <v>845</v>
      </c>
      <c r="K70" s="12" t="s">
        <v>846</v>
      </c>
      <c r="L70" s="12" t="s">
        <v>847</v>
      </c>
    </row>
    <row r="71" spans="1:12" ht="52.8">
      <c r="A71" s="43" t="s">
        <v>438</v>
      </c>
      <c r="B71" s="43" t="s">
        <v>408</v>
      </c>
      <c r="C71" s="43" t="s">
        <v>72</v>
      </c>
      <c r="D71" s="43" t="s">
        <v>434</v>
      </c>
      <c r="E71" s="12" t="s">
        <v>435</v>
      </c>
      <c r="F71" s="12" t="s">
        <v>436</v>
      </c>
      <c r="G71" s="12" t="s">
        <v>437</v>
      </c>
      <c r="H71" s="12" t="s">
        <v>500</v>
      </c>
      <c r="I71" s="12" t="s">
        <v>623</v>
      </c>
      <c r="J71" s="12" t="s">
        <v>848</v>
      </c>
      <c r="K71" s="12" t="s">
        <v>849</v>
      </c>
      <c r="L71" s="12" t="s">
        <v>848</v>
      </c>
    </row>
    <row r="72" spans="1:12" ht="52.8">
      <c r="A72" s="43" t="s">
        <v>438</v>
      </c>
      <c r="B72" s="43" t="s">
        <v>408</v>
      </c>
      <c r="C72" s="43" t="s">
        <v>72</v>
      </c>
      <c r="D72" s="43" t="s">
        <v>434</v>
      </c>
      <c r="E72" s="12" t="s">
        <v>435</v>
      </c>
      <c r="F72" s="12" t="s">
        <v>436</v>
      </c>
      <c r="G72" s="12" t="s">
        <v>437</v>
      </c>
      <c r="H72" s="12" t="s">
        <v>501</v>
      </c>
      <c r="I72" s="12" t="s">
        <v>624</v>
      </c>
      <c r="J72" s="12" t="s">
        <v>850</v>
      </c>
      <c r="K72" s="12" t="s">
        <v>851</v>
      </c>
      <c r="L72" s="12" t="s">
        <v>852</v>
      </c>
    </row>
    <row r="73" spans="1:12" ht="52.8">
      <c r="A73" s="43" t="s">
        <v>438</v>
      </c>
      <c r="B73" s="43" t="s">
        <v>408</v>
      </c>
      <c r="C73" s="43" t="s">
        <v>72</v>
      </c>
      <c r="D73" s="43" t="s">
        <v>434</v>
      </c>
      <c r="E73" s="12" t="s">
        <v>435</v>
      </c>
      <c r="F73" s="12" t="s">
        <v>436</v>
      </c>
      <c r="G73" s="12" t="s">
        <v>437</v>
      </c>
      <c r="H73" s="12" t="s">
        <v>502</v>
      </c>
      <c r="I73" s="12" t="s">
        <v>625</v>
      </c>
      <c r="J73" s="12" t="s">
        <v>853</v>
      </c>
      <c r="K73" s="12" t="s">
        <v>854</v>
      </c>
      <c r="L73" s="12" t="s">
        <v>855</v>
      </c>
    </row>
    <row r="74" spans="1:12" ht="52.8">
      <c r="A74" s="43" t="s">
        <v>438</v>
      </c>
      <c r="B74" s="43" t="s">
        <v>408</v>
      </c>
      <c r="C74" s="43" t="s">
        <v>72</v>
      </c>
      <c r="D74" s="43" t="s">
        <v>434</v>
      </c>
      <c r="E74" s="12" t="s">
        <v>435</v>
      </c>
      <c r="F74" s="12" t="s">
        <v>436</v>
      </c>
      <c r="G74" s="12" t="s">
        <v>437</v>
      </c>
      <c r="H74" s="12" t="s">
        <v>503</v>
      </c>
      <c r="I74" s="12" t="s">
        <v>626</v>
      </c>
      <c r="J74" s="12" t="s">
        <v>856</v>
      </c>
      <c r="K74" s="12" t="s">
        <v>857</v>
      </c>
      <c r="L74" s="12" t="s">
        <v>856</v>
      </c>
    </row>
    <row r="75" spans="1:12" ht="52.8">
      <c r="A75" s="43" t="s">
        <v>438</v>
      </c>
      <c r="B75" s="43" t="s">
        <v>408</v>
      </c>
      <c r="C75" s="43" t="s">
        <v>72</v>
      </c>
      <c r="D75" s="43" t="s">
        <v>434</v>
      </c>
      <c r="E75" s="12" t="s">
        <v>435</v>
      </c>
      <c r="F75" s="12" t="s">
        <v>436</v>
      </c>
      <c r="G75" s="12" t="s">
        <v>437</v>
      </c>
      <c r="H75" s="12" t="s">
        <v>504</v>
      </c>
      <c r="I75" s="12" t="s">
        <v>627</v>
      </c>
      <c r="J75" s="12" t="s">
        <v>858</v>
      </c>
      <c r="K75" s="12" t="s">
        <v>859</v>
      </c>
      <c r="L75" s="12" t="s">
        <v>860</v>
      </c>
    </row>
    <row r="76" spans="1:12" ht="52.8">
      <c r="A76" s="43" t="s">
        <v>438</v>
      </c>
      <c r="B76" s="43" t="s">
        <v>408</v>
      </c>
      <c r="C76" s="43" t="s">
        <v>72</v>
      </c>
      <c r="D76" s="43" t="s">
        <v>434</v>
      </c>
      <c r="E76" s="12" t="s">
        <v>435</v>
      </c>
      <c r="F76" s="12" t="s">
        <v>436</v>
      </c>
      <c r="G76" s="12" t="s">
        <v>437</v>
      </c>
      <c r="H76" s="12" t="s">
        <v>505</v>
      </c>
      <c r="I76" s="12" t="s">
        <v>628</v>
      </c>
      <c r="J76" s="12" t="s">
        <v>861</v>
      </c>
      <c r="K76" s="12" t="s">
        <v>862</v>
      </c>
      <c r="L76" s="12" t="s">
        <v>863</v>
      </c>
    </row>
    <row r="77" spans="1:12" ht="52.8">
      <c r="A77" s="43" t="s">
        <v>438</v>
      </c>
      <c r="B77" s="43" t="s">
        <v>408</v>
      </c>
      <c r="C77" s="43" t="s">
        <v>72</v>
      </c>
      <c r="D77" s="43" t="s">
        <v>434</v>
      </c>
      <c r="E77" s="12" t="s">
        <v>435</v>
      </c>
      <c r="F77" s="12" t="s">
        <v>436</v>
      </c>
      <c r="G77" s="12" t="s">
        <v>437</v>
      </c>
      <c r="H77" s="12" t="s">
        <v>506</v>
      </c>
      <c r="I77" s="12" t="s">
        <v>629</v>
      </c>
      <c r="J77" s="12" t="s">
        <v>864</v>
      </c>
      <c r="K77" s="12" t="s">
        <v>865</v>
      </c>
      <c r="L77" s="12" t="s">
        <v>864</v>
      </c>
    </row>
    <row r="78" spans="1:12" ht="52.8">
      <c r="A78" s="43" t="s">
        <v>438</v>
      </c>
      <c r="B78" s="43" t="s">
        <v>408</v>
      </c>
      <c r="C78" s="43" t="s">
        <v>72</v>
      </c>
      <c r="D78" s="43" t="s">
        <v>434</v>
      </c>
      <c r="E78" s="12" t="s">
        <v>435</v>
      </c>
      <c r="F78" s="12" t="s">
        <v>436</v>
      </c>
      <c r="G78" s="12" t="s">
        <v>437</v>
      </c>
      <c r="H78" s="12" t="s">
        <v>507</v>
      </c>
      <c r="I78" s="12" t="s">
        <v>630</v>
      </c>
      <c r="J78" s="12" t="s">
        <v>866</v>
      </c>
      <c r="K78" s="12" t="s">
        <v>867</v>
      </c>
      <c r="L78" s="12" t="s">
        <v>868</v>
      </c>
    </row>
    <row r="79" spans="1:12" ht="52.8">
      <c r="A79" s="43" t="s">
        <v>438</v>
      </c>
      <c r="B79" s="43" t="s">
        <v>408</v>
      </c>
      <c r="C79" s="43" t="s">
        <v>72</v>
      </c>
      <c r="D79" s="43" t="s">
        <v>434</v>
      </c>
      <c r="E79" s="12" t="s">
        <v>435</v>
      </c>
      <c r="F79" s="12" t="s">
        <v>436</v>
      </c>
      <c r="G79" s="12" t="s">
        <v>437</v>
      </c>
      <c r="H79" s="12" t="s">
        <v>508</v>
      </c>
      <c r="I79" s="12" t="s">
        <v>631</v>
      </c>
      <c r="J79" s="12" t="s">
        <v>869</v>
      </c>
      <c r="K79" s="12" t="s">
        <v>870</v>
      </c>
      <c r="L79" s="12" t="s">
        <v>869</v>
      </c>
    </row>
    <row r="80" spans="1:12" ht="66">
      <c r="A80" s="43" t="s">
        <v>438</v>
      </c>
      <c r="B80" s="43" t="s">
        <v>408</v>
      </c>
      <c r="C80" s="43" t="s">
        <v>72</v>
      </c>
      <c r="D80" s="43" t="s">
        <v>434</v>
      </c>
      <c r="E80" s="12" t="s">
        <v>435</v>
      </c>
      <c r="F80" s="12" t="s">
        <v>436</v>
      </c>
      <c r="G80" s="12" t="s">
        <v>437</v>
      </c>
      <c r="H80" s="12" t="s">
        <v>509</v>
      </c>
      <c r="I80" s="12" t="s">
        <v>632</v>
      </c>
      <c r="J80" s="12" t="s">
        <v>871</v>
      </c>
      <c r="K80" s="12" t="s">
        <v>872</v>
      </c>
      <c r="L80" s="12" t="s">
        <v>871</v>
      </c>
    </row>
    <row r="81" spans="1:12" ht="52.8">
      <c r="A81" s="43" t="s">
        <v>438</v>
      </c>
      <c r="B81" s="43" t="s">
        <v>408</v>
      </c>
      <c r="C81" s="43" t="s">
        <v>72</v>
      </c>
      <c r="D81" s="43" t="s">
        <v>434</v>
      </c>
      <c r="E81" s="12" t="s">
        <v>435</v>
      </c>
      <c r="F81" s="12" t="s">
        <v>436</v>
      </c>
      <c r="G81" s="12" t="s">
        <v>437</v>
      </c>
      <c r="H81" s="12" t="s">
        <v>510</v>
      </c>
      <c r="I81" s="12" t="s">
        <v>633</v>
      </c>
      <c r="J81" s="12" t="s">
        <v>873</v>
      </c>
      <c r="K81" s="12" t="s">
        <v>874</v>
      </c>
      <c r="L81" s="12" t="s">
        <v>873</v>
      </c>
    </row>
    <row r="82" spans="1:12" ht="66">
      <c r="A82" s="43" t="s">
        <v>438</v>
      </c>
      <c r="B82" s="43" t="s">
        <v>408</v>
      </c>
      <c r="C82" s="43" t="s">
        <v>72</v>
      </c>
      <c r="D82" s="43" t="s">
        <v>434</v>
      </c>
      <c r="E82" s="12" t="s">
        <v>435</v>
      </c>
      <c r="F82" s="12" t="s">
        <v>436</v>
      </c>
      <c r="G82" s="12" t="s">
        <v>437</v>
      </c>
      <c r="H82" s="12" t="s">
        <v>511</v>
      </c>
      <c r="I82" s="12" t="s">
        <v>634</v>
      </c>
      <c r="J82" s="12" t="s">
        <v>875</v>
      </c>
      <c r="K82" s="12" t="s">
        <v>876</v>
      </c>
      <c r="L82" s="12" t="s">
        <v>875</v>
      </c>
    </row>
    <row r="83" spans="1:12" ht="52.8">
      <c r="A83" s="43" t="s">
        <v>438</v>
      </c>
      <c r="B83" s="43" t="s">
        <v>408</v>
      </c>
      <c r="C83" s="43" t="s">
        <v>72</v>
      </c>
      <c r="D83" s="43" t="s">
        <v>434</v>
      </c>
      <c r="E83" s="12" t="s">
        <v>435</v>
      </c>
      <c r="F83" s="12" t="s">
        <v>436</v>
      </c>
      <c r="G83" s="12" t="s">
        <v>437</v>
      </c>
      <c r="H83" s="12" t="s">
        <v>512</v>
      </c>
      <c r="I83" s="12" t="s">
        <v>635</v>
      </c>
      <c r="J83" s="12" t="s">
        <v>877</v>
      </c>
      <c r="K83" s="12" t="s">
        <v>878</v>
      </c>
      <c r="L83" s="12" t="s">
        <v>879</v>
      </c>
    </row>
    <row r="84" spans="1:12" ht="52.8">
      <c r="A84" s="43" t="s">
        <v>438</v>
      </c>
      <c r="B84" s="43" t="s">
        <v>408</v>
      </c>
      <c r="C84" s="43" t="s">
        <v>72</v>
      </c>
      <c r="D84" s="43" t="s">
        <v>434</v>
      </c>
      <c r="E84" s="12" t="s">
        <v>435</v>
      </c>
      <c r="F84" s="12" t="s">
        <v>436</v>
      </c>
      <c r="G84" s="12" t="s">
        <v>437</v>
      </c>
      <c r="H84" s="12" t="s">
        <v>513</v>
      </c>
      <c r="I84" s="12" t="s">
        <v>636</v>
      </c>
      <c r="J84" s="12" t="s">
        <v>880</v>
      </c>
      <c r="K84" s="12" t="s">
        <v>881</v>
      </c>
      <c r="L84" s="12" t="s">
        <v>882</v>
      </c>
    </row>
    <row r="85" spans="1:12" ht="52.8">
      <c r="A85" s="43" t="s">
        <v>438</v>
      </c>
      <c r="B85" s="43" t="s">
        <v>408</v>
      </c>
      <c r="C85" s="43" t="s">
        <v>72</v>
      </c>
      <c r="D85" s="43" t="s">
        <v>434</v>
      </c>
      <c r="E85" s="12" t="s">
        <v>435</v>
      </c>
      <c r="F85" s="12" t="s">
        <v>436</v>
      </c>
      <c r="G85" s="12" t="s">
        <v>437</v>
      </c>
      <c r="H85" s="12" t="s">
        <v>514</v>
      </c>
      <c r="I85" s="12" t="s">
        <v>637</v>
      </c>
      <c r="J85" s="12" t="s">
        <v>883</v>
      </c>
      <c r="K85" s="12" t="s">
        <v>884</v>
      </c>
      <c r="L85" s="12" t="s">
        <v>883</v>
      </c>
    </row>
    <row r="86" spans="1:12" ht="52.8">
      <c r="A86" s="43" t="s">
        <v>438</v>
      </c>
      <c r="B86" s="43" t="s">
        <v>408</v>
      </c>
      <c r="C86" s="43" t="s">
        <v>72</v>
      </c>
      <c r="D86" s="43" t="s">
        <v>434</v>
      </c>
      <c r="E86" s="12" t="s">
        <v>435</v>
      </c>
      <c r="F86" s="12" t="s">
        <v>436</v>
      </c>
      <c r="G86" s="12" t="s">
        <v>437</v>
      </c>
      <c r="H86" s="12" t="s">
        <v>515</v>
      </c>
      <c r="I86" s="12" t="s">
        <v>638</v>
      </c>
      <c r="J86" s="12" t="s">
        <v>885</v>
      </c>
      <c r="K86" s="12" t="s">
        <v>886</v>
      </c>
      <c r="L86" s="12" t="s">
        <v>885</v>
      </c>
    </row>
    <row r="87" spans="1:12" ht="52.8">
      <c r="A87" s="43" t="s">
        <v>438</v>
      </c>
      <c r="B87" s="43" t="s">
        <v>408</v>
      </c>
      <c r="C87" s="43" t="s">
        <v>72</v>
      </c>
      <c r="D87" s="43" t="s">
        <v>434</v>
      </c>
      <c r="E87" s="12" t="s">
        <v>435</v>
      </c>
      <c r="F87" s="12" t="s">
        <v>436</v>
      </c>
      <c r="G87" s="12" t="s">
        <v>437</v>
      </c>
      <c r="H87" s="12" t="s">
        <v>516</v>
      </c>
      <c r="I87" s="12" t="s">
        <v>639</v>
      </c>
      <c r="J87" s="12" t="s">
        <v>887</v>
      </c>
      <c r="K87" s="12" t="s">
        <v>888</v>
      </c>
      <c r="L87" s="12" t="s">
        <v>887</v>
      </c>
    </row>
    <row r="88" spans="1:12" ht="92.4">
      <c r="A88" s="43" t="s">
        <v>438</v>
      </c>
      <c r="B88" s="43" t="s">
        <v>408</v>
      </c>
      <c r="C88" s="43" t="s">
        <v>72</v>
      </c>
      <c r="D88" s="43" t="s">
        <v>434</v>
      </c>
      <c r="E88" s="12" t="s">
        <v>435</v>
      </c>
      <c r="F88" s="12" t="s">
        <v>436</v>
      </c>
      <c r="G88" s="12" t="s">
        <v>437</v>
      </c>
      <c r="H88" s="12" t="s">
        <v>517</v>
      </c>
      <c r="I88" s="12" t="s">
        <v>640</v>
      </c>
      <c r="J88" s="12" t="s">
        <v>889</v>
      </c>
      <c r="K88" s="12" t="s">
        <v>890</v>
      </c>
      <c r="L88" s="12" t="s">
        <v>891</v>
      </c>
    </row>
    <row r="89" spans="1:12" ht="52.8">
      <c r="A89" s="43" t="s">
        <v>438</v>
      </c>
      <c r="B89" s="43" t="s">
        <v>408</v>
      </c>
      <c r="C89" s="43" t="s">
        <v>72</v>
      </c>
      <c r="D89" s="43" t="s">
        <v>434</v>
      </c>
      <c r="E89" s="12" t="s">
        <v>435</v>
      </c>
      <c r="F89" s="12" t="s">
        <v>436</v>
      </c>
      <c r="G89" s="12" t="s">
        <v>437</v>
      </c>
      <c r="H89" s="12" t="s">
        <v>518</v>
      </c>
      <c r="I89" s="12" t="s">
        <v>641</v>
      </c>
      <c r="J89" s="12" t="s">
        <v>892</v>
      </c>
      <c r="K89" s="12" t="s">
        <v>893</v>
      </c>
      <c r="L89" s="12" t="s">
        <v>892</v>
      </c>
    </row>
    <row r="90" spans="1:12" ht="52.8">
      <c r="A90" s="43" t="s">
        <v>438</v>
      </c>
      <c r="B90" s="43" t="s">
        <v>408</v>
      </c>
      <c r="C90" s="43" t="s">
        <v>72</v>
      </c>
      <c r="D90" s="43" t="s">
        <v>434</v>
      </c>
      <c r="E90" s="12" t="s">
        <v>435</v>
      </c>
      <c r="F90" s="12" t="s">
        <v>436</v>
      </c>
      <c r="G90" s="12" t="s">
        <v>437</v>
      </c>
      <c r="H90" s="12" t="s">
        <v>519</v>
      </c>
      <c r="I90" s="12" t="s">
        <v>642</v>
      </c>
      <c r="J90" s="12" t="s">
        <v>894</v>
      </c>
      <c r="K90" s="12" t="s">
        <v>895</v>
      </c>
      <c r="L90" s="12" t="s">
        <v>894</v>
      </c>
    </row>
    <row r="91" spans="1:12" ht="52.8">
      <c r="A91" s="43" t="s">
        <v>438</v>
      </c>
      <c r="B91" s="43" t="s">
        <v>408</v>
      </c>
      <c r="C91" s="43" t="s">
        <v>72</v>
      </c>
      <c r="D91" s="43" t="s">
        <v>434</v>
      </c>
      <c r="E91" s="12" t="s">
        <v>435</v>
      </c>
      <c r="F91" s="12" t="s">
        <v>436</v>
      </c>
      <c r="G91" s="12" t="s">
        <v>437</v>
      </c>
      <c r="H91" s="12" t="s">
        <v>520</v>
      </c>
      <c r="I91" s="12" t="s">
        <v>643</v>
      </c>
      <c r="J91" s="12" t="s">
        <v>896</v>
      </c>
      <c r="K91" s="12" t="s">
        <v>897</v>
      </c>
      <c r="L91" s="12" t="s">
        <v>896</v>
      </c>
    </row>
    <row r="92" spans="1:12" ht="52.8">
      <c r="A92" s="43" t="s">
        <v>438</v>
      </c>
      <c r="B92" s="43" t="s">
        <v>408</v>
      </c>
      <c r="C92" s="43" t="s">
        <v>72</v>
      </c>
      <c r="D92" s="43" t="s">
        <v>434</v>
      </c>
      <c r="E92" s="12" t="s">
        <v>435</v>
      </c>
      <c r="F92" s="12" t="s">
        <v>436</v>
      </c>
      <c r="G92" s="12" t="s">
        <v>437</v>
      </c>
      <c r="H92" s="12" t="s">
        <v>521</v>
      </c>
      <c r="I92" s="12" t="s">
        <v>644</v>
      </c>
      <c r="J92" s="12" t="s">
        <v>898</v>
      </c>
      <c r="K92" s="12" t="s">
        <v>899</v>
      </c>
      <c r="L92" s="12" t="s">
        <v>900</v>
      </c>
    </row>
    <row r="93" spans="1:12" ht="105.6">
      <c r="A93" s="43" t="s">
        <v>438</v>
      </c>
      <c r="B93" s="43" t="s">
        <v>408</v>
      </c>
      <c r="C93" s="43" t="s">
        <v>72</v>
      </c>
      <c r="D93" s="43" t="s">
        <v>434</v>
      </c>
      <c r="E93" s="12" t="s">
        <v>435</v>
      </c>
      <c r="F93" s="12" t="s">
        <v>436</v>
      </c>
      <c r="G93" s="12" t="s">
        <v>437</v>
      </c>
      <c r="H93" s="12" t="s">
        <v>522</v>
      </c>
      <c r="I93" s="12" t="s">
        <v>645</v>
      </c>
      <c r="J93" s="12" t="s">
        <v>901</v>
      </c>
      <c r="K93" s="12" t="s">
        <v>902</v>
      </c>
      <c r="L93" s="12" t="s">
        <v>903</v>
      </c>
    </row>
    <row r="94" spans="1:12" ht="52.8">
      <c r="A94" s="43" t="s">
        <v>438</v>
      </c>
      <c r="B94" s="43" t="s">
        <v>408</v>
      </c>
      <c r="C94" s="43" t="s">
        <v>72</v>
      </c>
      <c r="D94" s="43" t="s">
        <v>434</v>
      </c>
      <c r="E94" s="12" t="s">
        <v>435</v>
      </c>
      <c r="F94" s="12" t="s">
        <v>436</v>
      </c>
      <c r="G94" s="12" t="s">
        <v>437</v>
      </c>
      <c r="H94" s="12" t="s">
        <v>523</v>
      </c>
      <c r="I94" s="12" t="s">
        <v>646</v>
      </c>
      <c r="J94" s="12" t="s">
        <v>904</v>
      </c>
      <c r="K94" s="12" t="s">
        <v>905</v>
      </c>
      <c r="L94" s="12" t="s">
        <v>904</v>
      </c>
    </row>
    <row r="95" spans="1:12" ht="52.8">
      <c r="A95" s="43" t="s">
        <v>438</v>
      </c>
      <c r="B95" s="43" t="s">
        <v>408</v>
      </c>
      <c r="C95" s="43" t="s">
        <v>72</v>
      </c>
      <c r="D95" s="43" t="s">
        <v>434</v>
      </c>
      <c r="E95" s="12" t="s">
        <v>435</v>
      </c>
      <c r="F95" s="12" t="s">
        <v>436</v>
      </c>
      <c r="G95" s="12" t="s">
        <v>437</v>
      </c>
      <c r="H95" s="12" t="s">
        <v>524</v>
      </c>
      <c r="I95" s="12" t="s">
        <v>647</v>
      </c>
      <c r="J95" s="12" t="s">
        <v>906</v>
      </c>
      <c r="K95" s="12" t="s">
        <v>907</v>
      </c>
      <c r="L95" s="12" t="s">
        <v>906</v>
      </c>
    </row>
    <row r="96" spans="1:12" ht="52.8">
      <c r="A96" s="43" t="s">
        <v>438</v>
      </c>
      <c r="B96" s="43" t="s">
        <v>408</v>
      </c>
      <c r="C96" s="43" t="s">
        <v>72</v>
      </c>
      <c r="D96" s="43" t="s">
        <v>434</v>
      </c>
      <c r="E96" s="12" t="s">
        <v>435</v>
      </c>
      <c r="F96" s="12" t="s">
        <v>436</v>
      </c>
      <c r="G96" s="12" t="s">
        <v>437</v>
      </c>
      <c r="H96" s="12" t="s">
        <v>525</v>
      </c>
      <c r="I96" s="12" t="s">
        <v>648</v>
      </c>
      <c r="J96" s="12" t="s">
        <v>908</v>
      </c>
      <c r="K96" s="12" t="s">
        <v>909</v>
      </c>
      <c r="L96" s="12" t="s">
        <v>910</v>
      </c>
    </row>
    <row r="97" spans="1:12" ht="52.8">
      <c r="A97" s="43" t="s">
        <v>438</v>
      </c>
      <c r="B97" s="43" t="s">
        <v>408</v>
      </c>
      <c r="C97" s="43" t="s">
        <v>72</v>
      </c>
      <c r="D97" s="43" t="s">
        <v>434</v>
      </c>
      <c r="E97" s="12" t="s">
        <v>435</v>
      </c>
      <c r="F97" s="12" t="s">
        <v>436</v>
      </c>
      <c r="G97" s="12" t="s">
        <v>437</v>
      </c>
      <c r="H97" s="12" t="s">
        <v>526</v>
      </c>
      <c r="I97" s="12" t="s">
        <v>649</v>
      </c>
      <c r="J97" s="12" t="s">
        <v>911</v>
      </c>
      <c r="K97" s="12" t="s">
        <v>912</v>
      </c>
      <c r="L97" s="12" t="s">
        <v>911</v>
      </c>
    </row>
    <row r="98" spans="1:12" ht="52.8">
      <c r="A98" s="43" t="s">
        <v>438</v>
      </c>
      <c r="B98" s="43" t="s">
        <v>408</v>
      </c>
      <c r="C98" s="43" t="s">
        <v>72</v>
      </c>
      <c r="D98" s="43" t="s">
        <v>434</v>
      </c>
      <c r="E98" s="12" t="s">
        <v>435</v>
      </c>
      <c r="F98" s="12" t="s">
        <v>436</v>
      </c>
      <c r="G98" s="12" t="s">
        <v>437</v>
      </c>
      <c r="H98" s="12" t="s">
        <v>527</v>
      </c>
      <c r="I98" s="12" t="s">
        <v>650</v>
      </c>
      <c r="J98" s="12" t="s">
        <v>913</v>
      </c>
      <c r="K98" s="12" t="s">
        <v>914</v>
      </c>
      <c r="L98" s="12" t="s">
        <v>913</v>
      </c>
    </row>
    <row r="99" spans="1:12" ht="52.8">
      <c r="A99" s="43" t="s">
        <v>438</v>
      </c>
      <c r="B99" s="43" t="s">
        <v>408</v>
      </c>
      <c r="C99" s="43" t="s">
        <v>72</v>
      </c>
      <c r="D99" s="43" t="s">
        <v>434</v>
      </c>
      <c r="E99" s="12" t="s">
        <v>435</v>
      </c>
      <c r="F99" s="12" t="s">
        <v>436</v>
      </c>
      <c r="G99" s="12" t="s">
        <v>437</v>
      </c>
      <c r="H99" s="12" t="s">
        <v>528</v>
      </c>
      <c r="I99" s="12" t="s">
        <v>651</v>
      </c>
      <c r="J99" s="12" t="s">
        <v>915</v>
      </c>
      <c r="K99" s="12" t="s">
        <v>916</v>
      </c>
      <c r="L99" s="12" t="s">
        <v>915</v>
      </c>
    </row>
    <row r="100" spans="1:12" ht="52.8">
      <c r="A100" s="43" t="s">
        <v>438</v>
      </c>
      <c r="B100" s="43" t="s">
        <v>408</v>
      </c>
      <c r="C100" s="43" t="s">
        <v>72</v>
      </c>
      <c r="D100" s="43" t="s">
        <v>434</v>
      </c>
      <c r="E100" s="12" t="s">
        <v>435</v>
      </c>
      <c r="F100" s="12" t="s">
        <v>436</v>
      </c>
      <c r="G100" s="12" t="s">
        <v>437</v>
      </c>
      <c r="H100" s="12" t="s">
        <v>529</v>
      </c>
      <c r="I100" s="12" t="s">
        <v>652</v>
      </c>
      <c r="J100" s="12" t="s">
        <v>917</v>
      </c>
      <c r="K100" s="12" t="s">
        <v>918</v>
      </c>
      <c r="L100" s="12" t="s">
        <v>917</v>
      </c>
    </row>
    <row r="101" spans="1:12" ht="52.8">
      <c r="A101" s="43" t="s">
        <v>438</v>
      </c>
      <c r="B101" s="43" t="s">
        <v>408</v>
      </c>
      <c r="C101" s="43" t="s">
        <v>72</v>
      </c>
      <c r="D101" s="43" t="s">
        <v>434</v>
      </c>
      <c r="E101" s="12" t="s">
        <v>435</v>
      </c>
      <c r="F101" s="12" t="s">
        <v>436</v>
      </c>
      <c r="G101" s="12" t="s">
        <v>437</v>
      </c>
      <c r="H101" s="12" t="s">
        <v>530</v>
      </c>
      <c r="I101" s="12" t="s">
        <v>653</v>
      </c>
      <c r="J101" s="12" t="s">
        <v>919</v>
      </c>
      <c r="K101" s="12" t="s">
        <v>920</v>
      </c>
      <c r="L101" s="12" t="s">
        <v>921</v>
      </c>
    </row>
    <row r="102" spans="1:12" ht="52.8">
      <c r="A102" s="43" t="s">
        <v>438</v>
      </c>
      <c r="B102" s="43" t="s">
        <v>408</v>
      </c>
      <c r="C102" s="43" t="s">
        <v>72</v>
      </c>
      <c r="D102" s="43" t="s">
        <v>434</v>
      </c>
      <c r="E102" s="12" t="s">
        <v>435</v>
      </c>
      <c r="F102" s="12" t="s">
        <v>436</v>
      </c>
      <c r="G102" s="12" t="s">
        <v>437</v>
      </c>
      <c r="H102" s="12" t="s">
        <v>531</v>
      </c>
      <c r="I102" s="12" t="s">
        <v>654</v>
      </c>
      <c r="J102" s="12" t="s">
        <v>922</v>
      </c>
      <c r="K102" s="12" t="s">
        <v>923</v>
      </c>
      <c r="L102" s="12" t="s">
        <v>922</v>
      </c>
    </row>
    <row r="103" spans="1:12" ht="66">
      <c r="A103" s="43" t="s">
        <v>438</v>
      </c>
      <c r="B103" s="43" t="s">
        <v>408</v>
      </c>
      <c r="C103" s="43" t="s">
        <v>72</v>
      </c>
      <c r="D103" s="43" t="s">
        <v>434</v>
      </c>
      <c r="E103" s="12" t="s">
        <v>435</v>
      </c>
      <c r="F103" s="12" t="s">
        <v>436</v>
      </c>
      <c r="G103" s="12" t="s">
        <v>437</v>
      </c>
      <c r="H103" s="12" t="s">
        <v>532</v>
      </c>
      <c r="I103" s="12" t="s">
        <v>655</v>
      </c>
      <c r="J103" s="12" t="s">
        <v>924</v>
      </c>
      <c r="K103" s="12" t="s">
        <v>925</v>
      </c>
      <c r="L103" s="12" t="s">
        <v>926</v>
      </c>
    </row>
    <row r="104" spans="1:12" ht="132">
      <c r="A104" s="43" t="s">
        <v>438</v>
      </c>
      <c r="B104" s="43" t="s">
        <v>408</v>
      </c>
      <c r="C104" s="43" t="s">
        <v>72</v>
      </c>
      <c r="D104" s="43" t="s">
        <v>434</v>
      </c>
      <c r="E104" s="12" t="s">
        <v>435</v>
      </c>
      <c r="F104" s="12" t="s">
        <v>436</v>
      </c>
      <c r="G104" s="12" t="s">
        <v>437</v>
      </c>
      <c r="H104" s="12" t="s">
        <v>533</v>
      </c>
      <c r="I104" s="12" t="s">
        <v>656</v>
      </c>
      <c r="J104" s="12" t="s">
        <v>927</v>
      </c>
      <c r="K104" s="12" t="s">
        <v>928</v>
      </c>
      <c r="L104" s="12" t="s">
        <v>929</v>
      </c>
    </row>
    <row r="105" spans="1:12" ht="52.8">
      <c r="A105" s="43" t="s">
        <v>438</v>
      </c>
      <c r="B105" s="43" t="s">
        <v>408</v>
      </c>
      <c r="C105" s="43" t="s">
        <v>72</v>
      </c>
      <c r="D105" s="43" t="s">
        <v>434</v>
      </c>
      <c r="E105" s="12" t="s">
        <v>435</v>
      </c>
      <c r="F105" s="12" t="s">
        <v>436</v>
      </c>
      <c r="G105" s="12" t="s">
        <v>437</v>
      </c>
      <c r="H105" s="12" t="s">
        <v>534</v>
      </c>
      <c r="I105" s="12" t="s">
        <v>657</v>
      </c>
      <c r="J105" s="12" t="s">
        <v>930</v>
      </c>
      <c r="K105" s="12" t="s">
        <v>931</v>
      </c>
      <c r="L105" s="12" t="s">
        <v>932</v>
      </c>
    </row>
    <row r="106" spans="1:12" ht="52.8">
      <c r="A106" s="43" t="s">
        <v>438</v>
      </c>
      <c r="B106" s="43" t="s">
        <v>408</v>
      </c>
      <c r="C106" s="43" t="s">
        <v>72</v>
      </c>
      <c r="D106" s="43" t="s">
        <v>434</v>
      </c>
      <c r="E106" s="12" t="s">
        <v>435</v>
      </c>
      <c r="F106" s="12" t="s">
        <v>436</v>
      </c>
      <c r="G106" s="12" t="s">
        <v>437</v>
      </c>
      <c r="H106" s="12" t="s">
        <v>535</v>
      </c>
      <c r="I106" s="12" t="s">
        <v>658</v>
      </c>
      <c r="J106" s="12" t="s">
        <v>933</v>
      </c>
      <c r="K106" s="12" t="s">
        <v>934</v>
      </c>
      <c r="L106" s="12" t="s">
        <v>935</v>
      </c>
    </row>
    <row r="107" spans="1:12" ht="52.8">
      <c r="A107" s="43" t="s">
        <v>438</v>
      </c>
      <c r="B107" s="43" t="s">
        <v>408</v>
      </c>
      <c r="C107" s="43" t="s">
        <v>72</v>
      </c>
      <c r="D107" s="43" t="s">
        <v>434</v>
      </c>
      <c r="E107" s="12" t="s">
        <v>435</v>
      </c>
      <c r="F107" s="12" t="s">
        <v>436</v>
      </c>
      <c r="G107" s="12" t="s">
        <v>437</v>
      </c>
      <c r="H107" s="12" t="s">
        <v>536</v>
      </c>
      <c r="I107" s="12" t="s">
        <v>659</v>
      </c>
      <c r="J107" s="12" t="s">
        <v>936</v>
      </c>
      <c r="K107" s="12" t="s">
        <v>937</v>
      </c>
      <c r="L107" s="12" t="s">
        <v>938</v>
      </c>
    </row>
    <row r="108" spans="1:12" ht="52.8">
      <c r="A108" s="43" t="s">
        <v>438</v>
      </c>
      <c r="B108" s="43" t="s">
        <v>408</v>
      </c>
      <c r="C108" s="43" t="s">
        <v>72</v>
      </c>
      <c r="D108" s="43" t="s">
        <v>434</v>
      </c>
      <c r="E108" s="12" t="s">
        <v>435</v>
      </c>
      <c r="F108" s="12" t="s">
        <v>436</v>
      </c>
      <c r="G108" s="12" t="s">
        <v>437</v>
      </c>
      <c r="H108" s="12" t="s">
        <v>537</v>
      </c>
      <c r="I108" s="12" t="s">
        <v>660</v>
      </c>
      <c r="J108" s="12" t="s">
        <v>939</v>
      </c>
      <c r="K108" s="12" t="s">
        <v>940</v>
      </c>
      <c r="L108" s="12" t="s">
        <v>939</v>
      </c>
    </row>
    <row r="109" spans="1:12" ht="52.8">
      <c r="A109" s="43" t="s">
        <v>438</v>
      </c>
      <c r="B109" s="43" t="s">
        <v>408</v>
      </c>
      <c r="C109" s="43" t="s">
        <v>72</v>
      </c>
      <c r="D109" s="43" t="s">
        <v>434</v>
      </c>
      <c r="E109" s="12" t="s">
        <v>435</v>
      </c>
      <c r="F109" s="12" t="s">
        <v>436</v>
      </c>
      <c r="G109" s="12" t="s">
        <v>437</v>
      </c>
      <c r="H109" s="12" t="s">
        <v>538</v>
      </c>
      <c r="I109" s="12" t="s">
        <v>661</v>
      </c>
      <c r="J109" s="12" t="s">
        <v>941</v>
      </c>
      <c r="K109" s="12" t="s">
        <v>942</v>
      </c>
      <c r="L109" s="12" t="s">
        <v>943</v>
      </c>
    </row>
    <row r="110" spans="1:12" ht="52.8">
      <c r="A110" s="43" t="s">
        <v>438</v>
      </c>
      <c r="B110" s="43" t="s">
        <v>408</v>
      </c>
      <c r="C110" s="43" t="s">
        <v>72</v>
      </c>
      <c r="D110" s="43" t="s">
        <v>434</v>
      </c>
      <c r="E110" s="12" t="s">
        <v>435</v>
      </c>
      <c r="F110" s="12" t="s">
        <v>436</v>
      </c>
      <c r="G110" s="12" t="s">
        <v>437</v>
      </c>
      <c r="H110" s="12" t="s">
        <v>539</v>
      </c>
      <c r="I110" s="12" t="s">
        <v>662</v>
      </c>
      <c r="J110" s="12" t="s">
        <v>944</v>
      </c>
      <c r="K110" s="12" t="s">
        <v>945</v>
      </c>
      <c r="L110" s="12" t="s">
        <v>946</v>
      </c>
    </row>
    <row r="111" spans="1:12" ht="66">
      <c r="A111" s="43" t="s">
        <v>438</v>
      </c>
      <c r="B111" s="43" t="s">
        <v>408</v>
      </c>
      <c r="C111" s="43" t="s">
        <v>72</v>
      </c>
      <c r="D111" s="43" t="s">
        <v>434</v>
      </c>
      <c r="E111" s="12" t="s">
        <v>435</v>
      </c>
      <c r="F111" s="12" t="s">
        <v>436</v>
      </c>
      <c r="G111" s="12" t="s">
        <v>437</v>
      </c>
      <c r="H111" s="12" t="s">
        <v>540</v>
      </c>
      <c r="I111" s="12" t="s">
        <v>663</v>
      </c>
      <c r="J111" s="12" t="s">
        <v>947</v>
      </c>
      <c r="K111" s="12" t="s">
        <v>948</v>
      </c>
      <c r="L111" s="12" t="s">
        <v>949</v>
      </c>
    </row>
    <row r="112" spans="1:12" ht="52.8">
      <c r="A112" s="43" t="s">
        <v>438</v>
      </c>
      <c r="B112" s="43" t="s">
        <v>408</v>
      </c>
      <c r="C112" s="43" t="s">
        <v>72</v>
      </c>
      <c r="D112" s="43" t="s">
        <v>434</v>
      </c>
      <c r="E112" s="12" t="s">
        <v>435</v>
      </c>
      <c r="F112" s="12" t="s">
        <v>436</v>
      </c>
      <c r="G112" s="12" t="s">
        <v>437</v>
      </c>
      <c r="H112" s="12" t="s">
        <v>541</v>
      </c>
      <c r="I112" s="12" t="s">
        <v>664</v>
      </c>
      <c r="J112" s="12" t="s">
        <v>950</v>
      </c>
      <c r="K112" s="12" t="s">
        <v>951</v>
      </c>
      <c r="L112" s="12" t="s">
        <v>952</v>
      </c>
    </row>
    <row r="113" spans="1:12" ht="52.8">
      <c r="A113" s="43" t="s">
        <v>438</v>
      </c>
      <c r="B113" s="43" t="s">
        <v>408</v>
      </c>
      <c r="C113" s="43" t="s">
        <v>72</v>
      </c>
      <c r="D113" s="43" t="s">
        <v>434</v>
      </c>
      <c r="E113" s="12" t="s">
        <v>435</v>
      </c>
      <c r="F113" s="12" t="s">
        <v>436</v>
      </c>
      <c r="G113" s="12" t="s">
        <v>437</v>
      </c>
      <c r="H113" s="12" t="s">
        <v>542</v>
      </c>
      <c r="I113" s="12" t="s">
        <v>665</v>
      </c>
      <c r="J113" s="12" t="s">
        <v>953</v>
      </c>
      <c r="K113" s="12" t="s">
        <v>954</v>
      </c>
      <c r="L113" s="12" t="s">
        <v>955</v>
      </c>
    </row>
    <row r="114" spans="1:12" ht="52.8">
      <c r="A114" s="43" t="s">
        <v>438</v>
      </c>
      <c r="B114" s="43" t="s">
        <v>408</v>
      </c>
      <c r="C114" s="43" t="s">
        <v>72</v>
      </c>
      <c r="D114" s="43" t="s">
        <v>434</v>
      </c>
      <c r="E114" s="12" t="s">
        <v>435</v>
      </c>
      <c r="F114" s="12" t="s">
        <v>436</v>
      </c>
      <c r="G114" s="12" t="s">
        <v>437</v>
      </c>
      <c r="H114" s="12" t="s">
        <v>543</v>
      </c>
      <c r="I114" s="12" t="s">
        <v>666</v>
      </c>
      <c r="J114" s="12" t="s">
        <v>956</v>
      </c>
      <c r="K114" s="12" t="s">
        <v>957</v>
      </c>
      <c r="L114" s="12" t="s">
        <v>958</v>
      </c>
    </row>
    <row r="115" spans="1:12" ht="66">
      <c r="A115" s="43" t="s">
        <v>438</v>
      </c>
      <c r="B115" s="43" t="s">
        <v>408</v>
      </c>
      <c r="C115" s="43" t="s">
        <v>72</v>
      </c>
      <c r="D115" s="43" t="s">
        <v>434</v>
      </c>
      <c r="E115" s="12" t="s">
        <v>435</v>
      </c>
      <c r="F115" s="12" t="s">
        <v>436</v>
      </c>
      <c r="G115" s="12" t="s">
        <v>437</v>
      </c>
      <c r="H115" s="12" t="s">
        <v>544</v>
      </c>
      <c r="I115" s="12" t="s">
        <v>667</v>
      </c>
      <c r="J115" s="12" t="s">
        <v>959</v>
      </c>
      <c r="K115" s="12" t="s">
        <v>960</v>
      </c>
      <c r="L115" s="12" t="s">
        <v>959</v>
      </c>
    </row>
    <row r="116" spans="1:12" ht="52.8">
      <c r="A116" s="43" t="s">
        <v>438</v>
      </c>
      <c r="B116" s="43" t="s">
        <v>408</v>
      </c>
      <c r="C116" s="43" t="s">
        <v>72</v>
      </c>
      <c r="D116" s="43" t="s">
        <v>434</v>
      </c>
      <c r="E116" s="12" t="s">
        <v>435</v>
      </c>
      <c r="F116" s="12" t="s">
        <v>436</v>
      </c>
      <c r="G116" s="12" t="s">
        <v>437</v>
      </c>
      <c r="H116" s="12" t="s">
        <v>545</v>
      </c>
      <c r="I116" s="12" t="s">
        <v>668</v>
      </c>
      <c r="J116" s="12" t="s">
        <v>961</v>
      </c>
      <c r="K116" s="12" t="s">
        <v>962</v>
      </c>
      <c r="L116" s="12" t="s">
        <v>961</v>
      </c>
    </row>
    <row r="117" spans="1:12" ht="52.8">
      <c r="A117" s="43" t="s">
        <v>438</v>
      </c>
      <c r="B117" s="43" t="s">
        <v>408</v>
      </c>
      <c r="C117" s="43" t="s">
        <v>72</v>
      </c>
      <c r="D117" s="43" t="s">
        <v>434</v>
      </c>
      <c r="E117" s="12" t="s">
        <v>435</v>
      </c>
      <c r="F117" s="12" t="s">
        <v>436</v>
      </c>
      <c r="G117" s="12" t="s">
        <v>437</v>
      </c>
      <c r="H117" s="12" t="s">
        <v>546</v>
      </c>
      <c r="I117" s="12" t="s">
        <v>669</v>
      </c>
      <c r="J117" s="12" t="s">
        <v>963</v>
      </c>
      <c r="K117" s="12" t="s">
        <v>964</v>
      </c>
      <c r="L117" s="12" t="s">
        <v>963</v>
      </c>
    </row>
    <row r="118" spans="1:12" ht="52.8">
      <c r="A118" s="43" t="s">
        <v>438</v>
      </c>
      <c r="B118" s="43" t="s">
        <v>408</v>
      </c>
      <c r="C118" s="43" t="s">
        <v>72</v>
      </c>
      <c r="D118" s="43" t="s">
        <v>434</v>
      </c>
      <c r="E118" s="12" t="s">
        <v>435</v>
      </c>
      <c r="F118" s="12" t="s">
        <v>436</v>
      </c>
      <c r="G118" s="12" t="s">
        <v>437</v>
      </c>
      <c r="H118" s="12" t="s">
        <v>547</v>
      </c>
      <c r="I118" s="12" t="s">
        <v>670</v>
      </c>
      <c r="J118" s="12" t="s">
        <v>965</v>
      </c>
      <c r="K118" s="12" t="s">
        <v>966</v>
      </c>
      <c r="L118" s="12" t="s">
        <v>967</v>
      </c>
    </row>
    <row r="119" spans="1:12" ht="66">
      <c r="A119" s="43" t="s">
        <v>438</v>
      </c>
      <c r="B119" s="43" t="s">
        <v>408</v>
      </c>
      <c r="C119" s="43" t="s">
        <v>72</v>
      </c>
      <c r="D119" s="43" t="s">
        <v>434</v>
      </c>
      <c r="E119" s="12" t="s">
        <v>435</v>
      </c>
      <c r="F119" s="12" t="s">
        <v>436</v>
      </c>
      <c r="G119" s="12" t="s">
        <v>437</v>
      </c>
      <c r="H119" s="12" t="s">
        <v>548</v>
      </c>
      <c r="I119" s="12" t="s">
        <v>671</v>
      </c>
      <c r="J119" s="12" t="s">
        <v>968</v>
      </c>
      <c r="K119" s="12" t="s">
        <v>969</v>
      </c>
      <c r="L119" s="12" t="s">
        <v>970</v>
      </c>
    </row>
    <row r="120" spans="1:12" ht="52.8">
      <c r="A120" s="43" t="s">
        <v>438</v>
      </c>
      <c r="B120" s="43" t="s">
        <v>408</v>
      </c>
      <c r="C120" s="43" t="s">
        <v>72</v>
      </c>
      <c r="D120" s="43" t="s">
        <v>434</v>
      </c>
      <c r="E120" s="12" t="s">
        <v>435</v>
      </c>
      <c r="F120" s="12" t="s">
        <v>436</v>
      </c>
      <c r="G120" s="12" t="s">
        <v>437</v>
      </c>
      <c r="H120" s="12" t="s">
        <v>549</v>
      </c>
      <c r="I120" s="12" t="s">
        <v>672</v>
      </c>
      <c r="J120" s="12" t="s">
        <v>971</v>
      </c>
      <c r="K120" s="12" t="s">
        <v>972</v>
      </c>
      <c r="L120" s="12" t="s">
        <v>973</v>
      </c>
    </row>
    <row r="121" spans="1:12" ht="118.8">
      <c r="A121" s="43" t="s">
        <v>438</v>
      </c>
      <c r="B121" s="43" t="s">
        <v>408</v>
      </c>
      <c r="C121" s="43" t="s">
        <v>72</v>
      </c>
      <c r="D121" s="43" t="s">
        <v>434</v>
      </c>
      <c r="E121" s="12" t="s">
        <v>435</v>
      </c>
      <c r="F121" s="12" t="s">
        <v>436</v>
      </c>
      <c r="G121" s="12" t="s">
        <v>437</v>
      </c>
      <c r="H121" s="12" t="s">
        <v>550</v>
      </c>
      <c r="I121" s="12" t="s">
        <v>673</v>
      </c>
      <c r="J121" s="12" t="s">
        <v>974</v>
      </c>
      <c r="K121" s="12" t="s">
        <v>975</v>
      </c>
      <c r="L121" s="12" t="s">
        <v>976</v>
      </c>
    </row>
    <row r="122" spans="1:12" ht="52.8">
      <c r="A122" s="43" t="s">
        <v>438</v>
      </c>
      <c r="B122" s="43" t="s">
        <v>408</v>
      </c>
      <c r="C122" s="43" t="s">
        <v>72</v>
      </c>
      <c r="D122" s="43" t="s">
        <v>434</v>
      </c>
      <c r="E122" s="12" t="s">
        <v>435</v>
      </c>
      <c r="F122" s="12" t="s">
        <v>436</v>
      </c>
      <c r="G122" s="12" t="s">
        <v>437</v>
      </c>
      <c r="H122" s="12" t="s">
        <v>551</v>
      </c>
      <c r="I122" s="12" t="s">
        <v>674</v>
      </c>
      <c r="J122" s="12" t="s">
        <v>977</v>
      </c>
      <c r="K122" s="12" t="s">
        <v>978</v>
      </c>
      <c r="L122" s="12" t="s">
        <v>977</v>
      </c>
    </row>
    <row r="123" spans="1:12" ht="52.8">
      <c r="A123" s="43" t="s">
        <v>438</v>
      </c>
      <c r="B123" s="43" t="s">
        <v>408</v>
      </c>
      <c r="C123" s="43" t="s">
        <v>72</v>
      </c>
      <c r="D123" s="43" t="s">
        <v>434</v>
      </c>
      <c r="E123" s="12" t="s">
        <v>435</v>
      </c>
      <c r="F123" s="12" t="s">
        <v>436</v>
      </c>
      <c r="G123" s="12" t="s">
        <v>437</v>
      </c>
      <c r="H123" s="12" t="s">
        <v>552</v>
      </c>
      <c r="I123" s="12" t="s">
        <v>675</v>
      </c>
      <c r="J123" s="12" t="s">
        <v>979</v>
      </c>
      <c r="K123" s="12" t="s">
        <v>980</v>
      </c>
      <c r="L123" s="12" t="s">
        <v>979</v>
      </c>
    </row>
    <row r="124" spans="1:12" ht="52.8">
      <c r="A124" s="43" t="s">
        <v>438</v>
      </c>
      <c r="B124" s="43" t="s">
        <v>408</v>
      </c>
      <c r="C124" s="43" t="s">
        <v>72</v>
      </c>
      <c r="D124" s="43" t="s">
        <v>434</v>
      </c>
      <c r="E124" s="12" t="s">
        <v>435</v>
      </c>
      <c r="F124" s="12" t="s">
        <v>436</v>
      </c>
      <c r="G124" s="12" t="s">
        <v>437</v>
      </c>
      <c r="H124" s="12" t="s">
        <v>553</v>
      </c>
      <c r="I124" s="12" t="s">
        <v>676</v>
      </c>
      <c r="J124" s="12" t="s">
        <v>981</v>
      </c>
      <c r="K124" s="12" t="s">
        <v>982</v>
      </c>
      <c r="L124" s="12" t="s">
        <v>981</v>
      </c>
    </row>
    <row r="125" spans="1:12" ht="52.8">
      <c r="A125" s="43" t="s">
        <v>438</v>
      </c>
      <c r="B125" s="43" t="s">
        <v>408</v>
      </c>
      <c r="C125" s="43" t="s">
        <v>72</v>
      </c>
      <c r="D125" s="43" t="s">
        <v>434</v>
      </c>
      <c r="E125" s="12" t="s">
        <v>435</v>
      </c>
      <c r="F125" s="12" t="s">
        <v>436</v>
      </c>
      <c r="G125" s="12" t="s">
        <v>437</v>
      </c>
      <c r="H125" s="12" t="s">
        <v>554</v>
      </c>
      <c r="I125" s="12" t="s">
        <v>677</v>
      </c>
      <c r="J125" s="12" t="s">
        <v>983</v>
      </c>
      <c r="K125" s="12" t="s">
        <v>984</v>
      </c>
      <c r="L125" s="12" t="s">
        <v>985</v>
      </c>
    </row>
    <row r="126" spans="1:12" ht="52.8">
      <c r="A126" s="43" t="s">
        <v>438</v>
      </c>
      <c r="B126" s="43" t="s">
        <v>408</v>
      </c>
      <c r="C126" s="43" t="s">
        <v>72</v>
      </c>
      <c r="D126" s="43" t="s">
        <v>434</v>
      </c>
      <c r="E126" s="12" t="s">
        <v>435</v>
      </c>
      <c r="F126" s="12" t="s">
        <v>436</v>
      </c>
      <c r="G126" s="12" t="s">
        <v>437</v>
      </c>
      <c r="H126" s="12" t="s">
        <v>555</v>
      </c>
      <c r="I126" s="12" t="s">
        <v>678</v>
      </c>
      <c r="J126" s="12" t="s">
        <v>986</v>
      </c>
      <c r="K126" s="12" t="s">
        <v>987</v>
      </c>
      <c r="L126" s="12" t="s">
        <v>988</v>
      </c>
    </row>
    <row r="127" spans="1:12" ht="118.8">
      <c r="A127" s="43" t="s">
        <v>438</v>
      </c>
      <c r="B127" s="43" t="s">
        <v>408</v>
      </c>
      <c r="C127" s="43" t="s">
        <v>72</v>
      </c>
      <c r="D127" s="43" t="s">
        <v>434</v>
      </c>
      <c r="E127" s="12" t="s">
        <v>435</v>
      </c>
      <c r="F127" s="12" t="s">
        <v>436</v>
      </c>
      <c r="G127" s="12" t="s">
        <v>437</v>
      </c>
      <c r="H127" s="12" t="s">
        <v>556</v>
      </c>
      <c r="I127" s="12" t="s">
        <v>679</v>
      </c>
      <c r="J127" s="12" t="s">
        <v>989</v>
      </c>
      <c r="K127" s="12" t="s">
        <v>990</v>
      </c>
      <c r="L127" s="12" t="s">
        <v>991</v>
      </c>
    </row>
    <row r="128" spans="1:12" ht="52.8">
      <c r="A128" s="43" t="s">
        <v>438</v>
      </c>
      <c r="B128" s="43" t="s">
        <v>408</v>
      </c>
      <c r="C128" s="43" t="s">
        <v>72</v>
      </c>
      <c r="D128" s="43" t="s">
        <v>434</v>
      </c>
      <c r="E128" s="12" t="s">
        <v>435</v>
      </c>
      <c r="F128" s="12" t="s">
        <v>436</v>
      </c>
      <c r="G128" s="12" t="s">
        <v>437</v>
      </c>
      <c r="H128" s="12" t="s">
        <v>557</v>
      </c>
      <c r="I128" s="12" t="s">
        <v>680</v>
      </c>
      <c r="J128" s="12" t="s">
        <v>992</v>
      </c>
      <c r="K128" s="12" t="s">
        <v>993</v>
      </c>
      <c r="L128" s="12" t="s">
        <v>994</v>
      </c>
    </row>
    <row r="129" spans="1:12" ht="52.8">
      <c r="A129" s="43" t="s">
        <v>438</v>
      </c>
      <c r="B129" s="43" t="s">
        <v>408</v>
      </c>
      <c r="C129" s="43" t="s">
        <v>72</v>
      </c>
      <c r="D129" s="43" t="s">
        <v>434</v>
      </c>
      <c r="E129" s="12" t="s">
        <v>435</v>
      </c>
      <c r="F129" s="12" t="s">
        <v>436</v>
      </c>
      <c r="G129" s="12" t="s">
        <v>437</v>
      </c>
      <c r="H129" s="12" t="s">
        <v>558</v>
      </c>
      <c r="I129" s="12" t="s">
        <v>681</v>
      </c>
      <c r="J129" s="12" t="s">
        <v>995</v>
      </c>
      <c r="K129" s="12" t="s">
        <v>996</v>
      </c>
      <c r="L129" s="12" t="s">
        <v>997</v>
      </c>
    </row>
    <row r="130" spans="1:12" ht="52.8">
      <c r="A130" s="43" t="s">
        <v>438</v>
      </c>
      <c r="B130" s="43" t="s">
        <v>408</v>
      </c>
      <c r="C130" s="43" t="s">
        <v>72</v>
      </c>
      <c r="D130" s="43" t="s">
        <v>434</v>
      </c>
      <c r="E130" s="12" t="s">
        <v>435</v>
      </c>
      <c r="F130" s="12" t="s">
        <v>436</v>
      </c>
      <c r="G130" s="12" t="s">
        <v>437</v>
      </c>
      <c r="H130" s="12" t="s">
        <v>559</v>
      </c>
      <c r="I130" s="12" t="s">
        <v>682</v>
      </c>
      <c r="J130" s="12" t="s">
        <v>998</v>
      </c>
      <c r="K130" s="12" t="s">
        <v>999</v>
      </c>
      <c r="L130" s="12" t="s">
        <v>1000</v>
      </c>
    </row>
    <row r="131" spans="1:12" ht="52.8">
      <c r="A131" s="43" t="s">
        <v>438</v>
      </c>
      <c r="B131" s="43" t="s">
        <v>408</v>
      </c>
      <c r="C131" s="43" t="s">
        <v>72</v>
      </c>
      <c r="D131" s="43" t="s">
        <v>434</v>
      </c>
      <c r="E131" s="12" t="s">
        <v>435</v>
      </c>
      <c r="F131" s="12" t="s">
        <v>436</v>
      </c>
      <c r="G131" s="12" t="s">
        <v>437</v>
      </c>
      <c r="H131" s="12" t="s">
        <v>560</v>
      </c>
      <c r="I131" s="12" t="s">
        <v>683</v>
      </c>
      <c r="J131" s="12" t="s">
        <v>1001</v>
      </c>
      <c r="K131" s="12" t="s">
        <v>1002</v>
      </c>
      <c r="L131" s="12" t="s">
        <v>1003</v>
      </c>
    </row>
    <row r="132" spans="1:12" ht="52.8">
      <c r="A132" s="43" t="s">
        <v>438</v>
      </c>
      <c r="B132" s="43" t="s">
        <v>408</v>
      </c>
      <c r="C132" s="43" t="s">
        <v>72</v>
      </c>
      <c r="D132" s="43" t="s">
        <v>434</v>
      </c>
      <c r="E132" s="12" t="s">
        <v>435</v>
      </c>
      <c r="F132" s="12" t="s">
        <v>436</v>
      </c>
      <c r="G132" s="12" t="s">
        <v>437</v>
      </c>
      <c r="H132" s="12" t="s">
        <v>561</v>
      </c>
      <c r="I132" s="12" t="s">
        <v>684</v>
      </c>
      <c r="J132" s="12" t="s">
        <v>1004</v>
      </c>
      <c r="K132" s="12" t="s">
        <v>1005</v>
      </c>
      <c r="L132" s="12" t="s">
        <v>1006</v>
      </c>
    </row>
    <row r="133" spans="1:12" ht="66">
      <c r="A133" s="43" t="s">
        <v>331</v>
      </c>
      <c r="B133" s="43" t="s">
        <v>353</v>
      </c>
      <c r="C133" s="43" t="s">
        <v>332</v>
      </c>
      <c r="D133" s="43" t="s">
        <v>333</v>
      </c>
      <c r="E133" s="43" t="s">
        <v>334</v>
      </c>
      <c r="F133" s="43" t="s">
        <v>335</v>
      </c>
      <c r="G133" s="43" t="s">
        <v>336</v>
      </c>
      <c r="H133" s="12" t="s">
        <v>345</v>
      </c>
      <c r="I133" s="12" t="s">
        <v>349</v>
      </c>
      <c r="J133" s="12" t="s">
        <v>332</v>
      </c>
      <c r="K133" s="12" t="s">
        <v>337</v>
      </c>
      <c r="L133" s="12" t="s">
        <v>332</v>
      </c>
    </row>
    <row r="134" spans="1:12" ht="66">
      <c r="A134" s="43" t="s">
        <v>331</v>
      </c>
      <c r="B134" s="43" t="s">
        <v>353</v>
      </c>
      <c r="C134" s="43" t="s">
        <v>332</v>
      </c>
      <c r="D134" s="43" t="s">
        <v>333</v>
      </c>
      <c r="E134" s="43" t="s">
        <v>334</v>
      </c>
      <c r="F134" s="43" t="s">
        <v>335</v>
      </c>
      <c r="G134" s="43" t="s">
        <v>336</v>
      </c>
      <c r="H134" s="12" t="s">
        <v>346</v>
      </c>
      <c r="I134" s="12" t="s">
        <v>350</v>
      </c>
      <c r="J134" s="12" t="s">
        <v>338</v>
      </c>
      <c r="K134" s="12" t="s">
        <v>339</v>
      </c>
      <c r="L134" s="12" t="s">
        <v>340</v>
      </c>
    </row>
    <row r="135" spans="1:12" ht="66">
      <c r="A135" s="43" t="s">
        <v>331</v>
      </c>
      <c r="B135" s="43" t="s">
        <v>353</v>
      </c>
      <c r="C135" s="43" t="s">
        <v>332</v>
      </c>
      <c r="D135" s="43" t="s">
        <v>333</v>
      </c>
      <c r="E135" s="43" t="s">
        <v>334</v>
      </c>
      <c r="F135" s="43" t="s">
        <v>335</v>
      </c>
      <c r="G135" s="43" t="s">
        <v>336</v>
      </c>
      <c r="H135" s="12" t="s">
        <v>347</v>
      </c>
      <c r="I135" s="12" t="s">
        <v>351</v>
      </c>
      <c r="J135" s="12" t="s">
        <v>341</v>
      </c>
      <c r="K135" s="12" t="s">
        <v>342</v>
      </c>
      <c r="L135" s="12" t="s">
        <v>343</v>
      </c>
    </row>
    <row r="136" spans="1:12" ht="66">
      <c r="A136" s="43" t="s">
        <v>331</v>
      </c>
      <c r="B136" s="43" t="s">
        <v>353</v>
      </c>
      <c r="C136" s="43" t="s">
        <v>332</v>
      </c>
      <c r="D136" s="43" t="s">
        <v>333</v>
      </c>
      <c r="E136" s="43" t="s">
        <v>334</v>
      </c>
      <c r="F136" s="43" t="s">
        <v>335</v>
      </c>
      <c r="G136" s="43" t="s">
        <v>336</v>
      </c>
      <c r="H136" s="12" t="s">
        <v>348</v>
      </c>
      <c r="I136" s="12" t="s">
        <v>352</v>
      </c>
      <c r="J136" s="12" t="s">
        <v>72</v>
      </c>
      <c r="K136" s="12" t="s">
        <v>344</v>
      </c>
      <c r="L136" s="12" t="s">
        <v>72</v>
      </c>
    </row>
    <row r="137" spans="1:12" ht="105.6">
      <c r="A137" s="43" t="s">
        <v>1025</v>
      </c>
      <c r="B137" s="43" t="s">
        <v>1021</v>
      </c>
      <c r="C137" s="43" t="s">
        <v>72</v>
      </c>
      <c r="D137" s="43" t="s">
        <v>1089</v>
      </c>
      <c r="E137" s="43" t="s">
        <v>1022</v>
      </c>
      <c r="F137" s="43" t="s">
        <v>1023</v>
      </c>
      <c r="G137" s="43" t="s">
        <v>1024</v>
      </c>
      <c r="H137" s="12" t="s">
        <v>1026</v>
      </c>
      <c r="I137" s="12" t="s">
        <v>1040</v>
      </c>
      <c r="J137" s="12" t="s">
        <v>1054</v>
      </c>
      <c r="K137" s="12" t="s">
        <v>1055</v>
      </c>
      <c r="L137" s="12" t="s">
        <v>1056</v>
      </c>
    </row>
    <row r="138" spans="1:12" ht="52.8">
      <c r="A138" s="43" t="s">
        <v>1025</v>
      </c>
      <c r="B138" s="43" t="s">
        <v>1021</v>
      </c>
      <c r="C138" s="43" t="s">
        <v>72</v>
      </c>
      <c r="D138" s="43" t="s">
        <v>1089</v>
      </c>
      <c r="E138" s="43" t="s">
        <v>1022</v>
      </c>
      <c r="F138" s="43" t="s">
        <v>1023</v>
      </c>
      <c r="G138" s="43" t="s">
        <v>1024</v>
      </c>
      <c r="H138" s="12" t="s">
        <v>1027</v>
      </c>
      <c r="I138" s="12" t="s">
        <v>1041</v>
      </c>
      <c r="J138" s="12" t="s">
        <v>1057</v>
      </c>
      <c r="K138" s="12" t="s">
        <v>1058</v>
      </c>
      <c r="L138" s="12" t="s">
        <v>1059</v>
      </c>
    </row>
    <row r="139" spans="1:12" ht="66">
      <c r="A139" s="43" t="s">
        <v>1025</v>
      </c>
      <c r="B139" s="43" t="s">
        <v>1021</v>
      </c>
      <c r="C139" s="43" t="s">
        <v>72</v>
      </c>
      <c r="D139" s="43" t="s">
        <v>1089</v>
      </c>
      <c r="E139" s="43" t="s">
        <v>1022</v>
      </c>
      <c r="F139" s="43" t="s">
        <v>1023</v>
      </c>
      <c r="G139" s="43" t="s">
        <v>1024</v>
      </c>
      <c r="H139" s="12" t="s">
        <v>1028</v>
      </c>
      <c r="I139" s="12" t="s">
        <v>1042</v>
      </c>
      <c r="J139" s="12" t="s">
        <v>1060</v>
      </c>
      <c r="K139" s="12" t="s">
        <v>1061</v>
      </c>
      <c r="L139" s="12" t="s">
        <v>1060</v>
      </c>
    </row>
    <row r="140" spans="1:12" ht="39.6">
      <c r="A140" s="43" t="s">
        <v>1025</v>
      </c>
      <c r="B140" s="43" t="s">
        <v>1021</v>
      </c>
      <c r="C140" s="43" t="s">
        <v>72</v>
      </c>
      <c r="D140" s="43" t="s">
        <v>1089</v>
      </c>
      <c r="E140" s="43" t="s">
        <v>1022</v>
      </c>
      <c r="F140" s="43" t="s">
        <v>1023</v>
      </c>
      <c r="G140" s="43" t="s">
        <v>1024</v>
      </c>
      <c r="H140" s="12" t="s">
        <v>1029</v>
      </c>
      <c r="I140" s="12" t="s">
        <v>1043</v>
      </c>
      <c r="J140" s="12" t="s">
        <v>1062</v>
      </c>
      <c r="K140" s="12" t="s">
        <v>1063</v>
      </c>
      <c r="L140" s="12" t="s">
        <v>1064</v>
      </c>
    </row>
    <row r="141" spans="1:12" ht="118.8">
      <c r="A141" s="43" t="s">
        <v>1025</v>
      </c>
      <c r="B141" s="43" t="s">
        <v>1021</v>
      </c>
      <c r="C141" s="43" t="s">
        <v>72</v>
      </c>
      <c r="D141" s="43" t="s">
        <v>1089</v>
      </c>
      <c r="E141" s="43" t="s">
        <v>1022</v>
      </c>
      <c r="F141" s="43" t="s">
        <v>1023</v>
      </c>
      <c r="G141" s="43" t="s">
        <v>1024</v>
      </c>
      <c r="H141" s="12" t="s">
        <v>1030</v>
      </c>
      <c r="I141" s="12" t="s">
        <v>1044</v>
      </c>
      <c r="J141" s="12" t="s">
        <v>1065</v>
      </c>
      <c r="K141" s="12" t="s">
        <v>1066</v>
      </c>
      <c r="L141" s="12" t="s">
        <v>1065</v>
      </c>
    </row>
    <row r="142" spans="1:12" ht="52.8">
      <c r="A142" s="43" t="s">
        <v>1025</v>
      </c>
      <c r="B142" s="43" t="s">
        <v>1021</v>
      </c>
      <c r="C142" s="43" t="s">
        <v>72</v>
      </c>
      <c r="D142" s="43" t="s">
        <v>1089</v>
      </c>
      <c r="E142" s="43" t="s">
        <v>1022</v>
      </c>
      <c r="F142" s="43" t="s">
        <v>1023</v>
      </c>
      <c r="G142" s="43" t="s">
        <v>1024</v>
      </c>
      <c r="H142" s="12" t="s">
        <v>1031</v>
      </c>
      <c r="I142" s="12" t="s">
        <v>1045</v>
      </c>
      <c r="J142" s="12" t="s">
        <v>1067</v>
      </c>
      <c r="K142" s="12" t="s">
        <v>1068</v>
      </c>
      <c r="L142" s="12" t="s">
        <v>1067</v>
      </c>
    </row>
    <row r="143" spans="1:12" ht="52.8">
      <c r="A143" s="43" t="s">
        <v>1025</v>
      </c>
      <c r="B143" s="43" t="s">
        <v>1021</v>
      </c>
      <c r="C143" s="43" t="s">
        <v>72</v>
      </c>
      <c r="D143" s="43" t="s">
        <v>1089</v>
      </c>
      <c r="E143" s="43" t="s">
        <v>1022</v>
      </c>
      <c r="F143" s="43" t="s">
        <v>1023</v>
      </c>
      <c r="G143" s="43" t="s">
        <v>1024</v>
      </c>
      <c r="H143" s="12" t="s">
        <v>1032</v>
      </c>
      <c r="I143" s="12" t="s">
        <v>1046</v>
      </c>
      <c r="J143" s="12" t="s">
        <v>1069</v>
      </c>
      <c r="K143" s="12" t="s">
        <v>1070</v>
      </c>
      <c r="L143" s="12" t="s">
        <v>1069</v>
      </c>
    </row>
    <row r="144" spans="1:12" ht="92.4">
      <c r="A144" s="43" t="s">
        <v>1025</v>
      </c>
      <c r="B144" s="43" t="s">
        <v>1021</v>
      </c>
      <c r="C144" s="43" t="s">
        <v>72</v>
      </c>
      <c r="D144" s="43" t="s">
        <v>1089</v>
      </c>
      <c r="E144" s="43" t="s">
        <v>1022</v>
      </c>
      <c r="F144" s="43" t="s">
        <v>1023</v>
      </c>
      <c r="G144" s="43" t="s">
        <v>1024</v>
      </c>
      <c r="H144" s="12" t="s">
        <v>1033</v>
      </c>
      <c r="I144" s="12" t="s">
        <v>1047</v>
      </c>
      <c r="J144" s="12" t="s">
        <v>1071</v>
      </c>
      <c r="K144" s="12" t="s">
        <v>1072</v>
      </c>
      <c r="L144" s="12" t="s">
        <v>1073</v>
      </c>
    </row>
    <row r="145" spans="1:12" ht="158.4">
      <c r="A145" s="43" t="s">
        <v>1025</v>
      </c>
      <c r="B145" s="43" t="s">
        <v>1021</v>
      </c>
      <c r="C145" s="43" t="s">
        <v>72</v>
      </c>
      <c r="D145" s="43" t="s">
        <v>1089</v>
      </c>
      <c r="E145" s="43" t="s">
        <v>1022</v>
      </c>
      <c r="F145" s="43" t="s">
        <v>1023</v>
      </c>
      <c r="G145" s="43" t="s">
        <v>1024</v>
      </c>
      <c r="H145" s="12" t="s">
        <v>1034</v>
      </c>
      <c r="I145" s="12" t="s">
        <v>1048</v>
      </c>
      <c r="J145" s="12" t="s">
        <v>1074</v>
      </c>
      <c r="K145" s="12" t="s">
        <v>1075</v>
      </c>
      <c r="L145" s="12" t="s">
        <v>1034</v>
      </c>
    </row>
    <row r="146" spans="1:12" ht="39.6">
      <c r="A146" s="43" t="s">
        <v>1025</v>
      </c>
      <c r="B146" s="43" t="s">
        <v>1021</v>
      </c>
      <c r="C146" s="43" t="s">
        <v>72</v>
      </c>
      <c r="D146" s="43" t="s">
        <v>1089</v>
      </c>
      <c r="E146" s="43" t="s">
        <v>1022</v>
      </c>
      <c r="F146" s="43" t="s">
        <v>1023</v>
      </c>
      <c r="G146" s="43" t="s">
        <v>1024</v>
      </c>
      <c r="H146" s="12" t="s">
        <v>1035</v>
      </c>
      <c r="I146" s="12" t="s">
        <v>1049</v>
      </c>
      <c r="J146" s="12" t="s">
        <v>1076</v>
      </c>
      <c r="K146" s="12" t="s">
        <v>1077</v>
      </c>
      <c r="L146" s="12" t="s">
        <v>1076</v>
      </c>
    </row>
    <row r="147" spans="1:12" ht="105.6">
      <c r="A147" s="43" t="s">
        <v>1025</v>
      </c>
      <c r="B147" s="43" t="s">
        <v>1021</v>
      </c>
      <c r="C147" s="43" t="s">
        <v>72</v>
      </c>
      <c r="D147" s="43" t="s">
        <v>1089</v>
      </c>
      <c r="E147" s="43" t="s">
        <v>1022</v>
      </c>
      <c r="F147" s="43" t="s">
        <v>1023</v>
      </c>
      <c r="G147" s="43" t="s">
        <v>1024</v>
      </c>
      <c r="H147" s="12" t="s">
        <v>1036</v>
      </c>
      <c r="I147" s="12" t="s">
        <v>1050</v>
      </c>
      <c r="J147" s="12" t="s">
        <v>1078</v>
      </c>
      <c r="K147" s="12" t="s">
        <v>1079</v>
      </c>
      <c r="L147" s="12" t="s">
        <v>1080</v>
      </c>
    </row>
    <row r="148" spans="1:12" ht="92.4">
      <c r="A148" s="43" t="s">
        <v>1025</v>
      </c>
      <c r="B148" s="43" t="s">
        <v>1021</v>
      </c>
      <c r="C148" s="43" t="s">
        <v>72</v>
      </c>
      <c r="D148" s="43" t="s">
        <v>1089</v>
      </c>
      <c r="E148" s="43" t="s">
        <v>1022</v>
      </c>
      <c r="F148" s="43" t="s">
        <v>1023</v>
      </c>
      <c r="G148" s="43" t="s">
        <v>1024</v>
      </c>
      <c r="H148" s="12" t="s">
        <v>1037</v>
      </c>
      <c r="I148" s="12" t="s">
        <v>1051</v>
      </c>
      <c r="J148" s="12" t="s">
        <v>1081</v>
      </c>
      <c r="K148" s="12" t="s">
        <v>1082</v>
      </c>
      <c r="L148" s="12" t="s">
        <v>1081</v>
      </c>
    </row>
    <row r="149" spans="1:12" ht="52.8">
      <c r="A149" s="43" t="s">
        <v>1025</v>
      </c>
      <c r="B149" s="43" t="s">
        <v>1021</v>
      </c>
      <c r="C149" s="43" t="s">
        <v>72</v>
      </c>
      <c r="D149" s="43" t="s">
        <v>1089</v>
      </c>
      <c r="E149" s="43" t="s">
        <v>1022</v>
      </c>
      <c r="F149" s="43" t="s">
        <v>1023</v>
      </c>
      <c r="G149" s="43" t="s">
        <v>1024</v>
      </c>
      <c r="H149" s="12" t="s">
        <v>1038</v>
      </c>
      <c r="I149" s="12" t="s">
        <v>1052</v>
      </c>
      <c r="J149" s="12" t="s">
        <v>1083</v>
      </c>
      <c r="K149" s="12" t="s">
        <v>1084</v>
      </c>
      <c r="L149" s="12" t="s">
        <v>1085</v>
      </c>
    </row>
    <row r="150" spans="1:12" ht="52.8">
      <c r="A150" s="43" t="s">
        <v>1025</v>
      </c>
      <c r="B150" s="43" t="s">
        <v>1021</v>
      </c>
      <c r="C150" s="43" t="s">
        <v>72</v>
      </c>
      <c r="D150" s="43" t="s">
        <v>1089</v>
      </c>
      <c r="E150" s="43" t="s">
        <v>1022</v>
      </c>
      <c r="F150" s="43" t="s">
        <v>1023</v>
      </c>
      <c r="G150" s="43" t="s">
        <v>1024</v>
      </c>
      <c r="H150" s="12" t="s">
        <v>1039</v>
      </c>
      <c r="I150" s="12" t="s">
        <v>1053</v>
      </c>
      <c r="J150" s="12" t="s">
        <v>1086</v>
      </c>
      <c r="K150" s="12" t="s">
        <v>1087</v>
      </c>
      <c r="L150" s="12" t="s">
        <v>1088</v>
      </c>
    </row>
    <row r="151" spans="1:12" ht="66">
      <c r="A151" s="43" t="s">
        <v>404</v>
      </c>
      <c r="B151" s="43" t="s">
        <v>374</v>
      </c>
      <c r="C151" s="43" t="s">
        <v>332</v>
      </c>
      <c r="D151" s="44" t="s">
        <v>392</v>
      </c>
      <c r="E151" s="44" t="s">
        <v>393</v>
      </c>
      <c r="F151" s="43" t="s">
        <v>394</v>
      </c>
      <c r="G151" s="43" t="s">
        <v>395</v>
      </c>
      <c r="H151" s="12" t="s">
        <v>396</v>
      </c>
      <c r="I151" s="12" t="s">
        <v>398</v>
      </c>
      <c r="J151" s="12"/>
      <c r="K151" s="12" t="s">
        <v>400</v>
      </c>
      <c r="L151" s="12" t="s">
        <v>401</v>
      </c>
    </row>
    <row r="152" spans="1:12" ht="66">
      <c r="A152" s="43" t="s">
        <v>404</v>
      </c>
      <c r="B152" s="43" t="s">
        <v>374</v>
      </c>
      <c r="C152" s="43" t="s">
        <v>332</v>
      </c>
      <c r="D152" s="44" t="s">
        <v>392</v>
      </c>
      <c r="E152" s="44" t="s">
        <v>393</v>
      </c>
      <c r="F152" s="43" t="s">
        <v>394</v>
      </c>
      <c r="G152" s="43" t="s">
        <v>395</v>
      </c>
      <c r="H152" s="12" t="s">
        <v>397</v>
      </c>
      <c r="I152" s="12" t="s">
        <v>399</v>
      </c>
      <c r="J152" s="12"/>
      <c r="K152" s="12" t="s">
        <v>402</v>
      </c>
      <c r="L152" s="12" t="s">
        <v>403</v>
      </c>
    </row>
    <row r="153" spans="1:12" ht="52.8">
      <c r="A153" s="43" t="s">
        <v>1008</v>
      </c>
      <c r="B153" s="43" t="s">
        <v>409</v>
      </c>
      <c r="C153" s="43" t="s">
        <v>72</v>
      </c>
      <c r="D153" s="44" t="s">
        <v>1007</v>
      </c>
      <c r="E153" s="44" t="s">
        <v>1009</v>
      </c>
      <c r="F153" s="43" t="s">
        <v>1010</v>
      </c>
      <c r="G153" s="43" t="s">
        <v>1011</v>
      </c>
      <c r="H153" s="12" t="s">
        <v>685</v>
      </c>
      <c r="I153" s="12" t="s">
        <v>562</v>
      </c>
      <c r="J153" s="12" t="s">
        <v>685</v>
      </c>
      <c r="K153" s="12" t="s">
        <v>686</v>
      </c>
      <c r="L153" s="12" t="s">
        <v>687</v>
      </c>
    </row>
    <row r="154" spans="1:12" ht="66">
      <c r="A154" s="43" t="s">
        <v>1008</v>
      </c>
      <c r="B154" s="43" t="s">
        <v>409</v>
      </c>
      <c r="C154" s="43" t="s">
        <v>72</v>
      </c>
      <c r="D154" s="44" t="s">
        <v>1007</v>
      </c>
      <c r="E154" s="44" t="s">
        <v>1009</v>
      </c>
      <c r="F154" s="43" t="s">
        <v>1010</v>
      </c>
      <c r="G154" s="43" t="s">
        <v>1011</v>
      </c>
      <c r="H154" s="12" t="s">
        <v>688</v>
      </c>
      <c r="I154" s="12" t="s">
        <v>563</v>
      </c>
      <c r="J154" s="12" t="s">
        <v>688</v>
      </c>
      <c r="K154" s="12" t="s">
        <v>689</v>
      </c>
      <c r="L154" s="12" t="s">
        <v>690</v>
      </c>
    </row>
    <row r="155" spans="1:12" ht="52.8">
      <c r="A155" s="43" t="s">
        <v>1008</v>
      </c>
      <c r="B155" s="43" t="s">
        <v>409</v>
      </c>
      <c r="C155" s="43" t="s">
        <v>72</v>
      </c>
      <c r="D155" s="44" t="s">
        <v>1007</v>
      </c>
      <c r="E155" s="44" t="s">
        <v>1009</v>
      </c>
      <c r="F155" s="43" t="s">
        <v>1010</v>
      </c>
      <c r="G155" s="43" t="s">
        <v>1011</v>
      </c>
      <c r="H155" s="12" t="s">
        <v>691</v>
      </c>
      <c r="I155" s="12" t="s">
        <v>564</v>
      </c>
      <c r="J155" s="12" t="s">
        <v>691</v>
      </c>
      <c r="K155" s="12" t="s">
        <v>692</v>
      </c>
      <c r="L155" s="12" t="s">
        <v>693</v>
      </c>
    </row>
    <row r="156" spans="1:12" ht="52.8">
      <c r="A156" s="43" t="s">
        <v>1008</v>
      </c>
      <c r="B156" s="43" t="s">
        <v>409</v>
      </c>
      <c r="C156" s="43" t="s">
        <v>72</v>
      </c>
      <c r="D156" s="44" t="s">
        <v>1007</v>
      </c>
      <c r="E156" s="44" t="s">
        <v>1009</v>
      </c>
      <c r="F156" s="43" t="s">
        <v>1010</v>
      </c>
      <c r="G156" s="43" t="s">
        <v>1011</v>
      </c>
      <c r="H156" s="12" t="s">
        <v>869</v>
      </c>
      <c r="I156" s="12" t="s">
        <v>631</v>
      </c>
      <c r="J156" s="12" t="s">
        <v>869</v>
      </c>
      <c r="K156" s="12" t="s">
        <v>870</v>
      </c>
      <c r="L156" s="12" t="s">
        <v>869</v>
      </c>
    </row>
    <row r="157" spans="1:12" ht="52.8">
      <c r="A157" s="43" t="s">
        <v>1008</v>
      </c>
      <c r="B157" s="43" t="s">
        <v>409</v>
      </c>
      <c r="C157" s="43" t="s">
        <v>72</v>
      </c>
      <c r="D157" s="44" t="s">
        <v>1007</v>
      </c>
      <c r="E157" s="44" t="s">
        <v>1009</v>
      </c>
      <c r="F157" s="43" t="s">
        <v>1010</v>
      </c>
      <c r="G157" s="43" t="s">
        <v>1011</v>
      </c>
      <c r="H157" s="12" t="s">
        <v>698</v>
      </c>
      <c r="I157" s="12" t="s">
        <v>567</v>
      </c>
      <c r="J157" s="12" t="s">
        <v>698</v>
      </c>
      <c r="K157" s="12" t="s">
        <v>699</v>
      </c>
      <c r="L157" s="12" t="s">
        <v>700</v>
      </c>
    </row>
    <row r="158" spans="1:12" ht="52.8">
      <c r="A158" s="43" t="s">
        <v>1008</v>
      </c>
      <c r="B158" s="43" t="s">
        <v>409</v>
      </c>
      <c r="C158" s="43" t="s">
        <v>72</v>
      </c>
      <c r="D158" s="44" t="s">
        <v>1007</v>
      </c>
      <c r="E158" s="44" t="s">
        <v>1009</v>
      </c>
      <c r="F158" s="43" t="s">
        <v>1010</v>
      </c>
      <c r="G158" s="43" t="s">
        <v>1011</v>
      </c>
      <c r="H158" s="12" t="s">
        <v>729</v>
      </c>
      <c r="I158" s="12" t="s">
        <v>578</v>
      </c>
      <c r="J158" s="12" t="s">
        <v>729</v>
      </c>
      <c r="K158" s="12" t="s">
        <v>730</v>
      </c>
      <c r="L158" s="12" t="s">
        <v>731</v>
      </c>
    </row>
    <row r="159" spans="1:12" ht="52.8">
      <c r="A159" s="43" t="s">
        <v>1008</v>
      </c>
      <c r="B159" s="43" t="s">
        <v>409</v>
      </c>
      <c r="C159" s="43" t="s">
        <v>72</v>
      </c>
      <c r="D159" s="44" t="s">
        <v>1007</v>
      </c>
      <c r="E159" s="44" t="s">
        <v>1009</v>
      </c>
      <c r="F159" s="43" t="s">
        <v>1010</v>
      </c>
      <c r="G159" s="43" t="s">
        <v>1011</v>
      </c>
      <c r="H159" s="12" t="s">
        <v>701</v>
      </c>
      <c r="I159" s="12" t="s">
        <v>568</v>
      </c>
      <c r="J159" s="12" t="s">
        <v>701</v>
      </c>
      <c r="K159" s="12" t="s">
        <v>702</v>
      </c>
      <c r="L159" s="12" t="s">
        <v>703</v>
      </c>
    </row>
    <row r="160" spans="1:12" ht="52.8">
      <c r="A160" s="43" t="s">
        <v>1008</v>
      </c>
      <c r="B160" s="43" t="s">
        <v>409</v>
      </c>
      <c r="C160" s="43" t="s">
        <v>72</v>
      </c>
      <c r="D160" s="44" t="s">
        <v>1007</v>
      </c>
      <c r="E160" s="44" t="s">
        <v>1009</v>
      </c>
      <c r="F160" s="43" t="s">
        <v>1010</v>
      </c>
      <c r="G160" s="43" t="s">
        <v>1011</v>
      </c>
      <c r="H160" s="12" t="s">
        <v>727</v>
      </c>
      <c r="I160" s="12" t="s">
        <v>577</v>
      </c>
      <c r="J160" s="12" t="s">
        <v>727</v>
      </c>
      <c r="K160" s="12" t="s">
        <v>728</v>
      </c>
      <c r="L160" s="12" t="s">
        <v>727</v>
      </c>
    </row>
    <row r="161" spans="1:12" ht="52.8">
      <c r="A161" s="43" t="s">
        <v>1008</v>
      </c>
      <c r="B161" s="43" t="s">
        <v>409</v>
      </c>
      <c r="C161" s="43" t="s">
        <v>72</v>
      </c>
      <c r="D161" s="44" t="s">
        <v>1007</v>
      </c>
      <c r="E161" s="44" t="s">
        <v>1009</v>
      </c>
      <c r="F161" s="43" t="s">
        <v>1010</v>
      </c>
      <c r="G161" s="43" t="s">
        <v>1011</v>
      </c>
      <c r="H161" s="12" t="s">
        <v>946</v>
      </c>
      <c r="I161" s="12" t="s">
        <v>662</v>
      </c>
      <c r="J161" s="12" t="s">
        <v>944</v>
      </c>
      <c r="K161" s="12" t="s">
        <v>945</v>
      </c>
      <c r="L161" s="12" t="s">
        <v>946</v>
      </c>
    </row>
    <row r="162" spans="1:12" ht="52.8">
      <c r="A162" s="43" t="s">
        <v>1008</v>
      </c>
      <c r="B162" s="43" t="s">
        <v>409</v>
      </c>
      <c r="C162" s="43" t="s">
        <v>72</v>
      </c>
      <c r="D162" s="44" t="s">
        <v>1007</v>
      </c>
      <c r="E162" s="44" t="s">
        <v>1009</v>
      </c>
      <c r="F162" s="43" t="s">
        <v>1010</v>
      </c>
      <c r="G162" s="43" t="s">
        <v>1011</v>
      </c>
      <c r="H162" s="12" t="s">
        <v>704</v>
      </c>
      <c r="I162" s="12" t="s">
        <v>569</v>
      </c>
      <c r="J162" s="12" t="s">
        <v>704</v>
      </c>
      <c r="K162" s="12" t="s">
        <v>705</v>
      </c>
      <c r="L162" s="12" t="s">
        <v>706</v>
      </c>
    </row>
    <row r="163" spans="1:12" ht="52.8">
      <c r="A163" s="43" t="s">
        <v>1008</v>
      </c>
      <c r="B163" s="43" t="s">
        <v>409</v>
      </c>
      <c r="C163" s="43" t="s">
        <v>72</v>
      </c>
      <c r="D163" s="44" t="s">
        <v>1007</v>
      </c>
      <c r="E163" s="44" t="s">
        <v>1009</v>
      </c>
      <c r="F163" s="43" t="s">
        <v>1010</v>
      </c>
      <c r="G163" s="43" t="s">
        <v>1011</v>
      </c>
      <c r="H163" s="12" t="s">
        <v>707</v>
      </c>
      <c r="I163" s="12" t="s">
        <v>570</v>
      </c>
      <c r="J163" s="12" t="s">
        <v>707</v>
      </c>
      <c r="K163" s="12" t="s">
        <v>708</v>
      </c>
      <c r="L163" s="12" t="s">
        <v>709</v>
      </c>
    </row>
    <row r="164" spans="1:12" ht="52.8">
      <c r="A164" s="43" t="s">
        <v>1008</v>
      </c>
      <c r="B164" s="43" t="s">
        <v>409</v>
      </c>
      <c r="C164" s="43" t="s">
        <v>72</v>
      </c>
      <c r="D164" s="44" t="s">
        <v>1007</v>
      </c>
      <c r="E164" s="44" t="s">
        <v>1009</v>
      </c>
      <c r="F164" s="43" t="s">
        <v>1010</v>
      </c>
      <c r="G164" s="43" t="s">
        <v>1011</v>
      </c>
      <c r="H164" s="12" t="s">
        <v>725</v>
      </c>
      <c r="I164" s="12" t="s">
        <v>576</v>
      </c>
      <c r="J164" s="12" t="s">
        <v>725</v>
      </c>
      <c r="K164" s="12" t="s">
        <v>726</v>
      </c>
      <c r="L164" s="12" t="s">
        <v>725</v>
      </c>
    </row>
    <row r="165" spans="1:12" ht="52.8">
      <c r="A165" s="43" t="s">
        <v>1008</v>
      </c>
      <c r="B165" s="43" t="s">
        <v>409</v>
      </c>
      <c r="C165" s="43" t="s">
        <v>72</v>
      </c>
      <c r="D165" s="44" t="s">
        <v>1007</v>
      </c>
      <c r="E165" s="44" t="s">
        <v>1009</v>
      </c>
      <c r="F165" s="43" t="s">
        <v>1010</v>
      </c>
      <c r="G165" s="43" t="s">
        <v>1011</v>
      </c>
      <c r="H165" s="12" t="s">
        <v>710</v>
      </c>
      <c r="I165" s="12" t="s">
        <v>571</v>
      </c>
      <c r="J165" s="12" t="s">
        <v>710</v>
      </c>
      <c r="K165" s="12" t="s">
        <v>711</v>
      </c>
      <c r="L165" s="12" t="s">
        <v>712</v>
      </c>
    </row>
    <row r="166" spans="1:12" ht="52.8">
      <c r="A166" s="43" t="s">
        <v>1008</v>
      </c>
      <c r="B166" s="43" t="s">
        <v>409</v>
      </c>
      <c r="C166" s="43" t="s">
        <v>72</v>
      </c>
      <c r="D166" s="44" t="s">
        <v>1007</v>
      </c>
      <c r="E166" s="44" t="s">
        <v>1009</v>
      </c>
      <c r="F166" s="43" t="s">
        <v>1010</v>
      </c>
      <c r="G166" s="43" t="s">
        <v>1011</v>
      </c>
      <c r="H166" s="12" t="s">
        <v>713</v>
      </c>
      <c r="I166" s="12" t="s">
        <v>572</v>
      </c>
      <c r="J166" s="12" t="s">
        <v>713</v>
      </c>
      <c r="K166" s="12" t="s">
        <v>714</v>
      </c>
      <c r="L166" s="12" t="s">
        <v>715</v>
      </c>
    </row>
    <row r="167" spans="1:12" ht="52.8">
      <c r="A167" s="43" t="s">
        <v>1008</v>
      </c>
      <c r="B167" s="43" t="s">
        <v>409</v>
      </c>
      <c r="C167" s="43" t="s">
        <v>72</v>
      </c>
      <c r="D167" s="44" t="s">
        <v>1007</v>
      </c>
      <c r="E167" s="44" t="s">
        <v>1009</v>
      </c>
      <c r="F167" s="43" t="s">
        <v>1010</v>
      </c>
      <c r="G167" s="43" t="s">
        <v>1011</v>
      </c>
      <c r="H167" s="12" t="s">
        <v>716</v>
      </c>
      <c r="I167" s="12" t="s">
        <v>573</v>
      </c>
      <c r="J167" s="12" t="s">
        <v>716</v>
      </c>
      <c r="K167" s="12" t="s">
        <v>717</v>
      </c>
      <c r="L167" s="12" t="s">
        <v>718</v>
      </c>
    </row>
    <row r="168" spans="1:12" ht="52.8">
      <c r="A168" s="43" t="s">
        <v>1008</v>
      </c>
      <c r="B168" s="43" t="s">
        <v>409</v>
      </c>
      <c r="C168" s="43" t="s">
        <v>72</v>
      </c>
      <c r="D168" s="44" t="s">
        <v>1007</v>
      </c>
      <c r="E168" s="44" t="s">
        <v>1009</v>
      </c>
      <c r="F168" s="43" t="s">
        <v>1010</v>
      </c>
      <c r="G168" s="43" t="s">
        <v>1011</v>
      </c>
      <c r="H168" s="12" t="s">
        <v>719</v>
      </c>
      <c r="I168" s="12" t="s">
        <v>574</v>
      </c>
      <c r="J168" s="12" t="s">
        <v>719</v>
      </c>
      <c r="K168" s="12" t="s">
        <v>720</v>
      </c>
      <c r="L168" s="12" t="s">
        <v>721</v>
      </c>
    </row>
    <row r="169" spans="1:12" ht="52.8">
      <c r="A169" s="43" t="s">
        <v>1008</v>
      </c>
      <c r="B169" s="43" t="s">
        <v>409</v>
      </c>
      <c r="C169" s="43" t="s">
        <v>72</v>
      </c>
      <c r="D169" s="44" t="s">
        <v>1007</v>
      </c>
      <c r="E169" s="44" t="s">
        <v>1009</v>
      </c>
      <c r="F169" s="43" t="s">
        <v>1010</v>
      </c>
      <c r="G169" s="43" t="s">
        <v>1011</v>
      </c>
      <c r="H169" s="12" t="s">
        <v>722</v>
      </c>
      <c r="I169" s="12" t="s">
        <v>575</v>
      </c>
      <c r="J169" s="12" t="s">
        <v>722</v>
      </c>
      <c r="K169" s="12" t="s">
        <v>723</v>
      </c>
      <c r="L169" s="12" t="s">
        <v>724</v>
      </c>
    </row>
    <row r="170" spans="1:12" ht="52.8">
      <c r="A170" s="43" t="s">
        <v>1008</v>
      </c>
      <c r="B170" s="43" t="s">
        <v>409</v>
      </c>
      <c r="C170" s="43" t="s">
        <v>72</v>
      </c>
      <c r="D170" s="44" t="s">
        <v>1007</v>
      </c>
      <c r="E170" s="44" t="s">
        <v>1009</v>
      </c>
      <c r="F170" s="43" t="s">
        <v>1010</v>
      </c>
      <c r="G170" s="43" t="s">
        <v>1011</v>
      </c>
      <c r="H170" s="12" t="s">
        <v>977</v>
      </c>
      <c r="I170" s="12" t="s">
        <v>674</v>
      </c>
      <c r="J170" s="12" t="s">
        <v>977</v>
      </c>
      <c r="K170" s="12" t="s">
        <v>978</v>
      </c>
      <c r="L170" s="12" t="s">
        <v>977</v>
      </c>
    </row>
    <row r="171" spans="1:12" ht="52.8">
      <c r="A171" s="43" t="s">
        <v>1008</v>
      </c>
      <c r="B171" s="43" t="s">
        <v>409</v>
      </c>
      <c r="C171" s="43" t="s">
        <v>72</v>
      </c>
      <c r="D171" s="44" t="s">
        <v>1007</v>
      </c>
      <c r="E171" s="44" t="s">
        <v>1009</v>
      </c>
      <c r="F171" s="43" t="s">
        <v>1010</v>
      </c>
      <c r="G171" s="43" t="s">
        <v>1011</v>
      </c>
      <c r="H171" s="12" t="s">
        <v>835</v>
      </c>
      <c r="I171" s="12" t="s">
        <v>618</v>
      </c>
      <c r="J171" s="12" t="s">
        <v>835</v>
      </c>
      <c r="K171" s="12" t="s">
        <v>836</v>
      </c>
      <c r="L171" s="12" t="s">
        <v>835</v>
      </c>
    </row>
    <row r="172" spans="1:12" ht="52.8">
      <c r="A172" s="43" t="s">
        <v>1008</v>
      </c>
      <c r="B172" s="43" t="s">
        <v>409</v>
      </c>
      <c r="C172" s="43" t="s">
        <v>72</v>
      </c>
      <c r="D172" s="44" t="s">
        <v>1007</v>
      </c>
      <c r="E172" s="44" t="s">
        <v>1009</v>
      </c>
      <c r="F172" s="43" t="s">
        <v>1010</v>
      </c>
      <c r="G172" s="43" t="s">
        <v>1011</v>
      </c>
      <c r="H172" s="12" t="s">
        <v>732</v>
      </c>
      <c r="I172" s="12" t="s">
        <v>579</v>
      </c>
      <c r="J172" s="12" t="s">
        <v>732</v>
      </c>
      <c r="K172" s="12" t="s">
        <v>733</v>
      </c>
      <c r="L172" s="12" t="s">
        <v>734</v>
      </c>
    </row>
    <row r="173" spans="1:12" ht="52.8">
      <c r="A173" s="43" t="s">
        <v>1008</v>
      </c>
      <c r="B173" s="43" t="s">
        <v>409</v>
      </c>
      <c r="C173" s="43" t="s">
        <v>72</v>
      </c>
      <c r="D173" s="44" t="s">
        <v>1007</v>
      </c>
      <c r="E173" s="44" t="s">
        <v>1009</v>
      </c>
      <c r="F173" s="43" t="s">
        <v>1010</v>
      </c>
      <c r="G173" s="43" t="s">
        <v>1011</v>
      </c>
      <c r="H173" s="12" t="s">
        <v>738</v>
      </c>
      <c r="I173" s="12" t="s">
        <v>581</v>
      </c>
      <c r="J173" s="12" t="s">
        <v>738</v>
      </c>
      <c r="K173" s="12" t="s">
        <v>739</v>
      </c>
      <c r="L173" s="12" t="s">
        <v>738</v>
      </c>
    </row>
    <row r="174" spans="1:12" ht="52.8">
      <c r="A174" s="43" t="s">
        <v>1008</v>
      </c>
      <c r="B174" s="43" t="s">
        <v>409</v>
      </c>
      <c r="C174" s="43" t="s">
        <v>72</v>
      </c>
      <c r="D174" s="44" t="s">
        <v>1007</v>
      </c>
      <c r="E174" s="44" t="s">
        <v>1009</v>
      </c>
      <c r="F174" s="43" t="s">
        <v>1010</v>
      </c>
      <c r="G174" s="43" t="s">
        <v>1011</v>
      </c>
      <c r="H174" s="12" t="s">
        <v>735</v>
      </c>
      <c r="I174" s="12" t="s">
        <v>580</v>
      </c>
      <c r="J174" s="12" t="s">
        <v>735</v>
      </c>
      <c r="K174" s="12" t="s">
        <v>736</v>
      </c>
      <c r="L174" s="12" t="s">
        <v>737</v>
      </c>
    </row>
    <row r="175" spans="1:12" ht="52.8">
      <c r="A175" s="43" t="s">
        <v>1008</v>
      </c>
      <c r="B175" s="43" t="s">
        <v>409</v>
      </c>
      <c r="C175" s="43" t="s">
        <v>72</v>
      </c>
      <c r="D175" s="44" t="s">
        <v>1007</v>
      </c>
      <c r="E175" s="44" t="s">
        <v>1009</v>
      </c>
      <c r="F175" s="43" t="s">
        <v>1010</v>
      </c>
      <c r="G175" s="43" t="s">
        <v>1011</v>
      </c>
      <c r="H175" s="12" t="s">
        <v>743</v>
      </c>
      <c r="I175" s="12" t="s">
        <v>583</v>
      </c>
      <c r="J175" s="12" t="s">
        <v>743</v>
      </c>
      <c r="K175" s="12" t="s">
        <v>744</v>
      </c>
      <c r="L175" s="12" t="s">
        <v>743</v>
      </c>
    </row>
    <row r="176" spans="1:12" ht="79.2">
      <c r="A176" s="43" t="s">
        <v>1008</v>
      </c>
      <c r="B176" s="43" t="s">
        <v>409</v>
      </c>
      <c r="C176" s="43" t="s">
        <v>72</v>
      </c>
      <c r="D176" s="44" t="s">
        <v>1007</v>
      </c>
      <c r="E176" s="44" t="s">
        <v>1009</v>
      </c>
      <c r="F176" s="43" t="s">
        <v>1010</v>
      </c>
      <c r="G176" s="43" t="s">
        <v>1011</v>
      </c>
      <c r="H176" s="12" t="s">
        <v>1012</v>
      </c>
      <c r="I176" s="12" t="s">
        <v>582</v>
      </c>
      <c r="J176" s="12" t="s">
        <v>740</v>
      </c>
      <c r="K176" s="12" t="s">
        <v>741</v>
      </c>
      <c r="L176" s="12" t="s">
        <v>742</v>
      </c>
    </row>
    <row r="177" spans="1:12" ht="52.8">
      <c r="A177" s="43" t="s">
        <v>1008</v>
      </c>
      <c r="B177" s="43" t="s">
        <v>409</v>
      </c>
      <c r="C177" s="43" t="s">
        <v>72</v>
      </c>
      <c r="D177" s="44" t="s">
        <v>1007</v>
      </c>
      <c r="E177" s="44" t="s">
        <v>1009</v>
      </c>
      <c r="F177" s="43" t="s">
        <v>1010</v>
      </c>
      <c r="G177" s="43" t="s">
        <v>1011</v>
      </c>
      <c r="H177" s="12" t="s">
        <v>979</v>
      </c>
      <c r="I177" s="12" t="s">
        <v>675</v>
      </c>
      <c r="J177" s="12" t="s">
        <v>979</v>
      </c>
      <c r="K177" s="12" t="s">
        <v>980</v>
      </c>
      <c r="L177" s="12" t="s">
        <v>979</v>
      </c>
    </row>
    <row r="178" spans="1:12" ht="52.8">
      <c r="A178" s="43" t="s">
        <v>1008</v>
      </c>
      <c r="B178" s="43" t="s">
        <v>409</v>
      </c>
      <c r="C178" s="43" t="s">
        <v>72</v>
      </c>
      <c r="D178" s="44" t="s">
        <v>1007</v>
      </c>
      <c r="E178" s="44" t="s">
        <v>1009</v>
      </c>
      <c r="F178" s="43" t="s">
        <v>1010</v>
      </c>
      <c r="G178" s="43" t="s">
        <v>1011</v>
      </c>
      <c r="H178" s="12" t="s">
        <v>759</v>
      </c>
      <c r="I178" s="12" t="s">
        <v>589</v>
      </c>
      <c r="J178" s="12" t="s">
        <v>759</v>
      </c>
      <c r="K178" s="12" t="s">
        <v>760</v>
      </c>
      <c r="L178" s="12" t="s">
        <v>759</v>
      </c>
    </row>
    <row r="179" spans="1:12" ht="52.8">
      <c r="A179" s="43" t="s">
        <v>1008</v>
      </c>
      <c r="B179" s="43" t="s">
        <v>409</v>
      </c>
      <c r="C179" s="43" t="s">
        <v>72</v>
      </c>
      <c r="D179" s="44" t="s">
        <v>1007</v>
      </c>
      <c r="E179" s="44" t="s">
        <v>1009</v>
      </c>
      <c r="F179" s="43" t="s">
        <v>1010</v>
      </c>
      <c r="G179" s="43" t="s">
        <v>1011</v>
      </c>
      <c r="H179" s="12" t="s">
        <v>748</v>
      </c>
      <c r="I179" s="12" t="s">
        <v>585</v>
      </c>
      <c r="J179" s="12" t="s">
        <v>748</v>
      </c>
      <c r="K179" s="12" t="s">
        <v>749</v>
      </c>
      <c r="L179" s="12" t="s">
        <v>750</v>
      </c>
    </row>
    <row r="180" spans="1:12" ht="52.8">
      <c r="A180" s="43" t="s">
        <v>1008</v>
      </c>
      <c r="B180" s="43" t="s">
        <v>409</v>
      </c>
      <c r="C180" s="43" t="s">
        <v>72</v>
      </c>
      <c r="D180" s="44" t="s">
        <v>1007</v>
      </c>
      <c r="E180" s="44" t="s">
        <v>1009</v>
      </c>
      <c r="F180" s="43" t="s">
        <v>1010</v>
      </c>
      <c r="G180" s="43" t="s">
        <v>1011</v>
      </c>
      <c r="H180" s="12" t="s">
        <v>1013</v>
      </c>
      <c r="I180" s="12" t="s">
        <v>584</v>
      </c>
      <c r="J180" s="12" t="s">
        <v>745</v>
      </c>
      <c r="K180" s="12" t="s">
        <v>746</v>
      </c>
      <c r="L180" s="12" t="s">
        <v>747</v>
      </c>
    </row>
    <row r="181" spans="1:12" ht="52.8">
      <c r="A181" s="43" t="s">
        <v>1008</v>
      </c>
      <c r="B181" s="43" t="s">
        <v>409</v>
      </c>
      <c r="C181" s="43" t="s">
        <v>72</v>
      </c>
      <c r="D181" s="44" t="s">
        <v>1007</v>
      </c>
      <c r="E181" s="44" t="s">
        <v>1009</v>
      </c>
      <c r="F181" s="43" t="s">
        <v>1010</v>
      </c>
      <c r="G181" s="43" t="s">
        <v>1011</v>
      </c>
      <c r="H181" s="12" t="s">
        <v>754</v>
      </c>
      <c r="I181" s="12" t="s">
        <v>587</v>
      </c>
      <c r="J181" s="12" t="s">
        <v>754</v>
      </c>
      <c r="K181" s="12" t="s">
        <v>755</v>
      </c>
      <c r="L181" s="12" t="s">
        <v>754</v>
      </c>
    </row>
    <row r="182" spans="1:12" ht="52.8">
      <c r="A182" s="43" t="s">
        <v>1008</v>
      </c>
      <c r="B182" s="43" t="s">
        <v>409</v>
      </c>
      <c r="C182" s="43" t="s">
        <v>72</v>
      </c>
      <c r="D182" s="44" t="s">
        <v>1007</v>
      </c>
      <c r="E182" s="44" t="s">
        <v>1009</v>
      </c>
      <c r="F182" s="43" t="s">
        <v>1010</v>
      </c>
      <c r="G182" s="43" t="s">
        <v>1011</v>
      </c>
      <c r="H182" s="12" t="s">
        <v>756</v>
      </c>
      <c r="I182" s="12" t="s">
        <v>588</v>
      </c>
      <c r="J182" s="12" t="s">
        <v>756</v>
      </c>
      <c r="K182" s="12" t="s">
        <v>757</v>
      </c>
      <c r="L182" s="12" t="s">
        <v>758</v>
      </c>
    </row>
    <row r="183" spans="1:12" ht="52.8">
      <c r="A183" s="43" t="s">
        <v>1008</v>
      </c>
      <c r="B183" s="43" t="s">
        <v>409</v>
      </c>
      <c r="C183" s="43" t="s">
        <v>72</v>
      </c>
      <c r="D183" s="44" t="s">
        <v>1007</v>
      </c>
      <c r="E183" s="44" t="s">
        <v>1009</v>
      </c>
      <c r="F183" s="43" t="s">
        <v>1010</v>
      </c>
      <c r="G183" s="43" t="s">
        <v>1011</v>
      </c>
      <c r="H183" s="12" t="s">
        <v>751</v>
      </c>
      <c r="I183" s="12" t="s">
        <v>586</v>
      </c>
      <c r="J183" s="12" t="s">
        <v>751</v>
      </c>
      <c r="K183" s="12" t="s">
        <v>752</v>
      </c>
      <c r="L183" s="12" t="s">
        <v>753</v>
      </c>
    </row>
    <row r="184" spans="1:12" ht="52.8">
      <c r="A184" s="43" t="s">
        <v>1008</v>
      </c>
      <c r="B184" s="43" t="s">
        <v>409</v>
      </c>
      <c r="C184" s="43" t="s">
        <v>72</v>
      </c>
      <c r="D184" s="44" t="s">
        <v>1007</v>
      </c>
      <c r="E184" s="44" t="s">
        <v>1009</v>
      </c>
      <c r="F184" s="43" t="s">
        <v>1010</v>
      </c>
      <c r="G184" s="43" t="s">
        <v>1011</v>
      </c>
      <c r="H184" s="12" t="s">
        <v>764</v>
      </c>
      <c r="I184" s="12" t="s">
        <v>591</v>
      </c>
      <c r="J184" s="12" t="s">
        <v>764</v>
      </c>
      <c r="K184" s="12" t="s">
        <v>765</v>
      </c>
      <c r="L184" s="12" t="s">
        <v>766</v>
      </c>
    </row>
    <row r="185" spans="1:12" ht="52.8">
      <c r="A185" s="43" t="s">
        <v>1008</v>
      </c>
      <c r="B185" s="43" t="s">
        <v>409</v>
      </c>
      <c r="C185" s="43" t="s">
        <v>72</v>
      </c>
      <c r="D185" s="44" t="s">
        <v>1007</v>
      </c>
      <c r="E185" s="44" t="s">
        <v>1009</v>
      </c>
      <c r="F185" s="43" t="s">
        <v>1010</v>
      </c>
      <c r="G185" s="43" t="s">
        <v>1011</v>
      </c>
      <c r="H185" s="12" t="s">
        <v>767</v>
      </c>
      <c r="I185" s="12" t="s">
        <v>592</v>
      </c>
      <c r="J185" s="12" t="s">
        <v>767</v>
      </c>
      <c r="K185" s="12" t="s">
        <v>768</v>
      </c>
      <c r="L185" s="12" t="s">
        <v>769</v>
      </c>
    </row>
    <row r="186" spans="1:12" ht="52.8">
      <c r="A186" s="43" t="s">
        <v>1008</v>
      </c>
      <c r="B186" s="43" t="s">
        <v>409</v>
      </c>
      <c r="C186" s="43" t="s">
        <v>72</v>
      </c>
      <c r="D186" s="44" t="s">
        <v>1007</v>
      </c>
      <c r="E186" s="44" t="s">
        <v>1009</v>
      </c>
      <c r="F186" s="43" t="s">
        <v>1010</v>
      </c>
      <c r="G186" s="43" t="s">
        <v>1011</v>
      </c>
      <c r="H186" s="12" t="s">
        <v>773</v>
      </c>
      <c r="I186" s="12" t="s">
        <v>594</v>
      </c>
      <c r="J186" s="12" t="s">
        <v>773</v>
      </c>
      <c r="K186" s="12" t="s">
        <v>774</v>
      </c>
      <c r="L186" s="12" t="s">
        <v>775</v>
      </c>
    </row>
    <row r="187" spans="1:12" ht="52.8">
      <c r="A187" s="43" t="s">
        <v>1008</v>
      </c>
      <c r="B187" s="43" t="s">
        <v>409</v>
      </c>
      <c r="C187" s="43" t="s">
        <v>72</v>
      </c>
      <c r="D187" s="44" t="s">
        <v>1007</v>
      </c>
      <c r="E187" s="44" t="s">
        <v>1009</v>
      </c>
      <c r="F187" s="43" t="s">
        <v>1010</v>
      </c>
      <c r="G187" s="43" t="s">
        <v>1011</v>
      </c>
      <c r="H187" s="12" t="s">
        <v>761</v>
      </c>
      <c r="I187" s="12" t="s">
        <v>590</v>
      </c>
      <c r="J187" s="12" t="s">
        <v>761</v>
      </c>
      <c r="K187" s="12" t="s">
        <v>762</v>
      </c>
      <c r="L187" s="12" t="s">
        <v>763</v>
      </c>
    </row>
    <row r="188" spans="1:12" ht="52.8">
      <c r="A188" s="43" t="s">
        <v>1008</v>
      </c>
      <c r="B188" s="43" t="s">
        <v>409</v>
      </c>
      <c r="C188" s="43" t="s">
        <v>72</v>
      </c>
      <c r="D188" s="44" t="s">
        <v>1007</v>
      </c>
      <c r="E188" s="44" t="s">
        <v>1009</v>
      </c>
      <c r="F188" s="43" t="s">
        <v>1010</v>
      </c>
      <c r="G188" s="43" t="s">
        <v>1011</v>
      </c>
      <c r="H188" s="12" t="s">
        <v>776</v>
      </c>
      <c r="I188" s="12" t="s">
        <v>595</v>
      </c>
      <c r="J188" s="12" t="s">
        <v>776</v>
      </c>
      <c r="K188" s="12" t="s">
        <v>777</v>
      </c>
      <c r="L188" s="12" t="s">
        <v>778</v>
      </c>
    </row>
    <row r="189" spans="1:12" ht="52.8">
      <c r="A189" s="43" t="s">
        <v>1008</v>
      </c>
      <c r="B189" s="43" t="s">
        <v>409</v>
      </c>
      <c r="C189" s="43" t="s">
        <v>72</v>
      </c>
      <c r="D189" s="44" t="s">
        <v>1007</v>
      </c>
      <c r="E189" s="44" t="s">
        <v>1009</v>
      </c>
      <c r="F189" s="43" t="s">
        <v>1010</v>
      </c>
      <c r="G189" s="43" t="s">
        <v>1011</v>
      </c>
      <c r="H189" s="12" t="s">
        <v>779</v>
      </c>
      <c r="I189" s="12" t="s">
        <v>596</v>
      </c>
      <c r="J189" s="12" t="s">
        <v>779</v>
      </c>
      <c r="K189" s="12" t="s">
        <v>780</v>
      </c>
      <c r="L189" s="12" t="s">
        <v>781</v>
      </c>
    </row>
    <row r="190" spans="1:12" ht="52.8">
      <c r="A190" s="43" t="s">
        <v>1008</v>
      </c>
      <c r="B190" s="43" t="s">
        <v>409</v>
      </c>
      <c r="C190" s="43" t="s">
        <v>72</v>
      </c>
      <c r="D190" s="44" t="s">
        <v>1007</v>
      </c>
      <c r="E190" s="44" t="s">
        <v>1009</v>
      </c>
      <c r="F190" s="43" t="s">
        <v>1010</v>
      </c>
      <c r="G190" s="43" t="s">
        <v>1011</v>
      </c>
      <c r="H190" s="12" t="s">
        <v>782</v>
      </c>
      <c r="I190" s="12" t="s">
        <v>597</v>
      </c>
      <c r="J190" s="12" t="s">
        <v>782</v>
      </c>
      <c r="K190" s="12" t="s">
        <v>783</v>
      </c>
      <c r="L190" s="12" t="s">
        <v>784</v>
      </c>
    </row>
    <row r="191" spans="1:12" ht="52.8">
      <c r="A191" s="43" t="s">
        <v>1008</v>
      </c>
      <c r="B191" s="43" t="s">
        <v>409</v>
      </c>
      <c r="C191" s="43" t="s">
        <v>72</v>
      </c>
      <c r="D191" s="44" t="s">
        <v>1007</v>
      </c>
      <c r="E191" s="44" t="s">
        <v>1009</v>
      </c>
      <c r="F191" s="43" t="s">
        <v>1010</v>
      </c>
      <c r="G191" s="43" t="s">
        <v>1011</v>
      </c>
      <c r="H191" s="12" t="s">
        <v>770</v>
      </c>
      <c r="I191" s="12" t="s">
        <v>593</v>
      </c>
      <c r="J191" s="12" t="s">
        <v>770</v>
      </c>
      <c r="K191" s="12" t="s">
        <v>771</v>
      </c>
      <c r="L191" s="12" t="s">
        <v>772</v>
      </c>
    </row>
    <row r="192" spans="1:12" ht="52.8">
      <c r="A192" s="43" t="s">
        <v>1008</v>
      </c>
      <c r="B192" s="43" t="s">
        <v>409</v>
      </c>
      <c r="C192" s="43" t="s">
        <v>72</v>
      </c>
      <c r="D192" s="44" t="s">
        <v>1007</v>
      </c>
      <c r="E192" s="44" t="s">
        <v>1009</v>
      </c>
      <c r="F192" s="43" t="s">
        <v>1010</v>
      </c>
      <c r="G192" s="43" t="s">
        <v>1011</v>
      </c>
      <c r="H192" s="12" t="s">
        <v>788</v>
      </c>
      <c r="I192" s="12" t="s">
        <v>599</v>
      </c>
      <c r="J192" s="12" t="s">
        <v>788</v>
      </c>
      <c r="K192" s="12" t="s">
        <v>789</v>
      </c>
      <c r="L192" s="12" t="s">
        <v>790</v>
      </c>
    </row>
    <row r="193" spans="1:12" ht="52.8">
      <c r="A193" s="43" t="s">
        <v>1008</v>
      </c>
      <c r="B193" s="43" t="s">
        <v>409</v>
      </c>
      <c r="C193" s="43" t="s">
        <v>72</v>
      </c>
      <c r="D193" s="44" t="s">
        <v>1007</v>
      </c>
      <c r="E193" s="44" t="s">
        <v>1009</v>
      </c>
      <c r="F193" s="43" t="s">
        <v>1010</v>
      </c>
      <c r="G193" s="43" t="s">
        <v>1011</v>
      </c>
      <c r="H193" s="12" t="s">
        <v>785</v>
      </c>
      <c r="I193" s="12" t="s">
        <v>598</v>
      </c>
      <c r="J193" s="12" t="s">
        <v>785</v>
      </c>
      <c r="K193" s="12" t="s">
        <v>786</v>
      </c>
      <c r="L193" s="12" t="s">
        <v>787</v>
      </c>
    </row>
    <row r="194" spans="1:12" ht="66">
      <c r="A194" s="43" t="s">
        <v>1008</v>
      </c>
      <c r="B194" s="43" t="s">
        <v>409</v>
      </c>
      <c r="C194" s="43" t="s">
        <v>72</v>
      </c>
      <c r="D194" s="44" t="s">
        <v>1007</v>
      </c>
      <c r="E194" s="44" t="s">
        <v>1009</v>
      </c>
      <c r="F194" s="43" t="s">
        <v>1010</v>
      </c>
      <c r="G194" s="43" t="s">
        <v>1011</v>
      </c>
      <c r="H194" s="12" t="s">
        <v>1014</v>
      </c>
      <c r="I194" s="12" t="s">
        <v>600</v>
      </c>
      <c r="J194" s="12" t="s">
        <v>791</v>
      </c>
      <c r="K194" s="12" t="s">
        <v>792</v>
      </c>
      <c r="L194" s="12" t="s">
        <v>793</v>
      </c>
    </row>
    <row r="195" spans="1:12" ht="52.8">
      <c r="A195" s="43" t="s">
        <v>1008</v>
      </c>
      <c r="B195" s="43" t="s">
        <v>409</v>
      </c>
      <c r="C195" s="43" t="s">
        <v>72</v>
      </c>
      <c r="D195" s="44" t="s">
        <v>1007</v>
      </c>
      <c r="E195" s="44" t="s">
        <v>1009</v>
      </c>
      <c r="F195" s="43" t="s">
        <v>1010</v>
      </c>
      <c r="G195" s="43" t="s">
        <v>1011</v>
      </c>
      <c r="H195" s="12" t="s">
        <v>797</v>
      </c>
      <c r="I195" s="12" t="s">
        <v>602</v>
      </c>
      <c r="J195" s="12" t="s">
        <v>797</v>
      </c>
      <c r="K195" s="12" t="s">
        <v>798</v>
      </c>
      <c r="L195" s="12" t="s">
        <v>797</v>
      </c>
    </row>
    <row r="196" spans="1:12" ht="52.8">
      <c r="A196" s="43" t="s">
        <v>1008</v>
      </c>
      <c r="B196" s="43" t="s">
        <v>409</v>
      </c>
      <c r="C196" s="43" t="s">
        <v>72</v>
      </c>
      <c r="D196" s="44" t="s">
        <v>1007</v>
      </c>
      <c r="E196" s="44" t="s">
        <v>1009</v>
      </c>
      <c r="F196" s="43" t="s">
        <v>1010</v>
      </c>
      <c r="G196" s="43" t="s">
        <v>1011</v>
      </c>
      <c r="H196" s="12" t="s">
        <v>799</v>
      </c>
      <c r="I196" s="12" t="s">
        <v>603</v>
      </c>
      <c r="J196" s="12" t="s">
        <v>799</v>
      </c>
      <c r="K196" s="12" t="s">
        <v>800</v>
      </c>
      <c r="L196" s="12" t="s">
        <v>801</v>
      </c>
    </row>
    <row r="197" spans="1:12" ht="52.8">
      <c r="A197" s="43" t="s">
        <v>1008</v>
      </c>
      <c r="B197" s="43" t="s">
        <v>409</v>
      </c>
      <c r="C197" s="43" t="s">
        <v>72</v>
      </c>
      <c r="D197" s="44" t="s">
        <v>1007</v>
      </c>
      <c r="E197" s="44" t="s">
        <v>1009</v>
      </c>
      <c r="F197" s="43" t="s">
        <v>1010</v>
      </c>
      <c r="G197" s="43" t="s">
        <v>1011</v>
      </c>
      <c r="H197" s="12" t="s">
        <v>802</v>
      </c>
      <c r="I197" s="12" t="s">
        <v>604</v>
      </c>
      <c r="J197" s="12" t="s">
        <v>802</v>
      </c>
      <c r="K197" s="12" t="s">
        <v>803</v>
      </c>
      <c r="L197" s="12" t="s">
        <v>802</v>
      </c>
    </row>
    <row r="198" spans="1:12" ht="52.8">
      <c r="A198" s="43" t="s">
        <v>1008</v>
      </c>
      <c r="B198" s="43" t="s">
        <v>409</v>
      </c>
      <c r="C198" s="43" t="s">
        <v>72</v>
      </c>
      <c r="D198" s="44" t="s">
        <v>1007</v>
      </c>
      <c r="E198" s="44" t="s">
        <v>1009</v>
      </c>
      <c r="F198" s="43" t="s">
        <v>1010</v>
      </c>
      <c r="G198" s="43" t="s">
        <v>1011</v>
      </c>
      <c r="H198" s="12" t="s">
        <v>804</v>
      </c>
      <c r="I198" s="12" t="s">
        <v>605</v>
      </c>
      <c r="J198" s="12" t="s">
        <v>804</v>
      </c>
      <c r="K198" s="12" t="s">
        <v>805</v>
      </c>
      <c r="L198" s="12" t="s">
        <v>806</v>
      </c>
    </row>
    <row r="199" spans="1:12" ht="52.8">
      <c r="A199" s="43" t="s">
        <v>1008</v>
      </c>
      <c r="B199" s="43" t="s">
        <v>409</v>
      </c>
      <c r="C199" s="43" t="s">
        <v>72</v>
      </c>
      <c r="D199" s="44" t="s">
        <v>1007</v>
      </c>
      <c r="E199" s="44" t="s">
        <v>1009</v>
      </c>
      <c r="F199" s="43" t="s">
        <v>1010</v>
      </c>
      <c r="G199" s="43" t="s">
        <v>1011</v>
      </c>
      <c r="H199" s="12" t="s">
        <v>807</v>
      </c>
      <c r="I199" s="12" t="s">
        <v>606</v>
      </c>
      <c r="J199" s="12" t="s">
        <v>807</v>
      </c>
      <c r="K199" s="12" t="s">
        <v>808</v>
      </c>
      <c r="L199" s="12" t="s">
        <v>809</v>
      </c>
    </row>
    <row r="200" spans="1:12" ht="66">
      <c r="A200" s="43" t="s">
        <v>1008</v>
      </c>
      <c r="B200" s="43" t="s">
        <v>409</v>
      </c>
      <c r="C200" s="43" t="s">
        <v>72</v>
      </c>
      <c r="D200" s="44" t="s">
        <v>1007</v>
      </c>
      <c r="E200" s="44" t="s">
        <v>1009</v>
      </c>
      <c r="F200" s="43" t="s">
        <v>1010</v>
      </c>
      <c r="G200" s="43" t="s">
        <v>1011</v>
      </c>
      <c r="H200" s="12" t="s">
        <v>871</v>
      </c>
      <c r="I200" s="12" t="s">
        <v>632</v>
      </c>
      <c r="J200" s="12" t="s">
        <v>871</v>
      </c>
      <c r="K200" s="12" t="s">
        <v>872</v>
      </c>
      <c r="L200" s="12" t="s">
        <v>871</v>
      </c>
    </row>
    <row r="201" spans="1:12" ht="52.8">
      <c r="A201" s="43" t="s">
        <v>1008</v>
      </c>
      <c r="B201" s="43" t="s">
        <v>409</v>
      </c>
      <c r="C201" s="43" t="s">
        <v>72</v>
      </c>
      <c r="D201" s="44" t="s">
        <v>1007</v>
      </c>
      <c r="E201" s="44" t="s">
        <v>1009</v>
      </c>
      <c r="F201" s="43" t="s">
        <v>1010</v>
      </c>
      <c r="G201" s="43" t="s">
        <v>1011</v>
      </c>
      <c r="H201" s="12" t="s">
        <v>810</v>
      </c>
      <c r="I201" s="12" t="s">
        <v>607</v>
      </c>
      <c r="J201" s="12" t="s">
        <v>810</v>
      </c>
      <c r="K201" s="12" t="s">
        <v>811</v>
      </c>
      <c r="L201" s="12" t="s">
        <v>810</v>
      </c>
    </row>
    <row r="202" spans="1:12" ht="52.8">
      <c r="A202" s="43" t="s">
        <v>1008</v>
      </c>
      <c r="B202" s="43" t="s">
        <v>409</v>
      </c>
      <c r="C202" s="43" t="s">
        <v>72</v>
      </c>
      <c r="D202" s="44" t="s">
        <v>1007</v>
      </c>
      <c r="E202" s="44" t="s">
        <v>1009</v>
      </c>
      <c r="F202" s="43" t="s">
        <v>1010</v>
      </c>
      <c r="G202" s="43" t="s">
        <v>1011</v>
      </c>
      <c r="H202" s="12" t="s">
        <v>819</v>
      </c>
      <c r="I202" s="12" t="s">
        <v>611</v>
      </c>
      <c r="J202" s="12" t="s">
        <v>819</v>
      </c>
      <c r="K202" s="12" t="s">
        <v>820</v>
      </c>
      <c r="L202" s="12" t="s">
        <v>821</v>
      </c>
    </row>
    <row r="203" spans="1:12" ht="52.8">
      <c r="A203" s="43" t="s">
        <v>1008</v>
      </c>
      <c r="B203" s="43" t="s">
        <v>409</v>
      </c>
      <c r="C203" s="43" t="s">
        <v>72</v>
      </c>
      <c r="D203" s="44" t="s">
        <v>1007</v>
      </c>
      <c r="E203" s="44" t="s">
        <v>1009</v>
      </c>
      <c r="F203" s="43" t="s">
        <v>1010</v>
      </c>
      <c r="G203" s="43" t="s">
        <v>1011</v>
      </c>
      <c r="H203" s="12" t="s">
        <v>815</v>
      </c>
      <c r="I203" s="12" t="s">
        <v>609</v>
      </c>
      <c r="J203" s="12" t="s">
        <v>815</v>
      </c>
      <c r="K203" s="12" t="s">
        <v>816</v>
      </c>
      <c r="L203" s="12" t="s">
        <v>815</v>
      </c>
    </row>
    <row r="204" spans="1:12" ht="52.8">
      <c r="A204" s="43" t="s">
        <v>1008</v>
      </c>
      <c r="B204" s="43" t="s">
        <v>409</v>
      </c>
      <c r="C204" s="43" t="s">
        <v>72</v>
      </c>
      <c r="D204" s="44" t="s">
        <v>1007</v>
      </c>
      <c r="E204" s="44" t="s">
        <v>1009</v>
      </c>
      <c r="F204" s="43" t="s">
        <v>1010</v>
      </c>
      <c r="G204" s="43" t="s">
        <v>1011</v>
      </c>
      <c r="H204" s="12" t="s">
        <v>817</v>
      </c>
      <c r="I204" s="12" t="s">
        <v>610</v>
      </c>
      <c r="J204" s="12" t="s">
        <v>817</v>
      </c>
      <c r="K204" s="12" t="s">
        <v>818</v>
      </c>
      <c r="L204" s="12" t="s">
        <v>817</v>
      </c>
    </row>
    <row r="205" spans="1:12" ht="52.8">
      <c r="A205" s="43" t="s">
        <v>1008</v>
      </c>
      <c r="B205" s="43" t="s">
        <v>409</v>
      </c>
      <c r="C205" s="43" t="s">
        <v>72</v>
      </c>
      <c r="D205" s="44" t="s">
        <v>1007</v>
      </c>
      <c r="E205" s="44" t="s">
        <v>1009</v>
      </c>
      <c r="F205" s="43" t="s">
        <v>1010</v>
      </c>
      <c r="G205" s="43" t="s">
        <v>1011</v>
      </c>
      <c r="H205" s="12" t="s">
        <v>822</v>
      </c>
      <c r="I205" s="12" t="s">
        <v>612</v>
      </c>
      <c r="J205" s="12" t="s">
        <v>822</v>
      </c>
      <c r="K205" s="12" t="s">
        <v>823</v>
      </c>
      <c r="L205" s="12" t="s">
        <v>822</v>
      </c>
    </row>
    <row r="206" spans="1:12" ht="52.8">
      <c r="A206" s="43" t="s">
        <v>1008</v>
      </c>
      <c r="B206" s="43" t="s">
        <v>409</v>
      </c>
      <c r="C206" s="43" t="s">
        <v>72</v>
      </c>
      <c r="D206" s="44" t="s">
        <v>1007</v>
      </c>
      <c r="E206" s="44" t="s">
        <v>1009</v>
      </c>
      <c r="F206" s="43" t="s">
        <v>1010</v>
      </c>
      <c r="G206" s="43" t="s">
        <v>1011</v>
      </c>
      <c r="H206" s="12" t="s">
        <v>827</v>
      </c>
      <c r="I206" s="12" t="s">
        <v>614</v>
      </c>
      <c r="J206" s="12" t="s">
        <v>827</v>
      </c>
      <c r="K206" s="12" t="s">
        <v>828</v>
      </c>
      <c r="L206" s="12" t="s">
        <v>827</v>
      </c>
    </row>
    <row r="207" spans="1:12" ht="52.8">
      <c r="A207" s="43" t="s">
        <v>1008</v>
      </c>
      <c r="B207" s="43" t="s">
        <v>409</v>
      </c>
      <c r="C207" s="43" t="s">
        <v>72</v>
      </c>
      <c r="D207" s="44" t="s">
        <v>1007</v>
      </c>
      <c r="E207" s="44" t="s">
        <v>1009</v>
      </c>
      <c r="F207" s="43" t="s">
        <v>1010</v>
      </c>
      <c r="G207" s="43" t="s">
        <v>1011</v>
      </c>
      <c r="H207" s="12" t="s">
        <v>829</v>
      </c>
      <c r="I207" s="12" t="s">
        <v>615</v>
      </c>
      <c r="J207" s="12" t="s">
        <v>829</v>
      </c>
      <c r="K207" s="12" t="s">
        <v>830</v>
      </c>
      <c r="L207" s="12" t="s">
        <v>829</v>
      </c>
    </row>
    <row r="208" spans="1:12" ht="52.8">
      <c r="A208" s="43" t="s">
        <v>1008</v>
      </c>
      <c r="B208" s="43" t="s">
        <v>409</v>
      </c>
      <c r="C208" s="43" t="s">
        <v>72</v>
      </c>
      <c r="D208" s="44" t="s">
        <v>1007</v>
      </c>
      <c r="E208" s="44" t="s">
        <v>1009</v>
      </c>
      <c r="F208" s="43" t="s">
        <v>1010</v>
      </c>
      <c r="G208" s="43" t="s">
        <v>1011</v>
      </c>
      <c r="H208" s="12" t="s">
        <v>995</v>
      </c>
      <c r="I208" s="12" t="s">
        <v>681</v>
      </c>
      <c r="J208" s="12" t="s">
        <v>995</v>
      </c>
      <c r="K208" s="12" t="s">
        <v>996</v>
      </c>
      <c r="L208" s="12" t="s">
        <v>997</v>
      </c>
    </row>
    <row r="209" spans="1:12" ht="52.8">
      <c r="A209" s="43" t="s">
        <v>1008</v>
      </c>
      <c r="B209" s="43" t="s">
        <v>409</v>
      </c>
      <c r="C209" s="43" t="s">
        <v>72</v>
      </c>
      <c r="D209" s="44" t="s">
        <v>1007</v>
      </c>
      <c r="E209" s="44" t="s">
        <v>1009</v>
      </c>
      <c r="F209" s="43" t="s">
        <v>1010</v>
      </c>
      <c r="G209" s="43" t="s">
        <v>1011</v>
      </c>
      <c r="H209" s="12" t="s">
        <v>837</v>
      </c>
      <c r="I209" s="12" t="s">
        <v>619</v>
      </c>
      <c r="J209" s="12" t="s">
        <v>837</v>
      </c>
      <c r="K209" s="12" t="s">
        <v>838</v>
      </c>
      <c r="L209" s="12" t="s">
        <v>839</v>
      </c>
    </row>
    <row r="210" spans="1:12" ht="52.8">
      <c r="A210" s="43" t="s">
        <v>1008</v>
      </c>
      <c r="B210" s="43" t="s">
        <v>409</v>
      </c>
      <c r="C210" s="43" t="s">
        <v>72</v>
      </c>
      <c r="D210" s="44" t="s">
        <v>1007</v>
      </c>
      <c r="E210" s="44" t="s">
        <v>1009</v>
      </c>
      <c r="F210" s="43" t="s">
        <v>1010</v>
      </c>
      <c r="G210" s="43" t="s">
        <v>1011</v>
      </c>
      <c r="H210" s="12" t="s">
        <v>1015</v>
      </c>
      <c r="I210" s="12" t="s">
        <v>601</v>
      </c>
      <c r="J210" s="12" t="s">
        <v>794</v>
      </c>
      <c r="K210" s="12" t="s">
        <v>795</v>
      </c>
      <c r="L210" s="12" t="s">
        <v>796</v>
      </c>
    </row>
    <row r="211" spans="1:12" ht="52.8">
      <c r="A211" s="43" t="s">
        <v>1008</v>
      </c>
      <c r="B211" s="43" t="s">
        <v>409</v>
      </c>
      <c r="C211" s="43" t="s">
        <v>72</v>
      </c>
      <c r="D211" s="44" t="s">
        <v>1007</v>
      </c>
      <c r="E211" s="44" t="s">
        <v>1009</v>
      </c>
      <c r="F211" s="43" t="s">
        <v>1010</v>
      </c>
      <c r="G211" s="43" t="s">
        <v>1011</v>
      </c>
      <c r="H211" s="12" t="s">
        <v>842</v>
      </c>
      <c r="I211" s="12" t="s">
        <v>621</v>
      </c>
      <c r="J211" s="12" t="s">
        <v>842</v>
      </c>
      <c r="K211" s="12" t="s">
        <v>843</v>
      </c>
      <c r="L211" s="12" t="s">
        <v>844</v>
      </c>
    </row>
    <row r="212" spans="1:12" ht="52.8">
      <c r="A212" s="43" t="s">
        <v>1008</v>
      </c>
      <c r="B212" s="43" t="s">
        <v>409</v>
      </c>
      <c r="C212" s="43" t="s">
        <v>72</v>
      </c>
      <c r="D212" s="44" t="s">
        <v>1007</v>
      </c>
      <c r="E212" s="44" t="s">
        <v>1009</v>
      </c>
      <c r="F212" s="43" t="s">
        <v>1010</v>
      </c>
      <c r="G212" s="43" t="s">
        <v>1011</v>
      </c>
      <c r="H212" s="12" t="s">
        <v>845</v>
      </c>
      <c r="I212" s="12" t="s">
        <v>622</v>
      </c>
      <c r="J212" s="12" t="s">
        <v>845</v>
      </c>
      <c r="K212" s="12" t="s">
        <v>846</v>
      </c>
      <c r="L212" s="12" t="s">
        <v>847</v>
      </c>
    </row>
    <row r="213" spans="1:12" ht="52.8">
      <c r="A213" s="43" t="s">
        <v>1008</v>
      </c>
      <c r="B213" s="43" t="s">
        <v>409</v>
      </c>
      <c r="C213" s="43" t="s">
        <v>72</v>
      </c>
      <c r="D213" s="44" t="s">
        <v>1007</v>
      </c>
      <c r="E213" s="44" t="s">
        <v>1009</v>
      </c>
      <c r="F213" s="43" t="s">
        <v>1010</v>
      </c>
      <c r="G213" s="43" t="s">
        <v>1011</v>
      </c>
      <c r="H213" s="12" t="s">
        <v>861</v>
      </c>
      <c r="I213" s="12" t="s">
        <v>628</v>
      </c>
      <c r="J213" s="12" t="s">
        <v>861</v>
      </c>
      <c r="K213" s="12" t="s">
        <v>862</v>
      </c>
      <c r="L213" s="12" t="s">
        <v>863</v>
      </c>
    </row>
    <row r="214" spans="1:12" ht="52.8">
      <c r="A214" s="43" t="s">
        <v>1008</v>
      </c>
      <c r="B214" s="43" t="s">
        <v>409</v>
      </c>
      <c r="C214" s="43" t="s">
        <v>72</v>
      </c>
      <c r="D214" s="44" t="s">
        <v>1007</v>
      </c>
      <c r="E214" s="44" t="s">
        <v>1009</v>
      </c>
      <c r="F214" s="43" t="s">
        <v>1010</v>
      </c>
      <c r="G214" s="43" t="s">
        <v>1011</v>
      </c>
      <c r="H214" s="12" t="s">
        <v>866</v>
      </c>
      <c r="I214" s="12" t="s">
        <v>630</v>
      </c>
      <c r="J214" s="12" t="s">
        <v>866</v>
      </c>
      <c r="K214" s="12" t="s">
        <v>867</v>
      </c>
      <c r="L214" s="12" t="s">
        <v>868</v>
      </c>
    </row>
    <row r="215" spans="1:12" ht="52.8">
      <c r="A215" s="43" t="s">
        <v>1008</v>
      </c>
      <c r="B215" s="43" t="s">
        <v>409</v>
      </c>
      <c r="C215" s="43" t="s">
        <v>72</v>
      </c>
      <c r="D215" s="44" t="s">
        <v>1007</v>
      </c>
      <c r="E215" s="44" t="s">
        <v>1009</v>
      </c>
      <c r="F215" s="43" t="s">
        <v>1010</v>
      </c>
      <c r="G215" s="43" t="s">
        <v>1011</v>
      </c>
      <c r="H215" s="12" t="s">
        <v>856</v>
      </c>
      <c r="I215" s="12" t="s">
        <v>626</v>
      </c>
      <c r="J215" s="12" t="s">
        <v>856</v>
      </c>
      <c r="K215" s="12" t="s">
        <v>857</v>
      </c>
      <c r="L215" s="12" t="s">
        <v>856</v>
      </c>
    </row>
    <row r="216" spans="1:12" ht="52.8">
      <c r="A216" s="43" t="s">
        <v>1008</v>
      </c>
      <c r="B216" s="43" t="s">
        <v>409</v>
      </c>
      <c r="C216" s="43" t="s">
        <v>72</v>
      </c>
      <c r="D216" s="44" t="s">
        <v>1007</v>
      </c>
      <c r="E216" s="44" t="s">
        <v>1009</v>
      </c>
      <c r="F216" s="43" t="s">
        <v>1010</v>
      </c>
      <c r="G216" s="43" t="s">
        <v>1011</v>
      </c>
      <c r="H216" s="12" t="s">
        <v>864</v>
      </c>
      <c r="I216" s="12" t="s">
        <v>629</v>
      </c>
      <c r="J216" s="12" t="s">
        <v>864</v>
      </c>
      <c r="K216" s="12" t="s">
        <v>865</v>
      </c>
      <c r="L216" s="12" t="s">
        <v>864</v>
      </c>
    </row>
    <row r="217" spans="1:12" ht="52.8">
      <c r="A217" s="43" t="s">
        <v>1008</v>
      </c>
      <c r="B217" s="43" t="s">
        <v>409</v>
      </c>
      <c r="C217" s="43" t="s">
        <v>72</v>
      </c>
      <c r="D217" s="44" t="s">
        <v>1007</v>
      </c>
      <c r="E217" s="44" t="s">
        <v>1009</v>
      </c>
      <c r="F217" s="43" t="s">
        <v>1010</v>
      </c>
      <c r="G217" s="43" t="s">
        <v>1011</v>
      </c>
      <c r="H217" s="12" t="s">
        <v>858</v>
      </c>
      <c r="I217" s="12" t="s">
        <v>627</v>
      </c>
      <c r="J217" s="12" t="s">
        <v>858</v>
      </c>
      <c r="K217" s="12" t="s">
        <v>859</v>
      </c>
      <c r="L217" s="12" t="s">
        <v>860</v>
      </c>
    </row>
    <row r="218" spans="1:12" ht="52.8">
      <c r="A218" s="43" t="s">
        <v>1008</v>
      </c>
      <c r="B218" s="43" t="s">
        <v>409</v>
      </c>
      <c r="C218" s="43" t="s">
        <v>72</v>
      </c>
      <c r="D218" s="44" t="s">
        <v>1007</v>
      </c>
      <c r="E218" s="44" t="s">
        <v>1009</v>
      </c>
      <c r="F218" s="43" t="s">
        <v>1010</v>
      </c>
      <c r="G218" s="43" t="s">
        <v>1011</v>
      </c>
      <c r="H218" s="12" t="s">
        <v>887</v>
      </c>
      <c r="I218" s="12" t="s">
        <v>639</v>
      </c>
      <c r="J218" s="12" t="s">
        <v>887</v>
      </c>
      <c r="K218" s="12" t="s">
        <v>888</v>
      </c>
      <c r="L218" s="12" t="s">
        <v>887</v>
      </c>
    </row>
    <row r="219" spans="1:12" ht="52.8">
      <c r="A219" s="43" t="s">
        <v>1008</v>
      </c>
      <c r="B219" s="43" t="s">
        <v>409</v>
      </c>
      <c r="C219" s="43" t="s">
        <v>72</v>
      </c>
      <c r="D219" s="44" t="s">
        <v>1007</v>
      </c>
      <c r="E219" s="44" t="s">
        <v>1009</v>
      </c>
      <c r="F219" s="43" t="s">
        <v>1010</v>
      </c>
      <c r="G219" s="43" t="s">
        <v>1011</v>
      </c>
      <c r="H219" s="12" t="s">
        <v>883</v>
      </c>
      <c r="I219" s="12" t="s">
        <v>637</v>
      </c>
      <c r="J219" s="12" t="s">
        <v>883</v>
      </c>
      <c r="K219" s="12" t="s">
        <v>884</v>
      </c>
      <c r="L219" s="12" t="s">
        <v>883</v>
      </c>
    </row>
    <row r="220" spans="1:12" ht="52.8">
      <c r="A220" s="43" t="s">
        <v>1008</v>
      </c>
      <c r="B220" s="43" t="s">
        <v>409</v>
      </c>
      <c r="C220" s="43" t="s">
        <v>72</v>
      </c>
      <c r="D220" s="44" t="s">
        <v>1007</v>
      </c>
      <c r="E220" s="44" t="s">
        <v>1009</v>
      </c>
      <c r="F220" s="43" t="s">
        <v>1010</v>
      </c>
      <c r="G220" s="43" t="s">
        <v>1011</v>
      </c>
      <c r="H220" s="12" t="s">
        <v>885</v>
      </c>
      <c r="I220" s="12" t="s">
        <v>638</v>
      </c>
      <c r="J220" s="12" t="s">
        <v>885</v>
      </c>
      <c r="K220" s="12" t="s">
        <v>886</v>
      </c>
      <c r="L220" s="12" t="s">
        <v>885</v>
      </c>
    </row>
    <row r="221" spans="1:12" ht="52.8">
      <c r="A221" s="43" t="s">
        <v>1008</v>
      </c>
      <c r="B221" s="43" t="s">
        <v>409</v>
      </c>
      <c r="C221" s="43" t="s">
        <v>72</v>
      </c>
      <c r="D221" s="44" t="s">
        <v>1007</v>
      </c>
      <c r="E221" s="44" t="s">
        <v>1009</v>
      </c>
      <c r="F221" s="43" t="s">
        <v>1010</v>
      </c>
      <c r="G221" s="43" t="s">
        <v>1011</v>
      </c>
      <c r="H221" s="12" t="s">
        <v>880</v>
      </c>
      <c r="I221" s="12" t="s">
        <v>636</v>
      </c>
      <c r="J221" s="12" t="s">
        <v>880</v>
      </c>
      <c r="K221" s="12" t="s">
        <v>881</v>
      </c>
      <c r="L221" s="12" t="s">
        <v>882</v>
      </c>
    </row>
    <row r="222" spans="1:12" ht="52.8">
      <c r="A222" s="43" t="s">
        <v>1008</v>
      </c>
      <c r="B222" s="43" t="s">
        <v>409</v>
      </c>
      <c r="C222" s="43" t="s">
        <v>72</v>
      </c>
      <c r="D222" s="44" t="s">
        <v>1007</v>
      </c>
      <c r="E222" s="44" t="s">
        <v>1009</v>
      </c>
      <c r="F222" s="43" t="s">
        <v>1010</v>
      </c>
      <c r="G222" s="43" t="s">
        <v>1011</v>
      </c>
      <c r="H222" s="12" t="s">
        <v>812</v>
      </c>
      <c r="I222" s="12" t="s">
        <v>608</v>
      </c>
      <c r="J222" s="12" t="s">
        <v>812</v>
      </c>
      <c r="K222" s="12" t="s">
        <v>813</v>
      </c>
      <c r="L222" s="12" t="s">
        <v>814</v>
      </c>
    </row>
    <row r="223" spans="1:12" ht="52.8">
      <c r="A223" s="43" t="s">
        <v>1008</v>
      </c>
      <c r="B223" s="43" t="s">
        <v>409</v>
      </c>
      <c r="C223" s="43" t="s">
        <v>72</v>
      </c>
      <c r="D223" s="44" t="s">
        <v>1007</v>
      </c>
      <c r="E223" s="44" t="s">
        <v>1009</v>
      </c>
      <c r="F223" s="43" t="s">
        <v>1010</v>
      </c>
      <c r="G223" s="43" t="s">
        <v>1011</v>
      </c>
      <c r="H223" s="12" t="s">
        <v>694</v>
      </c>
      <c r="I223" s="12" t="s">
        <v>565</v>
      </c>
      <c r="J223" s="12" t="s">
        <v>694</v>
      </c>
      <c r="K223" s="12" t="s">
        <v>695</v>
      </c>
      <c r="L223" s="12" t="s">
        <v>694</v>
      </c>
    </row>
    <row r="224" spans="1:12" ht="52.8">
      <c r="A224" s="43" t="s">
        <v>1008</v>
      </c>
      <c r="B224" s="43" t="s">
        <v>409</v>
      </c>
      <c r="C224" s="43" t="s">
        <v>72</v>
      </c>
      <c r="D224" s="44" t="s">
        <v>1007</v>
      </c>
      <c r="E224" s="44" t="s">
        <v>1009</v>
      </c>
      <c r="F224" s="43" t="s">
        <v>1010</v>
      </c>
      <c r="G224" s="43" t="s">
        <v>1011</v>
      </c>
      <c r="H224" s="12" t="s">
        <v>696</v>
      </c>
      <c r="I224" s="12" t="s">
        <v>566</v>
      </c>
      <c r="J224" s="12" t="s">
        <v>696</v>
      </c>
      <c r="K224" s="12" t="s">
        <v>697</v>
      </c>
      <c r="L224" s="12" t="s">
        <v>696</v>
      </c>
    </row>
    <row r="225" spans="1:12" ht="52.8">
      <c r="A225" s="43" t="s">
        <v>1008</v>
      </c>
      <c r="B225" s="43" t="s">
        <v>409</v>
      </c>
      <c r="C225" s="43" t="s">
        <v>72</v>
      </c>
      <c r="D225" s="44" t="s">
        <v>1007</v>
      </c>
      <c r="E225" s="44" t="s">
        <v>1009</v>
      </c>
      <c r="F225" s="43" t="s">
        <v>1010</v>
      </c>
      <c r="G225" s="43" t="s">
        <v>1011</v>
      </c>
      <c r="H225" s="12" t="s">
        <v>840</v>
      </c>
      <c r="I225" s="12" t="s">
        <v>620</v>
      </c>
      <c r="J225" s="12" t="s">
        <v>840</v>
      </c>
      <c r="K225" s="12" t="s">
        <v>841</v>
      </c>
      <c r="L225" s="12" t="s">
        <v>840</v>
      </c>
    </row>
    <row r="226" spans="1:12" ht="92.4">
      <c r="A226" s="43" t="s">
        <v>1008</v>
      </c>
      <c r="B226" s="43" t="s">
        <v>409</v>
      </c>
      <c r="C226" s="43" t="s">
        <v>72</v>
      </c>
      <c r="D226" s="44" t="s">
        <v>1007</v>
      </c>
      <c r="E226" s="44" t="s">
        <v>1009</v>
      </c>
      <c r="F226" s="43" t="s">
        <v>1010</v>
      </c>
      <c r="G226" s="43" t="s">
        <v>1011</v>
      </c>
      <c r="H226" s="12" t="s">
        <v>1016</v>
      </c>
      <c r="I226" s="12" t="s">
        <v>640</v>
      </c>
      <c r="J226" s="12" t="s">
        <v>889</v>
      </c>
      <c r="K226" s="12" t="s">
        <v>890</v>
      </c>
      <c r="L226" s="12" t="s">
        <v>891</v>
      </c>
    </row>
    <row r="227" spans="1:12" ht="52.8">
      <c r="A227" s="43" t="s">
        <v>1008</v>
      </c>
      <c r="B227" s="43" t="s">
        <v>409</v>
      </c>
      <c r="C227" s="43" t="s">
        <v>72</v>
      </c>
      <c r="D227" s="44" t="s">
        <v>1007</v>
      </c>
      <c r="E227" s="44" t="s">
        <v>1009</v>
      </c>
      <c r="F227" s="43" t="s">
        <v>1010</v>
      </c>
      <c r="G227" s="43" t="s">
        <v>1011</v>
      </c>
      <c r="H227" s="12" t="s">
        <v>896</v>
      </c>
      <c r="I227" s="12" t="s">
        <v>643</v>
      </c>
      <c r="J227" s="12" t="s">
        <v>896</v>
      </c>
      <c r="K227" s="12" t="s">
        <v>897</v>
      </c>
      <c r="L227" s="12" t="s">
        <v>896</v>
      </c>
    </row>
    <row r="228" spans="1:12" ht="52.8">
      <c r="A228" s="43" t="s">
        <v>1008</v>
      </c>
      <c r="B228" s="43" t="s">
        <v>409</v>
      </c>
      <c r="C228" s="43" t="s">
        <v>72</v>
      </c>
      <c r="D228" s="44" t="s">
        <v>1007</v>
      </c>
      <c r="E228" s="44" t="s">
        <v>1009</v>
      </c>
      <c r="F228" s="43" t="s">
        <v>1010</v>
      </c>
      <c r="G228" s="43" t="s">
        <v>1011</v>
      </c>
      <c r="H228" s="12" t="s">
        <v>892</v>
      </c>
      <c r="I228" s="12" t="s">
        <v>641</v>
      </c>
      <c r="J228" s="12" t="s">
        <v>892</v>
      </c>
      <c r="K228" s="12" t="s">
        <v>893</v>
      </c>
      <c r="L228" s="12" t="s">
        <v>892</v>
      </c>
    </row>
    <row r="229" spans="1:12" ht="52.8">
      <c r="A229" s="43" t="s">
        <v>1008</v>
      </c>
      <c r="B229" s="43" t="s">
        <v>409</v>
      </c>
      <c r="C229" s="43" t="s">
        <v>72</v>
      </c>
      <c r="D229" s="44" t="s">
        <v>1007</v>
      </c>
      <c r="E229" s="44" t="s">
        <v>1009</v>
      </c>
      <c r="F229" s="43" t="s">
        <v>1010</v>
      </c>
      <c r="G229" s="43" t="s">
        <v>1011</v>
      </c>
      <c r="H229" s="12" t="s">
        <v>877</v>
      </c>
      <c r="I229" s="12" t="s">
        <v>635</v>
      </c>
      <c r="J229" s="12" t="s">
        <v>877</v>
      </c>
      <c r="K229" s="12" t="s">
        <v>878</v>
      </c>
      <c r="L229" s="12" t="s">
        <v>879</v>
      </c>
    </row>
    <row r="230" spans="1:12" ht="52.8">
      <c r="A230" s="43" t="s">
        <v>1008</v>
      </c>
      <c r="B230" s="43" t="s">
        <v>409</v>
      </c>
      <c r="C230" s="43" t="s">
        <v>72</v>
      </c>
      <c r="D230" s="44" t="s">
        <v>1007</v>
      </c>
      <c r="E230" s="44" t="s">
        <v>1009</v>
      </c>
      <c r="F230" s="43" t="s">
        <v>1010</v>
      </c>
      <c r="G230" s="43" t="s">
        <v>1011</v>
      </c>
      <c r="H230" s="12" t="s">
        <v>873</v>
      </c>
      <c r="I230" s="12" t="s">
        <v>633</v>
      </c>
      <c r="J230" s="12" t="s">
        <v>873</v>
      </c>
      <c r="K230" s="12" t="s">
        <v>874</v>
      </c>
      <c r="L230" s="12" t="s">
        <v>873</v>
      </c>
    </row>
    <row r="231" spans="1:12" ht="52.8">
      <c r="A231" s="43" t="s">
        <v>1008</v>
      </c>
      <c r="B231" s="43" t="s">
        <v>409</v>
      </c>
      <c r="C231" s="43" t="s">
        <v>72</v>
      </c>
      <c r="D231" s="44" t="s">
        <v>1007</v>
      </c>
      <c r="E231" s="44" t="s">
        <v>1009</v>
      </c>
      <c r="F231" s="43" t="s">
        <v>1010</v>
      </c>
      <c r="G231" s="43" t="s">
        <v>1011</v>
      </c>
      <c r="H231" s="12" t="s">
        <v>831</v>
      </c>
      <c r="I231" s="12" t="s">
        <v>616</v>
      </c>
      <c r="J231" s="12" t="s">
        <v>831</v>
      </c>
      <c r="K231" s="12" t="s">
        <v>832</v>
      </c>
      <c r="L231" s="12" t="s">
        <v>831</v>
      </c>
    </row>
    <row r="232" spans="1:12" ht="52.8">
      <c r="A232" s="43" t="s">
        <v>1008</v>
      </c>
      <c r="B232" s="43" t="s">
        <v>409</v>
      </c>
      <c r="C232" s="43" t="s">
        <v>72</v>
      </c>
      <c r="D232" s="44" t="s">
        <v>1007</v>
      </c>
      <c r="E232" s="44" t="s">
        <v>1009</v>
      </c>
      <c r="F232" s="43" t="s">
        <v>1010</v>
      </c>
      <c r="G232" s="43" t="s">
        <v>1011</v>
      </c>
      <c r="H232" s="12" t="s">
        <v>894</v>
      </c>
      <c r="I232" s="12" t="s">
        <v>642</v>
      </c>
      <c r="J232" s="12" t="s">
        <v>894</v>
      </c>
      <c r="K232" s="12" t="s">
        <v>895</v>
      </c>
      <c r="L232" s="12" t="s">
        <v>894</v>
      </c>
    </row>
    <row r="233" spans="1:12" ht="52.8">
      <c r="A233" s="43" t="s">
        <v>1008</v>
      </c>
      <c r="B233" s="43" t="s">
        <v>409</v>
      </c>
      <c r="C233" s="43" t="s">
        <v>72</v>
      </c>
      <c r="D233" s="44" t="s">
        <v>1007</v>
      </c>
      <c r="E233" s="44" t="s">
        <v>1009</v>
      </c>
      <c r="F233" s="43" t="s">
        <v>1010</v>
      </c>
      <c r="G233" s="43" t="s">
        <v>1011</v>
      </c>
      <c r="H233" s="12" t="s">
        <v>898</v>
      </c>
      <c r="I233" s="12" t="s">
        <v>644</v>
      </c>
      <c r="J233" s="12" t="s">
        <v>898</v>
      </c>
      <c r="K233" s="12" t="s">
        <v>899</v>
      </c>
      <c r="L233" s="12" t="s">
        <v>900</v>
      </c>
    </row>
    <row r="234" spans="1:12" ht="52.8">
      <c r="A234" s="43" t="s">
        <v>1008</v>
      </c>
      <c r="B234" s="43" t="s">
        <v>409</v>
      </c>
      <c r="C234" s="43" t="s">
        <v>72</v>
      </c>
      <c r="D234" s="44" t="s">
        <v>1007</v>
      </c>
      <c r="E234" s="44" t="s">
        <v>1009</v>
      </c>
      <c r="F234" s="43" t="s">
        <v>1010</v>
      </c>
      <c r="G234" s="43" t="s">
        <v>1011</v>
      </c>
      <c r="H234" s="12" t="s">
        <v>904</v>
      </c>
      <c r="I234" s="12" t="s">
        <v>646</v>
      </c>
      <c r="J234" s="12" t="s">
        <v>904</v>
      </c>
      <c r="K234" s="12" t="s">
        <v>905</v>
      </c>
      <c r="L234" s="12" t="s">
        <v>904</v>
      </c>
    </row>
    <row r="235" spans="1:12" ht="52.8">
      <c r="A235" s="43" t="s">
        <v>1008</v>
      </c>
      <c r="B235" s="43" t="s">
        <v>409</v>
      </c>
      <c r="C235" s="43" t="s">
        <v>72</v>
      </c>
      <c r="D235" s="44" t="s">
        <v>1007</v>
      </c>
      <c r="E235" s="44" t="s">
        <v>1009</v>
      </c>
      <c r="F235" s="43" t="s">
        <v>1010</v>
      </c>
      <c r="G235" s="43" t="s">
        <v>1011</v>
      </c>
      <c r="H235" s="12" t="s">
        <v>906</v>
      </c>
      <c r="I235" s="12" t="s">
        <v>647</v>
      </c>
      <c r="J235" s="12" t="s">
        <v>906</v>
      </c>
      <c r="K235" s="12" t="s">
        <v>907</v>
      </c>
      <c r="L235" s="12" t="s">
        <v>906</v>
      </c>
    </row>
    <row r="236" spans="1:12" ht="52.8">
      <c r="A236" s="43" t="s">
        <v>1008</v>
      </c>
      <c r="B236" s="43" t="s">
        <v>409</v>
      </c>
      <c r="C236" s="43" t="s">
        <v>72</v>
      </c>
      <c r="D236" s="44" t="s">
        <v>1007</v>
      </c>
      <c r="E236" s="44" t="s">
        <v>1009</v>
      </c>
      <c r="F236" s="43" t="s">
        <v>1010</v>
      </c>
      <c r="G236" s="43" t="s">
        <v>1011</v>
      </c>
      <c r="H236" s="12" t="s">
        <v>908</v>
      </c>
      <c r="I236" s="12" t="s">
        <v>648</v>
      </c>
      <c r="J236" s="12" t="s">
        <v>908</v>
      </c>
      <c r="K236" s="12" t="s">
        <v>909</v>
      </c>
      <c r="L236" s="12" t="s">
        <v>910</v>
      </c>
    </row>
    <row r="237" spans="1:12" ht="52.8">
      <c r="A237" s="43" t="s">
        <v>1008</v>
      </c>
      <c r="B237" s="43" t="s">
        <v>409</v>
      </c>
      <c r="C237" s="43" t="s">
        <v>72</v>
      </c>
      <c r="D237" s="44" t="s">
        <v>1007</v>
      </c>
      <c r="E237" s="44" t="s">
        <v>1009</v>
      </c>
      <c r="F237" s="43" t="s">
        <v>1010</v>
      </c>
      <c r="G237" s="43" t="s">
        <v>1011</v>
      </c>
      <c r="H237" s="12" t="s">
        <v>913</v>
      </c>
      <c r="I237" s="12" t="s">
        <v>650</v>
      </c>
      <c r="J237" s="12" t="s">
        <v>913</v>
      </c>
      <c r="K237" s="12" t="s">
        <v>914</v>
      </c>
      <c r="L237" s="12" t="s">
        <v>913</v>
      </c>
    </row>
    <row r="238" spans="1:12" ht="52.8">
      <c r="A238" s="43" t="s">
        <v>1008</v>
      </c>
      <c r="B238" s="43" t="s">
        <v>409</v>
      </c>
      <c r="C238" s="43" t="s">
        <v>72</v>
      </c>
      <c r="D238" s="44" t="s">
        <v>1007</v>
      </c>
      <c r="E238" s="44" t="s">
        <v>1009</v>
      </c>
      <c r="F238" s="43" t="s">
        <v>1010</v>
      </c>
      <c r="G238" s="43" t="s">
        <v>1011</v>
      </c>
      <c r="H238" s="12" t="s">
        <v>919</v>
      </c>
      <c r="I238" s="12" t="s">
        <v>653</v>
      </c>
      <c r="J238" s="12" t="s">
        <v>919</v>
      </c>
      <c r="K238" s="12" t="s">
        <v>920</v>
      </c>
      <c r="L238" s="12" t="s">
        <v>921</v>
      </c>
    </row>
    <row r="239" spans="1:12" ht="52.8">
      <c r="A239" s="43" t="s">
        <v>1008</v>
      </c>
      <c r="B239" s="43" t="s">
        <v>409</v>
      </c>
      <c r="C239" s="43" t="s">
        <v>72</v>
      </c>
      <c r="D239" s="44" t="s">
        <v>1007</v>
      </c>
      <c r="E239" s="44" t="s">
        <v>1009</v>
      </c>
      <c r="F239" s="43" t="s">
        <v>1010</v>
      </c>
      <c r="G239" s="43" t="s">
        <v>1011</v>
      </c>
      <c r="H239" s="12" t="s">
        <v>911</v>
      </c>
      <c r="I239" s="12" t="s">
        <v>649</v>
      </c>
      <c r="J239" s="12" t="s">
        <v>911</v>
      </c>
      <c r="K239" s="12" t="s">
        <v>912</v>
      </c>
      <c r="L239" s="12" t="s">
        <v>911</v>
      </c>
    </row>
    <row r="240" spans="1:12" ht="52.8">
      <c r="A240" s="43" t="s">
        <v>1008</v>
      </c>
      <c r="B240" s="43" t="s">
        <v>409</v>
      </c>
      <c r="C240" s="43" t="s">
        <v>72</v>
      </c>
      <c r="D240" s="44" t="s">
        <v>1007</v>
      </c>
      <c r="E240" s="44" t="s">
        <v>1009</v>
      </c>
      <c r="F240" s="43" t="s">
        <v>1010</v>
      </c>
      <c r="G240" s="43" t="s">
        <v>1011</v>
      </c>
      <c r="H240" s="12" t="s">
        <v>917</v>
      </c>
      <c r="I240" s="12" t="s">
        <v>652</v>
      </c>
      <c r="J240" s="12" t="s">
        <v>917</v>
      </c>
      <c r="K240" s="12" t="s">
        <v>918</v>
      </c>
      <c r="L240" s="12" t="s">
        <v>917</v>
      </c>
    </row>
    <row r="241" spans="1:12" ht="52.8">
      <c r="A241" s="43" t="s">
        <v>1008</v>
      </c>
      <c r="B241" s="43" t="s">
        <v>409</v>
      </c>
      <c r="C241" s="43" t="s">
        <v>72</v>
      </c>
      <c r="D241" s="44" t="s">
        <v>1007</v>
      </c>
      <c r="E241" s="44" t="s">
        <v>1009</v>
      </c>
      <c r="F241" s="43" t="s">
        <v>1010</v>
      </c>
      <c r="G241" s="43" t="s">
        <v>1011</v>
      </c>
      <c r="H241" s="12" t="s">
        <v>915</v>
      </c>
      <c r="I241" s="12" t="s">
        <v>651</v>
      </c>
      <c r="J241" s="12" t="s">
        <v>915</v>
      </c>
      <c r="K241" s="12" t="s">
        <v>916</v>
      </c>
      <c r="L241" s="12" t="s">
        <v>915</v>
      </c>
    </row>
    <row r="242" spans="1:12" ht="66">
      <c r="A242" s="43" t="s">
        <v>1008</v>
      </c>
      <c r="B242" s="43" t="s">
        <v>409</v>
      </c>
      <c r="C242" s="43" t="s">
        <v>72</v>
      </c>
      <c r="D242" s="44" t="s">
        <v>1007</v>
      </c>
      <c r="E242" s="44" t="s">
        <v>1009</v>
      </c>
      <c r="F242" s="43" t="s">
        <v>1010</v>
      </c>
      <c r="G242" s="43" t="s">
        <v>1011</v>
      </c>
      <c r="H242" s="12" t="s">
        <v>1017</v>
      </c>
      <c r="I242" s="12" t="s">
        <v>655</v>
      </c>
      <c r="J242" s="12" t="s">
        <v>924</v>
      </c>
      <c r="K242" s="12" t="s">
        <v>925</v>
      </c>
      <c r="L242" s="12" t="s">
        <v>926</v>
      </c>
    </row>
    <row r="243" spans="1:12" ht="52.8">
      <c r="A243" s="43" t="s">
        <v>1008</v>
      </c>
      <c r="B243" s="43" t="s">
        <v>409</v>
      </c>
      <c r="C243" s="43" t="s">
        <v>72</v>
      </c>
      <c r="D243" s="44" t="s">
        <v>1007</v>
      </c>
      <c r="E243" s="44" t="s">
        <v>1009</v>
      </c>
      <c r="F243" s="43" t="s">
        <v>1010</v>
      </c>
      <c r="G243" s="43" t="s">
        <v>1011</v>
      </c>
      <c r="H243" s="12" t="s">
        <v>930</v>
      </c>
      <c r="I243" s="12" t="s">
        <v>657</v>
      </c>
      <c r="J243" s="12" t="s">
        <v>930</v>
      </c>
      <c r="K243" s="12" t="s">
        <v>931</v>
      </c>
      <c r="L243" s="12" t="s">
        <v>932</v>
      </c>
    </row>
    <row r="244" spans="1:12" ht="132">
      <c r="A244" s="43" t="s">
        <v>1008</v>
      </c>
      <c r="B244" s="43" t="s">
        <v>409</v>
      </c>
      <c r="C244" s="43" t="s">
        <v>72</v>
      </c>
      <c r="D244" s="44" t="s">
        <v>1007</v>
      </c>
      <c r="E244" s="44" t="s">
        <v>1009</v>
      </c>
      <c r="F244" s="43" t="s">
        <v>1010</v>
      </c>
      <c r="G244" s="43" t="s">
        <v>1011</v>
      </c>
      <c r="H244" s="12" t="s">
        <v>1018</v>
      </c>
      <c r="I244" s="12" t="s">
        <v>656</v>
      </c>
      <c r="J244" s="12" t="s">
        <v>927</v>
      </c>
      <c r="K244" s="12" t="s">
        <v>928</v>
      </c>
      <c r="L244" s="12" t="s">
        <v>929</v>
      </c>
    </row>
    <row r="245" spans="1:12" ht="66">
      <c r="A245" s="43" t="s">
        <v>1008</v>
      </c>
      <c r="B245" s="43" t="s">
        <v>409</v>
      </c>
      <c r="C245" s="43" t="s">
        <v>72</v>
      </c>
      <c r="D245" s="44" t="s">
        <v>1007</v>
      </c>
      <c r="E245" s="44" t="s">
        <v>1009</v>
      </c>
      <c r="F245" s="43" t="s">
        <v>1010</v>
      </c>
      <c r="G245" s="43" t="s">
        <v>1011</v>
      </c>
      <c r="H245" s="12" t="s">
        <v>875</v>
      </c>
      <c r="I245" s="12" t="s">
        <v>634</v>
      </c>
      <c r="J245" s="12" t="s">
        <v>875</v>
      </c>
      <c r="K245" s="12" t="s">
        <v>876</v>
      </c>
      <c r="L245" s="12" t="s">
        <v>875</v>
      </c>
    </row>
    <row r="246" spans="1:12" ht="52.8">
      <c r="A246" s="43" t="s">
        <v>1008</v>
      </c>
      <c r="B246" s="43" t="s">
        <v>409</v>
      </c>
      <c r="C246" s="43" t="s">
        <v>72</v>
      </c>
      <c r="D246" s="44" t="s">
        <v>1007</v>
      </c>
      <c r="E246" s="44" t="s">
        <v>1009</v>
      </c>
      <c r="F246" s="43" t="s">
        <v>1010</v>
      </c>
      <c r="G246" s="43" t="s">
        <v>1011</v>
      </c>
      <c r="H246" s="12" t="s">
        <v>933</v>
      </c>
      <c r="I246" s="12" t="s">
        <v>658</v>
      </c>
      <c r="J246" s="12" t="s">
        <v>933</v>
      </c>
      <c r="K246" s="12" t="s">
        <v>934</v>
      </c>
      <c r="L246" s="12" t="s">
        <v>935</v>
      </c>
    </row>
    <row r="247" spans="1:12" ht="52.8">
      <c r="A247" s="43" t="s">
        <v>1008</v>
      </c>
      <c r="B247" s="43" t="s">
        <v>409</v>
      </c>
      <c r="C247" s="43" t="s">
        <v>72</v>
      </c>
      <c r="D247" s="44" t="s">
        <v>1007</v>
      </c>
      <c r="E247" s="44" t="s">
        <v>1009</v>
      </c>
      <c r="F247" s="43" t="s">
        <v>1010</v>
      </c>
      <c r="G247" s="43" t="s">
        <v>1011</v>
      </c>
      <c r="H247" s="12" t="s">
        <v>939</v>
      </c>
      <c r="I247" s="12" t="s">
        <v>660</v>
      </c>
      <c r="J247" s="12" t="s">
        <v>939</v>
      </c>
      <c r="K247" s="12" t="s">
        <v>940</v>
      </c>
      <c r="L247" s="12" t="s">
        <v>939</v>
      </c>
    </row>
    <row r="248" spans="1:12" ht="52.8">
      <c r="A248" s="43" t="s">
        <v>1008</v>
      </c>
      <c r="B248" s="43" t="s">
        <v>409</v>
      </c>
      <c r="C248" s="43" t="s">
        <v>72</v>
      </c>
      <c r="D248" s="44" t="s">
        <v>1007</v>
      </c>
      <c r="E248" s="44" t="s">
        <v>1009</v>
      </c>
      <c r="F248" s="43" t="s">
        <v>1010</v>
      </c>
      <c r="G248" s="43" t="s">
        <v>1011</v>
      </c>
      <c r="H248" s="12" t="s">
        <v>941</v>
      </c>
      <c r="I248" s="12" t="s">
        <v>661</v>
      </c>
      <c r="J248" s="12" t="s">
        <v>941</v>
      </c>
      <c r="K248" s="12" t="s">
        <v>942</v>
      </c>
      <c r="L248" s="12" t="s">
        <v>943</v>
      </c>
    </row>
    <row r="249" spans="1:12" ht="52.8">
      <c r="A249" s="43" t="s">
        <v>1008</v>
      </c>
      <c r="B249" s="43" t="s">
        <v>409</v>
      </c>
      <c r="C249" s="43" t="s">
        <v>72</v>
      </c>
      <c r="D249" s="44" t="s">
        <v>1007</v>
      </c>
      <c r="E249" s="44" t="s">
        <v>1009</v>
      </c>
      <c r="F249" s="43" t="s">
        <v>1010</v>
      </c>
      <c r="G249" s="43" t="s">
        <v>1011</v>
      </c>
      <c r="H249" s="12" t="s">
        <v>956</v>
      </c>
      <c r="I249" s="12" t="s">
        <v>666</v>
      </c>
      <c r="J249" s="12" t="s">
        <v>956</v>
      </c>
      <c r="K249" s="12" t="s">
        <v>957</v>
      </c>
      <c r="L249" s="12" t="s">
        <v>958</v>
      </c>
    </row>
    <row r="250" spans="1:12" ht="66">
      <c r="A250" s="43" t="s">
        <v>1008</v>
      </c>
      <c r="B250" s="43" t="s">
        <v>409</v>
      </c>
      <c r="C250" s="43" t="s">
        <v>72</v>
      </c>
      <c r="D250" s="44" t="s">
        <v>1007</v>
      </c>
      <c r="E250" s="44" t="s">
        <v>1009</v>
      </c>
      <c r="F250" s="43" t="s">
        <v>1010</v>
      </c>
      <c r="G250" s="43" t="s">
        <v>1011</v>
      </c>
      <c r="H250" s="12" t="s">
        <v>947</v>
      </c>
      <c r="I250" s="12" t="s">
        <v>663</v>
      </c>
      <c r="J250" s="12" t="s">
        <v>947</v>
      </c>
      <c r="K250" s="12" t="s">
        <v>948</v>
      </c>
      <c r="L250" s="12" t="s">
        <v>949</v>
      </c>
    </row>
    <row r="251" spans="1:12" ht="52.8">
      <c r="A251" s="43" t="s">
        <v>1008</v>
      </c>
      <c r="B251" s="43" t="s">
        <v>409</v>
      </c>
      <c r="C251" s="43" t="s">
        <v>72</v>
      </c>
      <c r="D251" s="44" t="s">
        <v>1007</v>
      </c>
      <c r="E251" s="44" t="s">
        <v>1009</v>
      </c>
      <c r="F251" s="43" t="s">
        <v>1010</v>
      </c>
      <c r="G251" s="43" t="s">
        <v>1011</v>
      </c>
      <c r="H251" s="12" t="s">
        <v>922</v>
      </c>
      <c r="I251" s="12" t="s">
        <v>654</v>
      </c>
      <c r="J251" s="12" t="s">
        <v>922</v>
      </c>
      <c r="K251" s="12" t="s">
        <v>923</v>
      </c>
      <c r="L251" s="12" t="s">
        <v>922</v>
      </c>
    </row>
    <row r="252" spans="1:12" ht="66">
      <c r="A252" s="43" t="s">
        <v>1008</v>
      </c>
      <c r="B252" s="43" t="s">
        <v>409</v>
      </c>
      <c r="C252" s="43" t="s">
        <v>72</v>
      </c>
      <c r="D252" s="44" t="s">
        <v>1007</v>
      </c>
      <c r="E252" s="44" t="s">
        <v>1009</v>
      </c>
      <c r="F252" s="43" t="s">
        <v>1010</v>
      </c>
      <c r="G252" s="43" t="s">
        <v>1011</v>
      </c>
      <c r="H252" s="12" t="s">
        <v>968</v>
      </c>
      <c r="I252" s="12" t="s">
        <v>671</v>
      </c>
      <c r="J252" s="12" t="s">
        <v>968</v>
      </c>
      <c r="K252" s="12" t="s">
        <v>969</v>
      </c>
      <c r="L252" s="12" t="s">
        <v>970</v>
      </c>
    </row>
    <row r="253" spans="1:12" ht="52.8">
      <c r="A253" s="43" t="s">
        <v>1008</v>
      </c>
      <c r="B253" s="43" t="s">
        <v>409</v>
      </c>
      <c r="C253" s="43" t="s">
        <v>72</v>
      </c>
      <c r="D253" s="44" t="s">
        <v>1007</v>
      </c>
      <c r="E253" s="44" t="s">
        <v>1009</v>
      </c>
      <c r="F253" s="43" t="s">
        <v>1010</v>
      </c>
      <c r="G253" s="43" t="s">
        <v>1011</v>
      </c>
      <c r="H253" s="12" t="s">
        <v>936</v>
      </c>
      <c r="I253" s="12" t="s">
        <v>659</v>
      </c>
      <c r="J253" s="12" t="s">
        <v>936</v>
      </c>
      <c r="K253" s="12" t="s">
        <v>937</v>
      </c>
      <c r="L253" s="12" t="s">
        <v>938</v>
      </c>
    </row>
    <row r="254" spans="1:12" ht="66">
      <c r="A254" s="43" t="s">
        <v>1008</v>
      </c>
      <c r="B254" s="43" t="s">
        <v>409</v>
      </c>
      <c r="C254" s="43" t="s">
        <v>72</v>
      </c>
      <c r="D254" s="44" t="s">
        <v>1007</v>
      </c>
      <c r="E254" s="44" t="s">
        <v>1009</v>
      </c>
      <c r="F254" s="43" t="s">
        <v>1010</v>
      </c>
      <c r="G254" s="43" t="s">
        <v>1011</v>
      </c>
      <c r="H254" s="12" t="s">
        <v>959</v>
      </c>
      <c r="I254" s="12" t="s">
        <v>667</v>
      </c>
      <c r="J254" s="12" t="s">
        <v>959</v>
      </c>
      <c r="K254" s="12" t="s">
        <v>960</v>
      </c>
      <c r="L254" s="12" t="s">
        <v>959</v>
      </c>
    </row>
    <row r="255" spans="1:12" ht="52.8">
      <c r="A255" s="43" t="s">
        <v>1008</v>
      </c>
      <c r="B255" s="43" t="s">
        <v>409</v>
      </c>
      <c r="C255" s="43" t="s">
        <v>72</v>
      </c>
      <c r="D255" s="44" t="s">
        <v>1007</v>
      </c>
      <c r="E255" s="44" t="s">
        <v>1009</v>
      </c>
      <c r="F255" s="43" t="s">
        <v>1010</v>
      </c>
      <c r="G255" s="43" t="s">
        <v>1011</v>
      </c>
      <c r="H255" s="12" t="s">
        <v>965</v>
      </c>
      <c r="I255" s="12" t="s">
        <v>670</v>
      </c>
      <c r="J255" s="12" t="s">
        <v>965</v>
      </c>
      <c r="K255" s="12" t="s">
        <v>966</v>
      </c>
      <c r="L255" s="12" t="s">
        <v>967</v>
      </c>
    </row>
    <row r="256" spans="1:12" ht="52.8">
      <c r="A256" s="43" t="s">
        <v>1008</v>
      </c>
      <c r="B256" s="43" t="s">
        <v>409</v>
      </c>
      <c r="C256" s="43" t="s">
        <v>72</v>
      </c>
      <c r="D256" s="44" t="s">
        <v>1007</v>
      </c>
      <c r="E256" s="44" t="s">
        <v>1009</v>
      </c>
      <c r="F256" s="43" t="s">
        <v>1010</v>
      </c>
      <c r="G256" s="43" t="s">
        <v>1011</v>
      </c>
      <c r="H256" s="12" t="s">
        <v>973</v>
      </c>
      <c r="I256" s="12" t="s">
        <v>672</v>
      </c>
      <c r="J256" s="12" t="s">
        <v>971</v>
      </c>
      <c r="K256" s="12" t="s">
        <v>972</v>
      </c>
      <c r="L256" s="12" t="s">
        <v>973</v>
      </c>
    </row>
    <row r="257" spans="1:12" ht="52.8">
      <c r="A257" s="43" t="s">
        <v>1008</v>
      </c>
      <c r="B257" s="43" t="s">
        <v>409</v>
      </c>
      <c r="C257" s="43" t="s">
        <v>72</v>
      </c>
      <c r="D257" s="44" t="s">
        <v>1007</v>
      </c>
      <c r="E257" s="44" t="s">
        <v>1009</v>
      </c>
      <c r="F257" s="43" t="s">
        <v>1010</v>
      </c>
      <c r="G257" s="43" t="s">
        <v>1011</v>
      </c>
      <c r="H257" s="12" t="s">
        <v>961</v>
      </c>
      <c r="I257" s="12" t="s">
        <v>668</v>
      </c>
      <c r="J257" s="12" t="s">
        <v>961</v>
      </c>
      <c r="K257" s="12" t="s">
        <v>962</v>
      </c>
      <c r="L257" s="12" t="s">
        <v>961</v>
      </c>
    </row>
    <row r="258" spans="1:12" ht="52.8">
      <c r="A258" s="43" t="s">
        <v>1008</v>
      </c>
      <c r="B258" s="43" t="s">
        <v>409</v>
      </c>
      <c r="C258" s="43" t="s">
        <v>72</v>
      </c>
      <c r="D258" s="44" t="s">
        <v>1007</v>
      </c>
      <c r="E258" s="44" t="s">
        <v>1009</v>
      </c>
      <c r="F258" s="43" t="s">
        <v>1010</v>
      </c>
      <c r="G258" s="43" t="s">
        <v>1011</v>
      </c>
      <c r="H258" s="12" t="s">
        <v>963</v>
      </c>
      <c r="I258" s="12" t="s">
        <v>669</v>
      </c>
      <c r="J258" s="12" t="s">
        <v>963</v>
      </c>
      <c r="K258" s="12" t="s">
        <v>964</v>
      </c>
      <c r="L258" s="12" t="s">
        <v>963</v>
      </c>
    </row>
    <row r="259" spans="1:12" ht="52.8">
      <c r="A259" s="43" t="s">
        <v>1008</v>
      </c>
      <c r="B259" s="43" t="s">
        <v>409</v>
      </c>
      <c r="C259" s="43" t="s">
        <v>72</v>
      </c>
      <c r="D259" s="44" t="s">
        <v>1007</v>
      </c>
      <c r="E259" s="44" t="s">
        <v>1009</v>
      </c>
      <c r="F259" s="43" t="s">
        <v>1010</v>
      </c>
      <c r="G259" s="43" t="s">
        <v>1011</v>
      </c>
      <c r="H259" s="12" t="s">
        <v>950</v>
      </c>
      <c r="I259" s="12" t="s">
        <v>664</v>
      </c>
      <c r="J259" s="12" t="s">
        <v>950</v>
      </c>
      <c r="K259" s="12" t="s">
        <v>951</v>
      </c>
      <c r="L259" s="12" t="s">
        <v>952</v>
      </c>
    </row>
    <row r="260" spans="1:12" ht="52.8">
      <c r="A260" s="43" t="s">
        <v>1008</v>
      </c>
      <c r="B260" s="43" t="s">
        <v>409</v>
      </c>
      <c r="C260" s="43" t="s">
        <v>72</v>
      </c>
      <c r="D260" s="44" t="s">
        <v>1007</v>
      </c>
      <c r="E260" s="44" t="s">
        <v>1009</v>
      </c>
      <c r="F260" s="43" t="s">
        <v>1010</v>
      </c>
      <c r="G260" s="43" t="s">
        <v>1011</v>
      </c>
      <c r="H260" s="12" t="s">
        <v>953</v>
      </c>
      <c r="I260" s="12" t="s">
        <v>665</v>
      </c>
      <c r="J260" s="12" t="s">
        <v>953</v>
      </c>
      <c r="K260" s="12" t="s">
        <v>954</v>
      </c>
      <c r="L260" s="12" t="s">
        <v>955</v>
      </c>
    </row>
    <row r="261" spans="1:12" ht="52.8">
      <c r="A261" s="43" t="s">
        <v>1008</v>
      </c>
      <c r="B261" s="43" t="s">
        <v>409</v>
      </c>
      <c r="C261" s="43" t="s">
        <v>72</v>
      </c>
      <c r="D261" s="44" t="s">
        <v>1007</v>
      </c>
      <c r="E261" s="44" t="s">
        <v>1009</v>
      </c>
      <c r="F261" s="43" t="s">
        <v>1010</v>
      </c>
      <c r="G261" s="43" t="s">
        <v>1011</v>
      </c>
      <c r="H261" s="12" t="s">
        <v>992</v>
      </c>
      <c r="I261" s="12" t="s">
        <v>680</v>
      </c>
      <c r="J261" s="12" t="s">
        <v>992</v>
      </c>
      <c r="K261" s="12" t="s">
        <v>993</v>
      </c>
      <c r="L261" s="12" t="s">
        <v>994</v>
      </c>
    </row>
    <row r="262" spans="1:12" ht="52.8">
      <c r="A262" s="43" t="s">
        <v>1008</v>
      </c>
      <c r="B262" s="43" t="s">
        <v>409</v>
      </c>
      <c r="C262" s="43" t="s">
        <v>72</v>
      </c>
      <c r="D262" s="44" t="s">
        <v>1007</v>
      </c>
      <c r="E262" s="44" t="s">
        <v>1009</v>
      </c>
      <c r="F262" s="43" t="s">
        <v>1010</v>
      </c>
      <c r="G262" s="43" t="s">
        <v>1011</v>
      </c>
      <c r="H262" s="12" t="s">
        <v>981</v>
      </c>
      <c r="I262" s="12" t="s">
        <v>676</v>
      </c>
      <c r="J262" s="12" t="s">
        <v>981</v>
      </c>
      <c r="K262" s="12" t="s">
        <v>982</v>
      </c>
      <c r="L262" s="12" t="s">
        <v>981</v>
      </c>
    </row>
    <row r="263" spans="1:12" ht="118.8">
      <c r="A263" s="43" t="s">
        <v>1008</v>
      </c>
      <c r="B263" s="43" t="s">
        <v>409</v>
      </c>
      <c r="C263" s="43" t="s">
        <v>72</v>
      </c>
      <c r="D263" s="44" t="s">
        <v>1007</v>
      </c>
      <c r="E263" s="44" t="s">
        <v>1009</v>
      </c>
      <c r="F263" s="43" t="s">
        <v>1010</v>
      </c>
      <c r="G263" s="43" t="s">
        <v>1011</v>
      </c>
      <c r="H263" s="12" t="s">
        <v>976</v>
      </c>
      <c r="I263" s="12" t="s">
        <v>673</v>
      </c>
      <c r="J263" s="12" t="s">
        <v>974</v>
      </c>
      <c r="K263" s="12" t="s">
        <v>975</v>
      </c>
      <c r="L263" s="12" t="s">
        <v>976</v>
      </c>
    </row>
    <row r="264" spans="1:12" ht="79.2">
      <c r="A264" s="43" t="s">
        <v>1008</v>
      </c>
      <c r="B264" s="43" t="s">
        <v>409</v>
      </c>
      <c r="C264" s="43" t="s">
        <v>72</v>
      </c>
      <c r="D264" s="44" t="s">
        <v>1007</v>
      </c>
      <c r="E264" s="44" t="s">
        <v>1009</v>
      </c>
      <c r="F264" s="43" t="s">
        <v>1010</v>
      </c>
      <c r="G264" s="43" t="s">
        <v>1011</v>
      </c>
      <c r="H264" s="12" t="s">
        <v>1019</v>
      </c>
      <c r="I264" s="12" t="s">
        <v>613</v>
      </c>
      <c r="J264" s="12" t="s">
        <v>824</v>
      </c>
      <c r="K264" s="12" t="s">
        <v>825</v>
      </c>
      <c r="L264" s="12" t="s">
        <v>826</v>
      </c>
    </row>
    <row r="265" spans="1:12" ht="52.8">
      <c r="A265" s="43" t="s">
        <v>1008</v>
      </c>
      <c r="B265" s="43" t="s">
        <v>409</v>
      </c>
      <c r="C265" s="43" t="s">
        <v>72</v>
      </c>
      <c r="D265" s="44" t="s">
        <v>1007</v>
      </c>
      <c r="E265" s="44" t="s">
        <v>1009</v>
      </c>
      <c r="F265" s="43" t="s">
        <v>1010</v>
      </c>
      <c r="G265" s="43" t="s">
        <v>1011</v>
      </c>
      <c r="H265" s="12" t="s">
        <v>848</v>
      </c>
      <c r="I265" s="12" t="s">
        <v>623</v>
      </c>
      <c r="J265" s="12" t="s">
        <v>848</v>
      </c>
      <c r="K265" s="12" t="s">
        <v>849</v>
      </c>
      <c r="L265" s="12" t="s">
        <v>848</v>
      </c>
    </row>
    <row r="266" spans="1:12" ht="52.8">
      <c r="A266" s="43" t="s">
        <v>1008</v>
      </c>
      <c r="B266" s="43" t="s">
        <v>409</v>
      </c>
      <c r="C266" s="43" t="s">
        <v>72</v>
      </c>
      <c r="D266" s="44" t="s">
        <v>1007</v>
      </c>
      <c r="E266" s="44" t="s">
        <v>1009</v>
      </c>
      <c r="F266" s="43" t="s">
        <v>1010</v>
      </c>
      <c r="G266" s="43" t="s">
        <v>1011</v>
      </c>
      <c r="H266" s="12" t="s">
        <v>983</v>
      </c>
      <c r="I266" s="12" t="s">
        <v>677</v>
      </c>
      <c r="J266" s="12" t="s">
        <v>983</v>
      </c>
      <c r="K266" s="12" t="s">
        <v>984</v>
      </c>
      <c r="L266" s="12" t="s">
        <v>985</v>
      </c>
    </row>
    <row r="267" spans="1:12" ht="105.6">
      <c r="A267" s="43" t="s">
        <v>1008</v>
      </c>
      <c r="B267" s="43" t="s">
        <v>409</v>
      </c>
      <c r="C267" s="43" t="s">
        <v>72</v>
      </c>
      <c r="D267" s="44" t="s">
        <v>1007</v>
      </c>
      <c r="E267" s="44" t="s">
        <v>1009</v>
      </c>
      <c r="F267" s="43" t="s">
        <v>1010</v>
      </c>
      <c r="G267" s="43" t="s">
        <v>1011</v>
      </c>
      <c r="H267" s="12" t="s">
        <v>901</v>
      </c>
      <c r="I267" s="12" t="s">
        <v>645</v>
      </c>
      <c r="J267" s="12" t="s">
        <v>901</v>
      </c>
      <c r="K267" s="12" t="s">
        <v>902</v>
      </c>
      <c r="L267" s="12" t="s">
        <v>903</v>
      </c>
    </row>
    <row r="268" spans="1:12" ht="52.8">
      <c r="A268" s="43" t="s">
        <v>1008</v>
      </c>
      <c r="B268" s="43" t="s">
        <v>409</v>
      </c>
      <c r="C268" s="43" t="s">
        <v>72</v>
      </c>
      <c r="D268" s="44" t="s">
        <v>1007</v>
      </c>
      <c r="E268" s="44" t="s">
        <v>1009</v>
      </c>
      <c r="F268" s="43" t="s">
        <v>1010</v>
      </c>
      <c r="G268" s="43" t="s">
        <v>1011</v>
      </c>
      <c r="H268" s="12" t="s">
        <v>833</v>
      </c>
      <c r="I268" s="12" t="s">
        <v>617</v>
      </c>
      <c r="J268" s="12" t="s">
        <v>833</v>
      </c>
      <c r="K268" s="12" t="s">
        <v>834</v>
      </c>
      <c r="L268" s="12" t="s">
        <v>833</v>
      </c>
    </row>
    <row r="269" spans="1:12" ht="118.8">
      <c r="A269" s="43" t="s">
        <v>1008</v>
      </c>
      <c r="B269" s="43" t="s">
        <v>409</v>
      </c>
      <c r="C269" s="43" t="s">
        <v>72</v>
      </c>
      <c r="D269" s="44" t="s">
        <v>1007</v>
      </c>
      <c r="E269" s="44" t="s">
        <v>1009</v>
      </c>
      <c r="F269" s="43" t="s">
        <v>1010</v>
      </c>
      <c r="G269" s="43" t="s">
        <v>1011</v>
      </c>
      <c r="H269" s="12" t="s">
        <v>1020</v>
      </c>
      <c r="I269" s="12" t="s">
        <v>679</v>
      </c>
      <c r="J269" s="12" t="s">
        <v>989</v>
      </c>
      <c r="K269" s="12" t="s">
        <v>990</v>
      </c>
      <c r="L269" s="12" t="s">
        <v>991</v>
      </c>
    </row>
    <row r="270" spans="1:12" ht="52.8">
      <c r="A270" s="43" t="s">
        <v>1008</v>
      </c>
      <c r="B270" s="43" t="s">
        <v>409</v>
      </c>
      <c r="C270" s="43" t="s">
        <v>72</v>
      </c>
      <c r="D270" s="44" t="s">
        <v>1007</v>
      </c>
      <c r="E270" s="44" t="s">
        <v>1009</v>
      </c>
      <c r="F270" s="43" t="s">
        <v>1010</v>
      </c>
      <c r="G270" s="43" t="s">
        <v>1011</v>
      </c>
      <c r="H270" s="12" t="s">
        <v>852</v>
      </c>
      <c r="I270" s="12" t="s">
        <v>624</v>
      </c>
      <c r="J270" s="12" t="s">
        <v>850</v>
      </c>
      <c r="K270" s="12" t="s">
        <v>851</v>
      </c>
      <c r="L270" s="12" t="s">
        <v>852</v>
      </c>
    </row>
    <row r="271" spans="1:12" ht="52.8">
      <c r="A271" s="43" t="s">
        <v>1008</v>
      </c>
      <c r="B271" s="43" t="s">
        <v>409</v>
      </c>
      <c r="C271" s="43" t="s">
        <v>72</v>
      </c>
      <c r="D271" s="44" t="s">
        <v>1007</v>
      </c>
      <c r="E271" s="44" t="s">
        <v>1009</v>
      </c>
      <c r="F271" s="43" t="s">
        <v>1010</v>
      </c>
      <c r="G271" s="43" t="s">
        <v>1011</v>
      </c>
      <c r="H271" s="12" t="s">
        <v>855</v>
      </c>
      <c r="I271" s="12" t="s">
        <v>625</v>
      </c>
      <c r="J271" s="12" t="s">
        <v>853</v>
      </c>
      <c r="K271" s="12" t="s">
        <v>854</v>
      </c>
      <c r="L271" s="12" t="s">
        <v>855</v>
      </c>
    </row>
    <row r="272" spans="1:12" ht="52.8">
      <c r="A272" s="43" t="s">
        <v>1008</v>
      </c>
      <c r="B272" s="43" t="s">
        <v>409</v>
      </c>
      <c r="C272" s="43" t="s">
        <v>72</v>
      </c>
      <c r="D272" s="44" t="s">
        <v>1007</v>
      </c>
      <c r="E272" s="44" t="s">
        <v>1009</v>
      </c>
      <c r="F272" s="43" t="s">
        <v>1010</v>
      </c>
      <c r="G272" s="43" t="s">
        <v>1011</v>
      </c>
      <c r="H272" s="12" t="s">
        <v>988</v>
      </c>
      <c r="I272" s="12" t="s">
        <v>678</v>
      </c>
      <c r="J272" s="12" t="s">
        <v>986</v>
      </c>
      <c r="K272" s="12" t="s">
        <v>987</v>
      </c>
      <c r="L272" s="12" t="s">
        <v>988</v>
      </c>
    </row>
    <row r="273" spans="1:12" ht="52.8">
      <c r="A273" s="43" t="s">
        <v>1008</v>
      </c>
      <c r="B273" s="43" t="s">
        <v>409</v>
      </c>
      <c r="C273" s="43" t="s">
        <v>72</v>
      </c>
      <c r="D273" s="44" t="s">
        <v>1007</v>
      </c>
      <c r="E273" s="44" t="s">
        <v>1009</v>
      </c>
      <c r="F273" s="43" t="s">
        <v>1010</v>
      </c>
      <c r="G273" s="43" t="s">
        <v>1011</v>
      </c>
      <c r="H273" s="12" t="s">
        <v>1000</v>
      </c>
      <c r="I273" s="12" t="s">
        <v>682</v>
      </c>
      <c r="J273" s="12" t="s">
        <v>998</v>
      </c>
      <c r="K273" s="12" t="s">
        <v>999</v>
      </c>
      <c r="L273" s="12" t="s">
        <v>1000</v>
      </c>
    </row>
    <row r="274" spans="1:12" ht="52.8">
      <c r="A274" s="43" t="s">
        <v>1008</v>
      </c>
      <c r="B274" s="43" t="s">
        <v>409</v>
      </c>
      <c r="C274" s="43" t="s">
        <v>72</v>
      </c>
      <c r="D274" s="44" t="s">
        <v>1007</v>
      </c>
      <c r="E274" s="44" t="s">
        <v>1009</v>
      </c>
      <c r="F274" s="43" t="s">
        <v>1010</v>
      </c>
      <c r="G274" s="43" t="s">
        <v>1011</v>
      </c>
      <c r="H274" s="12" t="s">
        <v>1004</v>
      </c>
      <c r="I274" s="12" t="s">
        <v>684</v>
      </c>
      <c r="J274" s="12" t="s">
        <v>1004</v>
      </c>
      <c r="K274" s="12" t="s">
        <v>1005</v>
      </c>
      <c r="L274" s="12" t="s">
        <v>1006</v>
      </c>
    </row>
    <row r="275" spans="1:12" ht="52.8">
      <c r="A275" s="43" t="s">
        <v>1008</v>
      </c>
      <c r="B275" s="43" t="s">
        <v>409</v>
      </c>
      <c r="C275" s="43" t="s">
        <v>72</v>
      </c>
      <c r="D275" s="44" t="s">
        <v>1007</v>
      </c>
      <c r="E275" s="44" t="s">
        <v>1009</v>
      </c>
      <c r="F275" s="43" t="s">
        <v>1010</v>
      </c>
      <c r="G275" s="43" t="s">
        <v>1011</v>
      </c>
      <c r="H275" s="12" t="s">
        <v>1001</v>
      </c>
      <c r="I275" s="12" t="s">
        <v>683</v>
      </c>
      <c r="J275" s="12" t="s">
        <v>1001</v>
      </c>
      <c r="K275" s="12" t="s">
        <v>1002</v>
      </c>
      <c r="L275" s="12" t="s">
        <v>1003</v>
      </c>
    </row>
    <row r="276" spans="1:12" ht="39.6">
      <c r="A276" s="12" t="s">
        <v>129</v>
      </c>
      <c r="B276" s="43" t="s">
        <v>120</v>
      </c>
      <c r="C276" s="12" t="s">
        <v>72</v>
      </c>
      <c r="D276" s="12" t="s">
        <v>182</v>
      </c>
      <c r="E276" s="12" t="s">
        <v>123</v>
      </c>
      <c r="F276" s="12" t="s">
        <v>130</v>
      </c>
      <c r="G276" s="12" t="s">
        <v>131</v>
      </c>
      <c r="H276" s="12" t="s">
        <v>144</v>
      </c>
      <c r="I276" s="12" t="s">
        <v>132</v>
      </c>
      <c r="J276" s="12"/>
      <c r="K276" s="12" t="s">
        <v>156</v>
      </c>
      <c r="L276" s="12" t="s">
        <v>157</v>
      </c>
    </row>
    <row r="277" spans="1:12" ht="39.6">
      <c r="A277" s="12" t="s">
        <v>129</v>
      </c>
      <c r="B277" s="43" t="s">
        <v>120</v>
      </c>
      <c r="C277" s="12" t="s">
        <v>72</v>
      </c>
      <c r="D277" s="12" t="s">
        <v>182</v>
      </c>
      <c r="E277" s="12" t="s">
        <v>123</v>
      </c>
      <c r="F277" s="12" t="s">
        <v>130</v>
      </c>
      <c r="G277" s="12" t="s">
        <v>131</v>
      </c>
      <c r="H277" s="12" t="s">
        <v>145</v>
      </c>
      <c r="I277" s="12" t="s">
        <v>133</v>
      </c>
      <c r="J277" s="12"/>
      <c r="K277" s="12" t="s">
        <v>158</v>
      </c>
      <c r="L277" s="12" t="s">
        <v>159</v>
      </c>
    </row>
    <row r="278" spans="1:12" ht="39.6">
      <c r="A278" s="12" t="s">
        <v>129</v>
      </c>
      <c r="B278" s="43" t="s">
        <v>120</v>
      </c>
      <c r="C278" s="12" t="s">
        <v>72</v>
      </c>
      <c r="D278" s="12" t="s">
        <v>182</v>
      </c>
      <c r="E278" s="12" t="s">
        <v>123</v>
      </c>
      <c r="F278" s="12" t="s">
        <v>130</v>
      </c>
      <c r="G278" s="12" t="s">
        <v>131</v>
      </c>
      <c r="H278" s="12" t="s">
        <v>146</v>
      </c>
      <c r="I278" s="12" t="s">
        <v>134</v>
      </c>
      <c r="J278" s="12" t="s">
        <v>160</v>
      </c>
      <c r="K278" s="12" t="s">
        <v>161</v>
      </c>
      <c r="L278" s="12" t="s">
        <v>162</v>
      </c>
    </row>
    <row r="279" spans="1:12" ht="39.6">
      <c r="A279" s="12" t="s">
        <v>129</v>
      </c>
      <c r="B279" s="43" t="s">
        <v>120</v>
      </c>
      <c r="C279" s="12" t="s">
        <v>72</v>
      </c>
      <c r="D279" s="12" t="s">
        <v>182</v>
      </c>
      <c r="E279" s="12" t="s">
        <v>123</v>
      </c>
      <c r="F279" s="12" t="s">
        <v>130</v>
      </c>
      <c r="G279" s="12" t="s">
        <v>131</v>
      </c>
      <c r="H279" s="12" t="s">
        <v>147</v>
      </c>
      <c r="I279" s="12" t="s">
        <v>135</v>
      </c>
      <c r="J279" s="12"/>
      <c r="K279" s="12" t="s">
        <v>163</v>
      </c>
      <c r="L279" s="12" t="s">
        <v>164</v>
      </c>
    </row>
    <row r="280" spans="1:12" ht="39.6">
      <c r="A280" s="12" t="s">
        <v>129</v>
      </c>
      <c r="B280" s="43" t="s">
        <v>120</v>
      </c>
      <c r="C280" s="12" t="s">
        <v>72</v>
      </c>
      <c r="D280" s="12" t="s">
        <v>182</v>
      </c>
      <c r="E280" s="12" t="s">
        <v>123</v>
      </c>
      <c r="F280" s="12" t="s">
        <v>130</v>
      </c>
      <c r="G280" s="12" t="s">
        <v>131</v>
      </c>
      <c r="H280" s="12" t="s">
        <v>148</v>
      </c>
      <c r="I280" s="12" t="s">
        <v>136</v>
      </c>
      <c r="J280" s="12" t="s">
        <v>165</v>
      </c>
      <c r="K280" s="12" t="s">
        <v>166</v>
      </c>
      <c r="L280" s="12" t="s">
        <v>167</v>
      </c>
    </row>
    <row r="281" spans="1:12" ht="39.6">
      <c r="A281" s="12" t="s">
        <v>129</v>
      </c>
      <c r="B281" s="43" t="s">
        <v>120</v>
      </c>
      <c r="C281" s="12" t="s">
        <v>72</v>
      </c>
      <c r="D281" s="12" t="s">
        <v>182</v>
      </c>
      <c r="E281" s="12" t="s">
        <v>123</v>
      </c>
      <c r="F281" s="12" t="s">
        <v>130</v>
      </c>
      <c r="G281" s="12" t="s">
        <v>131</v>
      </c>
      <c r="H281" s="12" t="s">
        <v>149</v>
      </c>
      <c r="I281" s="12" t="s">
        <v>137</v>
      </c>
      <c r="J281" s="12"/>
      <c r="K281" s="12" t="s">
        <v>168</v>
      </c>
      <c r="L281" s="12" t="s">
        <v>169</v>
      </c>
    </row>
    <row r="282" spans="1:12" ht="39.6">
      <c r="A282" s="12" t="s">
        <v>129</v>
      </c>
      <c r="B282" s="43" t="s">
        <v>120</v>
      </c>
      <c r="C282" s="12" t="s">
        <v>72</v>
      </c>
      <c r="D282" s="12" t="s">
        <v>182</v>
      </c>
      <c r="E282" s="12" t="s">
        <v>123</v>
      </c>
      <c r="F282" s="12" t="s">
        <v>130</v>
      </c>
      <c r="G282" s="12" t="s">
        <v>131</v>
      </c>
      <c r="H282" s="12" t="s">
        <v>150</v>
      </c>
      <c r="I282" s="12" t="s">
        <v>138</v>
      </c>
      <c r="J282" s="12"/>
      <c r="K282" s="12" t="s">
        <v>170</v>
      </c>
      <c r="L282" s="12" t="s">
        <v>171</v>
      </c>
    </row>
    <row r="283" spans="1:12" ht="39.6">
      <c r="A283" s="12" t="s">
        <v>129</v>
      </c>
      <c r="B283" s="43" t="s">
        <v>120</v>
      </c>
      <c r="C283" s="12" t="s">
        <v>72</v>
      </c>
      <c r="D283" s="12" t="s">
        <v>182</v>
      </c>
      <c r="E283" s="12" t="s">
        <v>123</v>
      </c>
      <c r="F283" s="12" t="s">
        <v>130</v>
      </c>
      <c r="G283" s="12" t="s">
        <v>131</v>
      </c>
      <c r="H283" s="12" t="s">
        <v>151</v>
      </c>
      <c r="I283" s="12" t="s">
        <v>139</v>
      </c>
      <c r="J283" s="12"/>
      <c r="K283" s="12" t="s">
        <v>172</v>
      </c>
      <c r="L283" s="12" t="s">
        <v>173</v>
      </c>
    </row>
    <row r="284" spans="1:12" ht="79.2">
      <c r="A284" s="12" t="s">
        <v>129</v>
      </c>
      <c r="B284" s="43" t="s">
        <v>120</v>
      </c>
      <c r="C284" s="12" t="s">
        <v>72</v>
      </c>
      <c r="D284" s="12" t="s">
        <v>182</v>
      </c>
      <c r="E284" s="12" t="s">
        <v>123</v>
      </c>
      <c r="F284" s="12" t="s">
        <v>130</v>
      </c>
      <c r="G284" s="12" t="s">
        <v>131</v>
      </c>
      <c r="H284" s="12" t="s">
        <v>152</v>
      </c>
      <c r="I284" s="12" t="s">
        <v>140</v>
      </c>
      <c r="J284" s="12"/>
      <c r="K284" s="12" t="s">
        <v>174</v>
      </c>
      <c r="L284" s="12" t="s">
        <v>175</v>
      </c>
    </row>
    <row r="285" spans="1:12" ht="39.6">
      <c r="A285" s="12" t="s">
        <v>129</v>
      </c>
      <c r="B285" s="43" t="s">
        <v>120</v>
      </c>
      <c r="C285" s="12" t="s">
        <v>72</v>
      </c>
      <c r="D285" s="12" t="s">
        <v>182</v>
      </c>
      <c r="E285" s="12" t="s">
        <v>123</v>
      </c>
      <c r="F285" s="12" t="s">
        <v>130</v>
      </c>
      <c r="G285" s="12" t="s">
        <v>131</v>
      </c>
      <c r="H285" s="12" t="s">
        <v>153</v>
      </c>
      <c r="I285" s="12" t="s">
        <v>141</v>
      </c>
      <c r="J285" s="12"/>
      <c r="K285" s="12" t="s">
        <v>176</v>
      </c>
      <c r="L285" s="12" t="s">
        <v>177</v>
      </c>
    </row>
    <row r="286" spans="1:12" ht="39.6">
      <c r="A286" s="12" t="s">
        <v>129</v>
      </c>
      <c r="B286" s="43" t="s">
        <v>120</v>
      </c>
      <c r="C286" s="12" t="s">
        <v>72</v>
      </c>
      <c r="D286" s="12" t="s">
        <v>182</v>
      </c>
      <c r="E286" s="12" t="s">
        <v>123</v>
      </c>
      <c r="F286" s="12" t="s">
        <v>130</v>
      </c>
      <c r="G286" s="12" t="s">
        <v>131</v>
      </c>
      <c r="H286" s="12" t="s">
        <v>154</v>
      </c>
      <c r="I286" s="12" t="s">
        <v>142</v>
      </c>
      <c r="J286" s="12"/>
      <c r="K286" s="12" t="s">
        <v>178</v>
      </c>
      <c r="L286" s="12" t="s">
        <v>179</v>
      </c>
    </row>
    <row r="287" spans="1:12" ht="52.8">
      <c r="A287" s="12" t="s">
        <v>129</v>
      </c>
      <c r="B287" s="43" t="s">
        <v>120</v>
      </c>
      <c r="C287" s="12" t="s">
        <v>72</v>
      </c>
      <c r="D287" s="12" t="s">
        <v>182</v>
      </c>
      <c r="E287" s="12" t="s">
        <v>123</v>
      </c>
      <c r="F287" s="12" t="s">
        <v>130</v>
      </c>
      <c r="G287" s="12" t="s">
        <v>131</v>
      </c>
      <c r="H287" s="12" t="s">
        <v>155</v>
      </c>
      <c r="I287" s="12" t="s">
        <v>143</v>
      </c>
      <c r="J287" s="12"/>
      <c r="K287" s="12" t="s">
        <v>180</v>
      </c>
      <c r="L287" s="12" t="s">
        <v>181</v>
      </c>
    </row>
  </sheetData>
  <autoFilter ref="A2:L2" xr:uid="{30026A67-EC33-4B60-8C93-4DE7C27A55AF}"/>
  <mergeCells count="2">
    <mergeCell ref="H1:L1"/>
    <mergeCell ref="A1:G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F3FBB-81D3-47B1-9E5F-ABF8EB1EA531}">
  <sheetPr codeName="Sheet8"/>
  <dimension ref="A1:B2"/>
  <sheetViews>
    <sheetView workbookViewId="0">
      <pane ySplit="1" topLeftCell="A2" activePane="bottomLeft" state="frozen"/>
      <selection pane="bottomLeft" activeCell="A2" sqref="A2"/>
    </sheetView>
  </sheetViews>
  <sheetFormatPr defaultRowHeight="13.2"/>
  <cols>
    <col min="1" max="1" width="22.21875" style="39" customWidth="1"/>
    <col min="2" max="2" width="89.109375" style="39" customWidth="1"/>
    <col min="3" max="16384" width="8.88671875" style="39"/>
  </cols>
  <sheetData>
    <row r="1" spans="1:2">
      <c r="A1" s="11" t="s">
        <v>242</v>
      </c>
      <c r="B1" s="11" t="s">
        <v>243</v>
      </c>
    </row>
    <row r="2" spans="1:2" ht="39.6">
      <c r="A2" s="40" t="s">
        <v>205</v>
      </c>
      <c r="B2" s="40" t="s">
        <v>244</v>
      </c>
    </row>
  </sheetData>
  <autoFilter ref="A1:B2" xr:uid="{758F3FBB-81D3-47B1-9E5F-ABF8EB1EA53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6BDF-748C-41FF-8411-4EB62BE4D9FB}">
  <sheetPr codeName="Sheet4">
    <tabColor rgb="FFC00000"/>
  </sheetPr>
  <dimension ref="A1:M23"/>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2" t="s">
        <v>26</v>
      </c>
      <c r="C1" s="19"/>
      <c r="D1" s="19"/>
      <c r="E1" s="19"/>
      <c r="F1" s="19"/>
      <c r="G1" s="19"/>
      <c r="H1" s="19"/>
      <c r="I1" s="19"/>
      <c r="J1" s="19"/>
      <c r="K1" s="19"/>
      <c r="L1" s="19"/>
      <c r="M1" s="19"/>
    </row>
    <row r="2" spans="1:13">
      <c r="A2" s="13" t="str">
        <f>DatasetsName!$C$1</f>
        <v>Dataset Description</v>
      </c>
      <c r="B2" s="19" t="str">
        <f>INDEX(DatasetsName!A1:J107,MATCH(B1,DatasetsName!B:B, 0),3)</f>
        <v>Trial Arms</v>
      </c>
      <c r="C2" s="19"/>
      <c r="D2" s="19"/>
      <c r="E2" s="19"/>
      <c r="F2" s="19"/>
      <c r="G2" s="19"/>
      <c r="H2" s="19"/>
      <c r="I2" s="19"/>
      <c r="J2" s="19"/>
      <c r="K2" s="19"/>
      <c r="L2" s="19"/>
      <c r="M2" s="19"/>
    </row>
    <row r="3" spans="1:13">
      <c r="A3" s="13" t="str">
        <f>DatasetsName!$D$1</f>
        <v>Dataset Class</v>
      </c>
      <c r="B3" s="19" t="str">
        <f>INDEX(DatasetsName!A1:J107,MATCH(B1,DatasetsName!B:B, 0),4)</f>
        <v>Trial Design</v>
      </c>
      <c r="C3" s="19"/>
      <c r="D3" s="19"/>
      <c r="E3" s="19"/>
      <c r="F3" s="19"/>
      <c r="G3" s="19"/>
      <c r="H3" s="19"/>
      <c r="I3" s="19"/>
      <c r="J3" s="19"/>
      <c r="K3" s="19"/>
      <c r="L3" s="19"/>
      <c r="M3" s="19"/>
    </row>
    <row r="4" spans="1:13">
      <c r="A4" s="13" t="str">
        <f>DatasetsName!$E$1</f>
        <v>Dataset Structure</v>
      </c>
      <c r="B4" s="19" t="str">
        <f>INDEX(DatasetsName!A1:J107,MATCH(B1,DatasetsName!B:B, 0),5)</f>
        <v>One record per planned Element per Arm</v>
      </c>
      <c r="C4" s="19"/>
      <c r="D4" s="19"/>
      <c r="E4" s="19"/>
      <c r="F4" s="19"/>
      <c r="G4" s="19"/>
      <c r="H4" s="19"/>
      <c r="I4" s="19"/>
      <c r="J4" s="19"/>
      <c r="K4" s="19"/>
      <c r="L4" s="19"/>
      <c r="M4" s="19"/>
    </row>
    <row r="5" spans="1:13">
      <c r="A5" s="13" t="str">
        <f>DatasetsName!$F$1</f>
        <v>Dataset Purpose</v>
      </c>
      <c r="B5" s="19" t="str">
        <f>INDEX(DatasetsName!A1:J107,MATCH(B1,DatasetsName!B:B, 0),6)</f>
        <v>Tabulation</v>
      </c>
      <c r="C5" s="19"/>
      <c r="D5" s="19"/>
      <c r="E5" s="19"/>
      <c r="F5" s="19"/>
      <c r="G5" s="19"/>
      <c r="H5" s="19"/>
      <c r="I5" s="19"/>
      <c r="J5" s="19"/>
      <c r="K5" s="19"/>
      <c r="L5" s="19"/>
      <c r="M5" s="19"/>
    </row>
    <row r="6" spans="1:13">
      <c r="A6" s="13" t="str">
        <f>DatasetsName!$G$1</f>
        <v>Dataset Keys</v>
      </c>
      <c r="B6" s="19" t="str">
        <f>INDEX(DatasetsName!A1:J107,MATCH(B1,DatasetsName!B:B, 0),7)</f>
        <v>STUDYID, ARMCD, TAETORD</v>
      </c>
      <c r="C6" s="19"/>
      <c r="D6" s="19"/>
      <c r="E6" s="19"/>
      <c r="F6" s="19"/>
      <c r="G6" s="19"/>
      <c r="H6" s="19"/>
      <c r="I6" s="19"/>
      <c r="J6" s="19"/>
      <c r="K6" s="19"/>
      <c r="L6" s="19"/>
      <c r="M6" s="19"/>
    </row>
    <row r="7" spans="1:13">
      <c r="A7" s="13" t="str">
        <f>DatasetsName!$H$1</f>
        <v>Dataset Location</v>
      </c>
      <c r="B7" s="19" t="str">
        <f>INDEX(DatasetsName!A1:J107,MATCH(B1,DatasetsName!B:B, 0),8)</f>
        <v>ta.xpt</v>
      </c>
      <c r="C7" s="19"/>
      <c r="D7" s="19"/>
      <c r="E7" s="19"/>
      <c r="F7" s="19"/>
      <c r="G7" s="19"/>
      <c r="H7" s="19"/>
      <c r="I7" s="19"/>
      <c r="J7" s="19"/>
      <c r="K7" s="19"/>
      <c r="L7" s="19"/>
      <c r="M7" s="19"/>
    </row>
    <row r="8" spans="1:13">
      <c r="A8" s="13" t="s">
        <v>54</v>
      </c>
      <c r="B8" s="19" t="str">
        <f>INDEX(DatasetsName!A1:J107,MATCH(B1,DatasetsName!B:B, 0),9)</f>
        <v>&lt;enter program location&gt;</v>
      </c>
      <c r="C8" s="19"/>
      <c r="D8" s="19"/>
      <c r="E8" s="19"/>
      <c r="F8" s="19"/>
      <c r="G8" s="19"/>
      <c r="H8" s="19"/>
      <c r="I8" s="19"/>
      <c r="J8" s="19"/>
      <c r="K8" s="19"/>
      <c r="L8" s="19"/>
      <c r="M8" s="19"/>
    </row>
    <row r="9" spans="1:13">
      <c r="A9" s="13" t="s">
        <v>52</v>
      </c>
      <c r="B9" s="20" t="s">
        <v>189</v>
      </c>
      <c r="C9" s="20"/>
      <c r="D9" s="20"/>
      <c r="E9" s="20"/>
      <c r="F9" s="20"/>
      <c r="G9" s="20"/>
      <c r="H9" s="20"/>
      <c r="I9" s="20"/>
      <c r="J9" s="20"/>
      <c r="K9" s="20"/>
      <c r="L9" s="20"/>
      <c r="M9" s="20"/>
    </row>
    <row r="10" spans="1:13">
      <c r="A10" s="13" t="s">
        <v>53</v>
      </c>
      <c r="B10" s="20" t="s">
        <v>190</v>
      </c>
      <c r="C10" s="20"/>
      <c r="D10" s="20"/>
      <c r="E10" s="20"/>
      <c r="F10" s="20"/>
      <c r="G10" s="20"/>
      <c r="H10" s="20"/>
      <c r="I10" s="20"/>
      <c r="J10" s="20"/>
      <c r="K10" s="20"/>
      <c r="L10" s="20"/>
      <c r="M10" s="20"/>
    </row>
    <row r="11" spans="1:13">
      <c r="A11" s="13" t="s">
        <v>191</v>
      </c>
      <c r="B11" s="21" t="s">
        <v>192</v>
      </c>
      <c r="C11" s="22"/>
      <c r="D11" s="22"/>
      <c r="E11" s="22"/>
      <c r="F11" s="22"/>
      <c r="G11" s="22"/>
      <c r="H11" s="22"/>
      <c r="I11" s="22"/>
      <c r="J11" s="22"/>
      <c r="K11" s="22"/>
      <c r="L11" s="22"/>
      <c r="M11" s="2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TA</v>
      </c>
      <c r="B14" s="12" t="s">
        <v>55</v>
      </c>
      <c r="C14" s="12" t="s">
        <v>56</v>
      </c>
      <c r="D14" s="12" t="s">
        <v>57</v>
      </c>
      <c r="E14" s="12"/>
      <c r="F14" s="12">
        <v>1</v>
      </c>
      <c r="G14" s="12" t="s">
        <v>58</v>
      </c>
      <c r="H14" s="12" t="s">
        <v>59</v>
      </c>
      <c r="I14" s="6" t="s">
        <v>94</v>
      </c>
      <c r="J14" s="12" t="s">
        <v>60</v>
      </c>
      <c r="K14" s="12"/>
      <c r="L14" s="12" t="s">
        <v>61</v>
      </c>
      <c r="M14" s="12" t="s">
        <v>62</v>
      </c>
    </row>
    <row r="15" spans="1:13" ht="26.4">
      <c r="A15" s="12" t="str">
        <f>A14</f>
        <v>TA</v>
      </c>
      <c r="B15" s="12" t="s">
        <v>63</v>
      </c>
      <c r="C15" s="12" t="s">
        <v>64</v>
      </c>
      <c r="D15" s="12" t="s">
        <v>57</v>
      </c>
      <c r="E15" s="14" t="str" cm="1">
        <f t="array" aca="1" ref="E15" ca="1">HYPERLINK("#"&amp;CELL("address", INDEX(ControlledTerms!H:H,MATCH(B1,ControlledTerms!H:H,0))),B1)</f>
        <v>TA</v>
      </c>
      <c r="F15" s="12">
        <v>2</v>
      </c>
      <c r="G15" s="12" t="s">
        <v>58</v>
      </c>
      <c r="H15" s="12" t="s">
        <v>83</v>
      </c>
      <c r="I15" s="12">
        <v>2</v>
      </c>
      <c r="J15" s="12" t="s">
        <v>84</v>
      </c>
      <c r="K15" s="12"/>
      <c r="L15" s="12" t="s">
        <v>85</v>
      </c>
      <c r="M15" s="12" t="s">
        <v>62</v>
      </c>
    </row>
    <row r="16" spans="1:13" ht="171.6">
      <c r="A16" s="12" t="str">
        <f t="shared" ref="A16:A23" si="0">A15</f>
        <v>TA</v>
      </c>
      <c r="B16" s="12" t="s">
        <v>86</v>
      </c>
      <c r="C16" s="12" t="s">
        <v>87</v>
      </c>
      <c r="D16" s="12" t="s">
        <v>57</v>
      </c>
      <c r="E16" s="12" t="s">
        <v>88</v>
      </c>
      <c r="F16" s="12">
        <v>3</v>
      </c>
      <c r="G16" s="12" t="s">
        <v>89</v>
      </c>
      <c r="H16" s="12" t="s">
        <v>83</v>
      </c>
      <c r="I16" s="6" t="s">
        <v>95</v>
      </c>
      <c r="J16" s="6" t="s">
        <v>97</v>
      </c>
      <c r="K16" s="12"/>
      <c r="L16" s="12" t="s">
        <v>90</v>
      </c>
      <c r="M16" s="12" t="s">
        <v>62</v>
      </c>
    </row>
    <row r="17" spans="1:13" ht="158.4">
      <c r="A17" s="12" t="str">
        <f t="shared" si="0"/>
        <v>TA</v>
      </c>
      <c r="B17" s="12" t="s">
        <v>91</v>
      </c>
      <c r="C17" s="12" t="s">
        <v>92</v>
      </c>
      <c r="D17" s="12" t="s">
        <v>57</v>
      </c>
      <c r="E17" s="12" t="s">
        <v>88</v>
      </c>
      <c r="F17" s="12">
        <v>4</v>
      </c>
      <c r="G17" s="12" t="s">
        <v>93</v>
      </c>
      <c r="H17" s="12" t="s">
        <v>59</v>
      </c>
      <c r="I17" s="6" t="s">
        <v>96</v>
      </c>
      <c r="J17" s="6" t="s">
        <v>98</v>
      </c>
      <c r="K17" s="12"/>
      <c r="L17" s="12" t="s">
        <v>99</v>
      </c>
      <c r="M17" s="12" t="s">
        <v>62</v>
      </c>
    </row>
    <row r="18" spans="1:13" ht="26.4">
      <c r="A18" s="12" t="str">
        <f t="shared" si="0"/>
        <v>TA</v>
      </c>
      <c r="B18" s="12" t="s">
        <v>100</v>
      </c>
      <c r="C18" s="12" t="s">
        <v>101</v>
      </c>
      <c r="D18" s="12" t="s">
        <v>102</v>
      </c>
      <c r="E18" s="12"/>
      <c r="F18" s="12">
        <v>5</v>
      </c>
      <c r="G18" s="12" t="s">
        <v>103</v>
      </c>
      <c r="H18" s="12" t="s">
        <v>83</v>
      </c>
      <c r="I18" s="12">
        <v>8</v>
      </c>
      <c r="J18" s="6" t="s">
        <v>105</v>
      </c>
      <c r="K18" s="12"/>
      <c r="L18" s="12" t="s">
        <v>104</v>
      </c>
      <c r="M18" s="12" t="s">
        <v>62</v>
      </c>
    </row>
    <row r="19" spans="1:13" ht="132">
      <c r="A19" s="12" t="str">
        <f t="shared" si="0"/>
        <v>TA</v>
      </c>
      <c r="B19" s="12" t="s">
        <v>106</v>
      </c>
      <c r="C19" s="12" t="s">
        <v>107</v>
      </c>
      <c r="D19" s="12" t="s">
        <v>57</v>
      </c>
      <c r="E19" s="12" t="s">
        <v>88</v>
      </c>
      <c r="F19" s="12">
        <v>6</v>
      </c>
      <c r="G19" s="12" t="s">
        <v>108</v>
      </c>
      <c r="H19" s="12" t="s">
        <v>83</v>
      </c>
      <c r="I19" s="6" t="s">
        <v>109</v>
      </c>
      <c r="J19" s="6" t="s">
        <v>111</v>
      </c>
      <c r="K19" s="12"/>
      <c r="L19" s="12" t="s">
        <v>110</v>
      </c>
      <c r="M19" s="12" t="s">
        <v>62</v>
      </c>
    </row>
    <row r="20" spans="1:13" ht="118.8">
      <c r="A20" s="12" t="str">
        <f t="shared" si="0"/>
        <v>TA</v>
      </c>
      <c r="B20" s="12" t="s">
        <v>112</v>
      </c>
      <c r="C20" s="12" t="s">
        <v>113</v>
      </c>
      <c r="D20" s="12" t="s">
        <v>57</v>
      </c>
      <c r="E20" s="12" t="s">
        <v>88</v>
      </c>
      <c r="F20" s="12">
        <v>7</v>
      </c>
      <c r="G20" s="12" t="s">
        <v>93</v>
      </c>
      <c r="H20" s="12" t="s">
        <v>59</v>
      </c>
      <c r="I20" s="6" t="s">
        <v>116</v>
      </c>
      <c r="J20" s="6" t="s">
        <v>117</v>
      </c>
      <c r="K20" s="12"/>
      <c r="L20" s="12" t="s">
        <v>114</v>
      </c>
      <c r="M20" s="12" t="s">
        <v>115</v>
      </c>
    </row>
    <row r="21" spans="1:13" ht="118.8">
      <c r="A21" s="12" t="str">
        <f t="shared" si="0"/>
        <v>TA</v>
      </c>
      <c r="B21" s="12" t="s">
        <v>118</v>
      </c>
      <c r="C21" s="12" t="s">
        <v>121</v>
      </c>
      <c r="D21" s="12" t="s">
        <v>57</v>
      </c>
      <c r="E21" s="12" t="s">
        <v>88</v>
      </c>
      <c r="F21" s="12">
        <v>8</v>
      </c>
      <c r="G21" s="12" t="s">
        <v>124</v>
      </c>
      <c r="H21" s="12" t="s">
        <v>59</v>
      </c>
      <c r="I21" s="6" t="s">
        <v>183</v>
      </c>
      <c r="J21" s="6" t="s">
        <v>186</v>
      </c>
      <c r="K21" s="12"/>
      <c r="L21" s="12" t="s">
        <v>125</v>
      </c>
      <c r="M21" s="12" t="s">
        <v>127</v>
      </c>
    </row>
    <row r="22" spans="1:13" ht="132">
      <c r="A22" s="12" t="str">
        <f t="shared" si="0"/>
        <v>TA</v>
      </c>
      <c r="B22" s="12" t="s">
        <v>119</v>
      </c>
      <c r="C22" s="12" t="s">
        <v>122</v>
      </c>
      <c r="D22" s="12" t="s">
        <v>57</v>
      </c>
      <c r="E22" s="12" t="s">
        <v>88</v>
      </c>
      <c r="F22" s="12">
        <v>9</v>
      </c>
      <c r="G22" s="12" t="s">
        <v>124</v>
      </c>
      <c r="H22" s="12" t="s">
        <v>59</v>
      </c>
      <c r="I22" s="6" t="s">
        <v>184</v>
      </c>
      <c r="J22" s="6" t="s">
        <v>187</v>
      </c>
      <c r="K22" s="12"/>
      <c r="L22" s="12" t="s">
        <v>126</v>
      </c>
      <c r="M22" s="12" t="s">
        <v>127</v>
      </c>
    </row>
    <row r="23" spans="1:13" ht="118.8">
      <c r="A23" s="12" t="str">
        <f t="shared" si="0"/>
        <v>TA</v>
      </c>
      <c r="B23" s="12" t="s">
        <v>120</v>
      </c>
      <c r="C23" s="12" t="s">
        <v>123</v>
      </c>
      <c r="D23" s="12" t="s">
        <v>57</v>
      </c>
      <c r="E23" s="15" t="str" cm="1">
        <f t="array" aca="1" ref="E23" ca="1">HYPERLINK("#"&amp;CELL("address", INDEX(ControlledTerms!D:D,MATCH("C99079",ControlledTerms!D:D,0))),"(EPOCH)")</f>
        <v>(EPOCH)</v>
      </c>
      <c r="F23" s="12">
        <v>10</v>
      </c>
      <c r="G23" s="12" t="s">
        <v>103</v>
      </c>
      <c r="H23" s="12" t="s">
        <v>59</v>
      </c>
      <c r="I23" s="6" t="s">
        <v>185</v>
      </c>
      <c r="J23" s="6" t="s">
        <v>188</v>
      </c>
      <c r="K23" s="12"/>
      <c r="L23" s="12" t="s">
        <v>128</v>
      </c>
      <c r="M23" s="12" t="s">
        <v>62</v>
      </c>
    </row>
  </sheetData>
  <autoFilter ref="A13:M23"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384" xr:uid="{8F788DDF-A837-4656-A8D0-48DE62DABBCB}"/>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E6E17-46B8-4BDF-90D3-E2EE49D43A0E}">
  <sheetPr codeName="Sheet6">
    <tabColor rgb="FFC00000"/>
  </sheetPr>
  <dimension ref="A1:M20"/>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2" t="s">
        <v>193</v>
      </c>
      <c r="C1" s="19"/>
      <c r="D1" s="19"/>
      <c r="E1" s="19"/>
      <c r="F1" s="19"/>
      <c r="G1" s="19"/>
      <c r="H1" s="19"/>
      <c r="I1" s="19"/>
      <c r="J1" s="19"/>
      <c r="K1" s="19"/>
      <c r="L1" s="19"/>
      <c r="M1" s="19"/>
    </row>
    <row r="2" spans="1:13">
      <c r="A2" s="13" t="str">
        <f>DatasetsName!$C$1</f>
        <v>Dataset Description</v>
      </c>
      <c r="B2" s="19" t="str">
        <f>INDEX(DatasetsName!A1:J107,MATCH(B1,DatasetsName!B:B, 0),3)</f>
        <v>Trial Elements</v>
      </c>
      <c r="C2" s="19"/>
      <c r="D2" s="19"/>
      <c r="E2" s="19"/>
      <c r="F2" s="19"/>
      <c r="G2" s="19"/>
      <c r="H2" s="19"/>
      <c r="I2" s="19"/>
      <c r="J2" s="19"/>
      <c r="K2" s="19"/>
      <c r="L2" s="19"/>
      <c r="M2" s="19"/>
    </row>
    <row r="3" spans="1:13">
      <c r="A3" s="13" t="str">
        <f>DatasetsName!$D$1</f>
        <v>Dataset Class</v>
      </c>
      <c r="B3" s="19" t="str">
        <f>INDEX(DatasetsName!A1:J107,MATCH(B1,DatasetsName!B:B, 0),4)</f>
        <v>Trial Design</v>
      </c>
      <c r="C3" s="19"/>
      <c r="D3" s="19"/>
      <c r="E3" s="19"/>
      <c r="F3" s="19"/>
      <c r="G3" s="19"/>
      <c r="H3" s="19"/>
      <c r="I3" s="19"/>
      <c r="J3" s="19"/>
      <c r="K3" s="19"/>
      <c r="L3" s="19"/>
      <c r="M3" s="19"/>
    </row>
    <row r="4" spans="1:13">
      <c r="A4" s="13" t="str">
        <f>DatasetsName!$E$1</f>
        <v>Dataset Structure</v>
      </c>
      <c r="B4" s="19" t="str">
        <f>INDEX(DatasetsName!A1:J107,MATCH(B1,DatasetsName!B:B, 0),5)</f>
        <v>One record per planned Element</v>
      </c>
      <c r="C4" s="19"/>
      <c r="D4" s="19"/>
      <c r="E4" s="19"/>
      <c r="F4" s="19"/>
      <c r="G4" s="19"/>
      <c r="H4" s="19"/>
      <c r="I4" s="19"/>
      <c r="J4" s="19"/>
      <c r="K4" s="19"/>
      <c r="L4" s="19"/>
      <c r="M4" s="19"/>
    </row>
    <row r="5" spans="1:13">
      <c r="A5" s="13" t="str">
        <f>DatasetsName!$F$1</f>
        <v>Dataset Purpose</v>
      </c>
      <c r="B5" s="19" t="str">
        <f>INDEX(DatasetsName!A1:J107,MATCH(B1,DatasetsName!B:B, 0),6)</f>
        <v>Tabulation</v>
      </c>
      <c r="C5" s="19"/>
      <c r="D5" s="19"/>
      <c r="E5" s="19"/>
      <c r="F5" s="19"/>
      <c r="G5" s="19"/>
      <c r="H5" s="19"/>
      <c r="I5" s="19"/>
      <c r="J5" s="19"/>
      <c r="K5" s="19"/>
      <c r="L5" s="19"/>
      <c r="M5" s="19"/>
    </row>
    <row r="6" spans="1:13">
      <c r="A6" s="13" t="str">
        <f>DatasetsName!$G$1</f>
        <v>Dataset Keys</v>
      </c>
      <c r="B6" s="19" t="str">
        <f>INDEX(DatasetsName!A1:J107,MATCH(B1,DatasetsName!B:B, 0),7)</f>
        <v>STUDYID, ETCD</v>
      </c>
      <c r="C6" s="19"/>
      <c r="D6" s="19"/>
      <c r="E6" s="19"/>
      <c r="F6" s="19"/>
      <c r="G6" s="19"/>
      <c r="H6" s="19"/>
      <c r="I6" s="19"/>
      <c r="J6" s="19"/>
      <c r="K6" s="19"/>
      <c r="L6" s="19"/>
      <c r="M6" s="19"/>
    </row>
    <row r="7" spans="1:13">
      <c r="A7" s="13" t="str">
        <f>DatasetsName!$H$1</f>
        <v>Dataset Location</v>
      </c>
      <c r="B7" s="19" t="str">
        <f>INDEX(DatasetsName!A1:J107,MATCH(B1,DatasetsName!B:B, 0),8)</f>
        <v>te.xpt</v>
      </c>
      <c r="C7" s="19"/>
      <c r="D7" s="19"/>
      <c r="E7" s="19"/>
      <c r="F7" s="19"/>
      <c r="G7" s="19"/>
      <c r="H7" s="19"/>
      <c r="I7" s="19"/>
      <c r="J7" s="19"/>
      <c r="K7" s="19"/>
      <c r="L7" s="19"/>
      <c r="M7" s="19"/>
    </row>
    <row r="8" spans="1:13">
      <c r="A8" s="13" t="s">
        <v>54</v>
      </c>
      <c r="B8" s="19" t="str">
        <f>INDEX(DatasetsName!A1:J107,MATCH(B1,DatasetsName!B:B, 0),9)</f>
        <v>&lt;enter program location&gt;</v>
      </c>
      <c r="C8" s="19"/>
      <c r="D8" s="19"/>
      <c r="E8" s="19"/>
      <c r="F8" s="19"/>
      <c r="G8" s="19"/>
      <c r="H8" s="19"/>
      <c r="I8" s="19"/>
      <c r="J8" s="19"/>
      <c r="K8" s="19"/>
      <c r="L8" s="19"/>
      <c r="M8" s="19"/>
    </row>
    <row r="9" spans="1:13">
      <c r="A9" s="13" t="s">
        <v>52</v>
      </c>
      <c r="B9" s="20" t="s">
        <v>189</v>
      </c>
      <c r="C9" s="20"/>
      <c r="D9" s="20"/>
      <c r="E9" s="20"/>
      <c r="F9" s="20"/>
      <c r="G9" s="20"/>
      <c r="H9" s="20"/>
      <c r="I9" s="20"/>
      <c r="J9" s="20"/>
      <c r="K9" s="20"/>
      <c r="L9" s="20"/>
      <c r="M9" s="20"/>
    </row>
    <row r="10" spans="1:13">
      <c r="A10" s="13" t="s">
        <v>53</v>
      </c>
      <c r="B10" s="20" t="s">
        <v>190</v>
      </c>
      <c r="C10" s="20"/>
      <c r="D10" s="20"/>
      <c r="E10" s="20"/>
      <c r="F10" s="20"/>
      <c r="G10" s="20"/>
      <c r="H10" s="20"/>
      <c r="I10" s="20"/>
      <c r="J10" s="20"/>
      <c r="K10" s="20"/>
      <c r="L10" s="20"/>
      <c r="M10" s="20"/>
    </row>
    <row r="11" spans="1:13">
      <c r="A11" s="13" t="s">
        <v>191</v>
      </c>
      <c r="B11" s="23" t="s">
        <v>198</v>
      </c>
      <c r="C11" s="22"/>
      <c r="D11" s="22"/>
      <c r="E11" s="22"/>
      <c r="F11" s="22"/>
      <c r="G11" s="22"/>
      <c r="H11" s="22"/>
      <c r="I11" s="22"/>
      <c r="J11" s="22"/>
      <c r="K11" s="22"/>
      <c r="L11" s="22"/>
      <c r="M11" s="2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TE</v>
      </c>
      <c r="B14" s="12" t="s">
        <v>55</v>
      </c>
      <c r="C14" s="12" t="s">
        <v>56</v>
      </c>
      <c r="D14" s="12" t="s">
        <v>57</v>
      </c>
      <c r="E14" s="12"/>
      <c r="F14" s="12">
        <v>1</v>
      </c>
      <c r="G14" s="12" t="s">
        <v>58</v>
      </c>
      <c r="H14" s="12" t="s">
        <v>59</v>
      </c>
      <c r="I14" s="6" t="s">
        <v>94</v>
      </c>
      <c r="J14" s="12" t="s">
        <v>60</v>
      </c>
      <c r="K14" s="12"/>
      <c r="L14" s="12" t="s">
        <v>61</v>
      </c>
      <c r="M14" s="12" t="s">
        <v>62</v>
      </c>
    </row>
    <row r="15" spans="1:13" ht="26.4">
      <c r="A15" s="12" t="str">
        <f>A14</f>
        <v>TE</v>
      </c>
      <c r="B15" s="12" t="s">
        <v>63</v>
      </c>
      <c r="C15" s="12" t="s">
        <v>64</v>
      </c>
      <c r="D15" s="12" t="s">
        <v>57</v>
      </c>
      <c r="E15" s="15" t="str" cm="1">
        <f t="array" aca="1" ref="E15" ca="1">HYPERLINK("#"&amp;CELL("address", INDEX(ControlledTerms!H:H,MATCH(B1,ControlledTerms!H:H,0))),B1)</f>
        <v>TE</v>
      </c>
      <c r="F15" s="12">
        <v>2</v>
      </c>
      <c r="G15" s="12" t="s">
        <v>58</v>
      </c>
      <c r="H15" s="12" t="s">
        <v>83</v>
      </c>
      <c r="I15" s="12">
        <v>2</v>
      </c>
      <c r="J15" s="12" t="s">
        <v>238</v>
      </c>
      <c r="K15" s="12"/>
      <c r="L15" s="12" t="s">
        <v>85</v>
      </c>
      <c r="M15" s="12" t="s">
        <v>62</v>
      </c>
    </row>
    <row r="16" spans="1:13" ht="132">
      <c r="A16" s="12" t="str">
        <f t="shared" ref="A16:A20" si="0">A15</f>
        <v>TE</v>
      </c>
      <c r="B16" s="12" t="s">
        <v>106</v>
      </c>
      <c r="C16" s="12" t="s">
        <v>107</v>
      </c>
      <c r="D16" s="12" t="s">
        <v>57</v>
      </c>
      <c r="E16" s="12"/>
      <c r="F16" s="12">
        <v>3</v>
      </c>
      <c r="G16" s="12" t="s">
        <v>89</v>
      </c>
      <c r="H16" s="12" t="s">
        <v>83</v>
      </c>
      <c r="I16" s="6" t="s">
        <v>109</v>
      </c>
      <c r="J16" s="6" t="s">
        <v>111</v>
      </c>
      <c r="K16" s="12"/>
      <c r="L16" s="12" t="s">
        <v>206</v>
      </c>
      <c r="M16" s="12" t="s">
        <v>62</v>
      </c>
    </row>
    <row r="17" spans="1:13" ht="118.8">
      <c r="A17" s="12" t="str">
        <f t="shared" si="0"/>
        <v>TE</v>
      </c>
      <c r="B17" s="12" t="s">
        <v>112</v>
      </c>
      <c r="C17" s="12" t="s">
        <v>113</v>
      </c>
      <c r="D17" s="12" t="s">
        <v>57</v>
      </c>
      <c r="E17" s="12"/>
      <c r="F17" s="12">
        <v>4</v>
      </c>
      <c r="G17" s="12" t="s">
        <v>93</v>
      </c>
      <c r="H17" s="12" t="s">
        <v>59</v>
      </c>
      <c r="I17" s="6" t="s">
        <v>116</v>
      </c>
      <c r="J17" s="6" t="s">
        <v>117</v>
      </c>
      <c r="K17" s="12"/>
      <c r="L17" s="12" t="s">
        <v>207</v>
      </c>
      <c r="M17" s="12" t="s">
        <v>62</v>
      </c>
    </row>
    <row r="18" spans="1:13" ht="118.8">
      <c r="A18" s="12" t="str">
        <f t="shared" si="0"/>
        <v>TE</v>
      </c>
      <c r="B18" s="12" t="s">
        <v>199</v>
      </c>
      <c r="C18" s="12" t="s">
        <v>202</v>
      </c>
      <c r="D18" s="12" t="s">
        <v>57</v>
      </c>
      <c r="E18" s="12"/>
      <c r="F18" s="12">
        <v>5</v>
      </c>
      <c r="G18" s="12" t="s">
        <v>124</v>
      </c>
      <c r="H18" s="12" t="s">
        <v>59</v>
      </c>
      <c r="I18" s="6" t="s">
        <v>245</v>
      </c>
      <c r="J18" s="6" t="s">
        <v>240</v>
      </c>
      <c r="K18" s="12"/>
      <c r="L18" s="12" t="s">
        <v>208</v>
      </c>
      <c r="M18" s="12" t="s">
        <v>62</v>
      </c>
    </row>
    <row r="19" spans="1:13" ht="118.8">
      <c r="A19" s="12" t="str">
        <f t="shared" si="0"/>
        <v>TE</v>
      </c>
      <c r="B19" s="12" t="s">
        <v>200</v>
      </c>
      <c r="C19" s="12" t="s">
        <v>203</v>
      </c>
      <c r="D19" s="12" t="s">
        <v>57</v>
      </c>
      <c r="E19" s="12"/>
      <c r="F19" s="12">
        <v>6</v>
      </c>
      <c r="G19" s="12" t="s">
        <v>124</v>
      </c>
      <c r="H19" s="12" t="s">
        <v>59</v>
      </c>
      <c r="I19" s="6" t="s">
        <v>245</v>
      </c>
      <c r="J19" s="6" t="s">
        <v>239</v>
      </c>
      <c r="K19" s="12"/>
      <c r="L19" s="12" t="s">
        <v>209</v>
      </c>
      <c r="M19" s="12" t="s">
        <v>115</v>
      </c>
    </row>
    <row r="20" spans="1:13" ht="118.8">
      <c r="A20" s="12" t="str">
        <f t="shared" si="0"/>
        <v>TE</v>
      </c>
      <c r="B20" s="12" t="s">
        <v>201</v>
      </c>
      <c r="C20" s="12" t="s">
        <v>204</v>
      </c>
      <c r="D20" s="12" t="s">
        <v>57</v>
      </c>
      <c r="E20" s="15" t="str" cm="1">
        <f t="array" aca="1" ref="E20" ca="1">HYPERLINK("#"&amp;CELL("address", INDEX(Format!A:A,MATCH("ISO 8601 duration",Format!A:A,0))),"ISO 8601 duration")</f>
        <v>ISO 8601 duration</v>
      </c>
      <c r="F20" s="12">
        <v>7</v>
      </c>
      <c r="G20" s="12" t="s">
        <v>103</v>
      </c>
      <c r="H20" s="12" t="s">
        <v>59</v>
      </c>
      <c r="I20" s="6" t="s">
        <v>245</v>
      </c>
      <c r="J20" s="6" t="s">
        <v>241</v>
      </c>
      <c r="K20" s="12"/>
      <c r="L20" s="12" t="s">
        <v>210</v>
      </c>
      <c r="M20" s="12" t="s">
        <v>115</v>
      </c>
    </row>
  </sheetData>
  <autoFilter ref="A13:M20"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402" xr:uid="{D4B06BF9-CA2F-438D-B722-A9BDB48B344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AE86C-6904-4245-985F-0E0DA595F2F9}">
  <sheetPr codeName="Sheet9">
    <tabColor rgb="FFC00000"/>
  </sheetPr>
  <dimension ref="A1:M22"/>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2" t="s">
        <v>249</v>
      </c>
      <c r="C1" s="19"/>
      <c r="D1" s="19"/>
      <c r="E1" s="19"/>
      <c r="F1" s="19"/>
      <c r="G1" s="19"/>
      <c r="H1" s="19"/>
      <c r="I1" s="19"/>
      <c r="J1" s="19"/>
      <c r="K1" s="19"/>
      <c r="L1" s="19"/>
      <c r="M1" s="19"/>
    </row>
    <row r="2" spans="1:13">
      <c r="A2" s="13" t="str">
        <f>DatasetsName!$C$1</f>
        <v>Dataset Description</v>
      </c>
      <c r="B2" s="19" t="str">
        <f>INDEX(DatasetsName!A1:J107,MATCH(B1,DatasetsName!B:B, 0),3)</f>
        <v>Trial Visits</v>
      </c>
      <c r="C2" s="19"/>
      <c r="D2" s="19"/>
      <c r="E2" s="19"/>
      <c r="F2" s="19"/>
      <c r="G2" s="19"/>
      <c r="H2" s="19"/>
      <c r="I2" s="19"/>
      <c r="J2" s="19"/>
      <c r="K2" s="19"/>
      <c r="L2" s="19"/>
      <c r="M2" s="19"/>
    </row>
    <row r="3" spans="1:13">
      <c r="A3" s="13" t="str">
        <f>DatasetsName!$D$1</f>
        <v>Dataset Class</v>
      </c>
      <c r="B3" s="19" t="str">
        <f>INDEX(DatasetsName!A1:J107,MATCH(B1,DatasetsName!B:B, 0),4)</f>
        <v>Trial Design</v>
      </c>
      <c r="C3" s="19"/>
      <c r="D3" s="19"/>
      <c r="E3" s="19"/>
      <c r="F3" s="19"/>
      <c r="G3" s="19"/>
      <c r="H3" s="19"/>
      <c r="I3" s="19"/>
      <c r="J3" s="19"/>
      <c r="K3" s="19"/>
      <c r="L3" s="19"/>
      <c r="M3" s="19"/>
    </row>
    <row r="4" spans="1:13">
      <c r="A4" s="13" t="str">
        <f>DatasetsName!$E$1</f>
        <v>Dataset Structure</v>
      </c>
      <c r="B4" s="19" t="str">
        <f>INDEX(DatasetsName!A1:J107,MATCH(B1,DatasetsName!B:B, 0),5)</f>
        <v>One record per planned Visit per Arm</v>
      </c>
      <c r="C4" s="19"/>
      <c r="D4" s="19"/>
      <c r="E4" s="19"/>
      <c r="F4" s="19"/>
      <c r="G4" s="19"/>
      <c r="H4" s="19"/>
      <c r="I4" s="19"/>
      <c r="J4" s="19"/>
      <c r="K4" s="19"/>
      <c r="L4" s="19"/>
      <c r="M4" s="19"/>
    </row>
    <row r="5" spans="1:13">
      <c r="A5" s="13" t="str">
        <f>DatasetsName!$F$1</f>
        <v>Dataset Purpose</v>
      </c>
      <c r="B5" s="19" t="str">
        <f>INDEX(DatasetsName!A1:J107,MATCH(B1,DatasetsName!B:B, 0),6)</f>
        <v>Tabulation</v>
      </c>
      <c r="C5" s="19"/>
      <c r="D5" s="19"/>
      <c r="E5" s="19"/>
      <c r="F5" s="19"/>
      <c r="G5" s="19"/>
      <c r="H5" s="19"/>
      <c r="I5" s="19"/>
      <c r="J5" s="19"/>
      <c r="K5" s="19"/>
      <c r="L5" s="19"/>
      <c r="M5" s="19"/>
    </row>
    <row r="6" spans="1:13">
      <c r="A6" s="13" t="str">
        <f>DatasetsName!$G$1</f>
        <v>Dataset Keys</v>
      </c>
      <c r="B6" s="19" t="str">
        <f>INDEX(DatasetsName!A1:J107,MATCH(B1,DatasetsName!B:B, 0),7)</f>
        <v>STUDYID, ARM, VISIT</v>
      </c>
      <c r="C6" s="19"/>
      <c r="D6" s="19"/>
      <c r="E6" s="19"/>
      <c r="F6" s="19"/>
      <c r="G6" s="19"/>
      <c r="H6" s="19"/>
      <c r="I6" s="19"/>
      <c r="J6" s="19"/>
      <c r="K6" s="19"/>
      <c r="L6" s="19"/>
      <c r="M6" s="19"/>
    </row>
    <row r="7" spans="1:13">
      <c r="A7" s="13" t="str">
        <f>DatasetsName!$H$1</f>
        <v>Dataset Location</v>
      </c>
      <c r="B7" s="19" t="str">
        <f>INDEX(DatasetsName!A1:J107,MATCH(B1,DatasetsName!B:B, 0),8)</f>
        <v>tv.xpt</v>
      </c>
      <c r="C7" s="19"/>
      <c r="D7" s="19"/>
      <c r="E7" s="19"/>
      <c r="F7" s="19"/>
      <c r="G7" s="19"/>
      <c r="H7" s="19"/>
      <c r="I7" s="19"/>
      <c r="J7" s="19"/>
      <c r="K7" s="19"/>
      <c r="L7" s="19"/>
      <c r="M7" s="19"/>
    </row>
    <row r="8" spans="1:13">
      <c r="A8" s="13" t="s">
        <v>54</v>
      </c>
      <c r="B8" s="19" t="str">
        <f>INDEX(DatasetsName!A1:J107,MATCH(B1,DatasetsName!B:B, 0),9)</f>
        <v>&lt;enter program location&gt;</v>
      </c>
      <c r="C8" s="19"/>
      <c r="D8" s="19"/>
      <c r="E8" s="19"/>
      <c r="F8" s="19"/>
      <c r="G8" s="19"/>
      <c r="H8" s="19"/>
      <c r="I8" s="19"/>
      <c r="J8" s="19"/>
      <c r="K8" s="19"/>
      <c r="L8" s="19"/>
      <c r="M8" s="19"/>
    </row>
    <row r="9" spans="1:13">
      <c r="A9" s="13" t="s">
        <v>52</v>
      </c>
      <c r="B9" s="20" t="s">
        <v>189</v>
      </c>
      <c r="C9" s="20"/>
      <c r="D9" s="20"/>
      <c r="E9" s="20"/>
      <c r="F9" s="20"/>
      <c r="G9" s="20"/>
      <c r="H9" s="20"/>
      <c r="I9" s="20"/>
      <c r="J9" s="20"/>
      <c r="K9" s="20"/>
      <c r="L9" s="20"/>
      <c r="M9" s="20"/>
    </row>
    <row r="10" spans="1:13">
      <c r="A10" s="13" t="s">
        <v>53</v>
      </c>
      <c r="B10" s="20" t="s">
        <v>190</v>
      </c>
      <c r="C10" s="20"/>
      <c r="D10" s="20"/>
      <c r="E10" s="20"/>
      <c r="F10" s="20"/>
      <c r="G10" s="20"/>
      <c r="H10" s="20"/>
      <c r="I10" s="20"/>
      <c r="J10" s="20"/>
      <c r="K10" s="20"/>
      <c r="L10" s="20"/>
      <c r="M10" s="20"/>
    </row>
    <row r="11" spans="1:13">
      <c r="A11" s="13" t="s">
        <v>191</v>
      </c>
      <c r="B11" s="23" t="s">
        <v>253</v>
      </c>
      <c r="C11" s="22"/>
      <c r="D11" s="22"/>
      <c r="E11" s="22"/>
      <c r="F11" s="22"/>
      <c r="G11" s="22"/>
      <c r="H11" s="22"/>
      <c r="I11" s="22"/>
      <c r="J11" s="22"/>
      <c r="K11" s="22"/>
      <c r="L11" s="22"/>
      <c r="M11" s="2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TV</v>
      </c>
      <c r="B14" s="12" t="s">
        <v>55</v>
      </c>
      <c r="C14" s="12" t="s">
        <v>56</v>
      </c>
      <c r="D14" s="12" t="s">
        <v>57</v>
      </c>
      <c r="E14" s="12"/>
      <c r="F14" s="12">
        <v>1</v>
      </c>
      <c r="G14" s="12" t="s">
        <v>58</v>
      </c>
      <c r="H14" s="12" t="s">
        <v>59</v>
      </c>
      <c r="I14" s="6" t="s">
        <v>94</v>
      </c>
      <c r="J14" s="12" t="s">
        <v>60</v>
      </c>
      <c r="K14" s="12"/>
      <c r="L14" s="12" t="s">
        <v>61</v>
      </c>
      <c r="M14" s="12" t="s">
        <v>62</v>
      </c>
    </row>
    <row r="15" spans="1:13" ht="26.4">
      <c r="A15" s="12" t="str">
        <f>A14</f>
        <v>TV</v>
      </c>
      <c r="B15" s="12" t="s">
        <v>63</v>
      </c>
      <c r="C15" s="12" t="s">
        <v>64</v>
      </c>
      <c r="D15" s="12" t="s">
        <v>57</v>
      </c>
      <c r="E15" s="14" t="str" cm="1">
        <f t="array" aca="1" ref="E15" ca="1">HYPERLINK("#"&amp;CELL("address", INDEX(ControlledTerms!H:H,MATCH(B1,ControlledTerms!H:H,0))),B1)</f>
        <v>TV</v>
      </c>
      <c r="F15" s="12">
        <v>2</v>
      </c>
      <c r="G15" s="12" t="s">
        <v>58</v>
      </c>
      <c r="H15" s="12" t="s">
        <v>83</v>
      </c>
      <c r="I15" s="12">
        <v>2</v>
      </c>
      <c r="J15" s="43" t="s">
        <v>275</v>
      </c>
      <c r="K15" s="12"/>
      <c r="L15" s="12" t="s">
        <v>85</v>
      </c>
      <c r="M15" s="12" t="s">
        <v>62</v>
      </c>
    </row>
    <row r="16" spans="1:13" ht="26.4">
      <c r="A16" s="12" t="str">
        <f>A15</f>
        <v>TV</v>
      </c>
      <c r="B16" s="43" t="s">
        <v>258</v>
      </c>
      <c r="C16" s="43" t="s">
        <v>263</v>
      </c>
      <c r="D16" s="43" t="s">
        <v>102</v>
      </c>
      <c r="E16" s="12"/>
      <c r="F16" s="12">
        <v>3</v>
      </c>
      <c r="G16" s="43" t="s">
        <v>89</v>
      </c>
      <c r="H16" s="43" t="s">
        <v>83</v>
      </c>
      <c r="I16" s="12">
        <v>8</v>
      </c>
      <c r="J16" s="6" t="s">
        <v>276</v>
      </c>
      <c r="K16" s="12"/>
      <c r="L16" s="43" t="s">
        <v>268</v>
      </c>
      <c r="M16" s="43" t="s">
        <v>62</v>
      </c>
    </row>
    <row r="17" spans="1:13" ht="118.8">
      <c r="A17" s="12" t="str">
        <f t="shared" ref="A17:A21" si="0">A16</f>
        <v>TV</v>
      </c>
      <c r="B17" s="43" t="s">
        <v>259</v>
      </c>
      <c r="C17" s="43" t="s">
        <v>264</v>
      </c>
      <c r="D17" s="43" t="s">
        <v>57</v>
      </c>
      <c r="E17" s="12"/>
      <c r="F17" s="12">
        <v>4</v>
      </c>
      <c r="G17" s="43" t="s">
        <v>93</v>
      </c>
      <c r="H17" s="43" t="s">
        <v>59</v>
      </c>
      <c r="I17" s="6" t="s">
        <v>245</v>
      </c>
      <c r="J17" s="6" t="s">
        <v>277</v>
      </c>
      <c r="K17" s="12"/>
      <c r="L17" s="43" t="s">
        <v>269</v>
      </c>
      <c r="M17" s="43" t="s">
        <v>62</v>
      </c>
    </row>
    <row r="18" spans="1:13" ht="39.6">
      <c r="A18" s="12" t="str">
        <f t="shared" si="0"/>
        <v>TV</v>
      </c>
      <c r="B18" s="43" t="s">
        <v>260</v>
      </c>
      <c r="C18" s="43" t="s">
        <v>265</v>
      </c>
      <c r="D18" s="43" t="s">
        <v>102</v>
      </c>
      <c r="E18" s="12"/>
      <c r="F18" s="12">
        <v>5</v>
      </c>
      <c r="G18" s="43" t="s">
        <v>103</v>
      </c>
      <c r="H18" s="43" t="s">
        <v>59</v>
      </c>
      <c r="I18" s="12">
        <v>8</v>
      </c>
      <c r="J18" s="43" t="s">
        <v>278</v>
      </c>
      <c r="K18" s="12"/>
      <c r="L18" s="43" t="s">
        <v>270</v>
      </c>
      <c r="M18" s="43" t="s">
        <v>115</v>
      </c>
    </row>
    <row r="19" spans="1:13" ht="198">
      <c r="A19" s="12" t="str">
        <f t="shared" si="0"/>
        <v>TV</v>
      </c>
      <c r="B19" s="43" t="s">
        <v>86</v>
      </c>
      <c r="C19" s="43" t="s">
        <v>87</v>
      </c>
      <c r="D19" s="43" t="s">
        <v>57</v>
      </c>
      <c r="E19" s="12" t="s">
        <v>88</v>
      </c>
      <c r="F19" s="12">
        <v>6</v>
      </c>
      <c r="G19" s="43" t="s">
        <v>108</v>
      </c>
      <c r="H19" s="43" t="s">
        <v>83</v>
      </c>
      <c r="I19" s="6" t="s">
        <v>245</v>
      </c>
      <c r="J19" s="43" t="s">
        <v>279</v>
      </c>
      <c r="K19" s="12"/>
      <c r="L19" s="43" t="s">
        <v>271</v>
      </c>
      <c r="M19" s="43" t="s">
        <v>127</v>
      </c>
    </row>
    <row r="20" spans="1:13" ht="118.8">
      <c r="A20" s="12" t="str">
        <f t="shared" si="0"/>
        <v>TV</v>
      </c>
      <c r="B20" s="43" t="s">
        <v>91</v>
      </c>
      <c r="C20" s="43" t="s">
        <v>92</v>
      </c>
      <c r="D20" s="43" t="s">
        <v>57</v>
      </c>
      <c r="E20" s="12" t="s">
        <v>88</v>
      </c>
      <c r="F20" s="12">
        <v>7</v>
      </c>
      <c r="G20" s="43" t="s">
        <v>93</v>
      </c>
      <c r="H20" s="43" t="s">
        <v>59</v>
      </c>
      <c r="I20" s="6" t="s">
        <v>245</v>
      </c>
      <c r="J20" s="43" t="s">
        <v>280</v>
      </c>
      <c r="K20" s="12"/>
      <c r="L20" s="43" t="s">
        <v>272</v>
      </c>
      <c r="M20" s="43" t="s">
        <v>115</v>
      </c>
    </row>
    <row r="21" spans="1:13" ht="118.8">
      <c r="A21" s="12" t="str">
        <f t="shared" si="0"/>
        <v>TV</v>
      </c>
      <c r="B21" s="43" t="s">
        <v>261</v>
      </c>
      <c r="C21" s="43" t="s">
        <v>266</v>
      </c>
      <c r="D21" s="43" t="s">
        <v>57</v>
      </c>
      <c r="E21" s="12"/>
      <c r="F21" s="12">
        <v>8</v>
      </c>
      <c r="G21" s="43" t="s">
        <v>124</v>
      </c>
      <c r="H21" s="43" t="s">
        <v>83</v>
      </c>
      <c r="I21" s="6" t="s">
        <v>245</v>
      </c>
      <c r="J21" s="43" t="s">
        <v>281</v>
      </c>
      <c r="K21" s="12"/>
      <c r="L21" s="43" t="s">
        <v>273</v>
      </c>
      <c r="M21" s="43" t="s">
        <v>62</v>
      </c>
    </row>
    <row r="22" spans="1:13" ht="118.8">
      <c r="A22" s="12" t="str">
        <f t="shared" ref="A22" si="1">A21</f>
        <v>TV</v>
      </c>
      <c r="B22" s="43" t="s">
        <v>262</v>
      </c>
      <c r="C22" s="43" t="s">
        <v>267</v>
      </c>
      <c r="D22" s="43" t="s">
        <v>57</v>
      </c>
      <c r="E22" s="12"/>
      <c r="F22" s="12">
        <v>9</v>
      </c>
      <c r="G22" s="43" t="s">
        <v>124</v>
      </c>
      <c r="H22" s="43" t="s">
        <v>83</v>
      </c>
      <c r="I22" s="6" t="s">
        <v>245</v>
      </c>
      <c r="J22" s="43" t="s">
        <v>282</v>
      </c>
      <c r="K22" s="12"/>
      <c r="L22" s="43" t="s">
        <v>274</v>
      </c>
      <c r="M22" s="43" t="s">
        <v>115</v>
      </c>
    </row>
  </sheetData>
  <autoFilter ref="A13:M15"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407" xr:uid="{252CC4C2-229D-4BD8-B7CE-964367CD02A3}"/>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D589E-C54A-48A5-8DD0-6D546BDC90EE}">
  <sheetPr codeName="Sheet10">
    <tabColor rgb="FFC00000"/>
  </sheetPr>
  <dimension ref="A1:M22"/>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2" t="s">
        <v>283</v>
      </c>
      <c r="C1" s="19"/>
      <c r="D1" s="19"/>
      <c r="E1" s="19"/>
      <c r="F1" s="19"/>
      <c r="G1" s="19"/>
      <c r="H1" s="19"/>
      <c r="I1" s="19"/>
      <c r="J1" s="19"/>
      <c r="K1" s="19"/>
      <c r="L1" s="19"/>
      <c r="M1" s="19"/>
    </row>
    <row r="2" spans="1:13">
      <c r="A2" s="13" t="str">
        <f>DatasetsName!$C$1</f>
        <v>Dataset Description</v>
      </c>
      <c r="B2" s="19" t="str">
        <f>INDEX(DatasetsName!A1:J107,MATCH(B1,DatasetsName!B:B, 0),3)</f>
        <v>Trial Disease Assessments</v>
      </c>
      <c r="C2" s="19"/>
      <c r="D2" s="19"/>
      <c r="E2" s="19"/>
      <c r="F2" s="19"/>
      <c r="G2" s="19"/>
      <c r="H2" s="19"/>
      <c r="I2" s="19"/>
      <c r="J2" s="19"/>
      <c r="K2" s="19"/>
      <c r="L2" s="19"/>
      <c r="M2" s="19"/>
    </row>
    <row r="3" spans="1:13">
      <c r="A3" s="13" t="str">
        <f>DatasetsName!$D$1</f>
        <v>Dataset Class</v>
      </c>
      <c r="B3" s="19" t="str">
        <f>INDEX(DatasetsName!A1:J107,MATCH(B1,DatasetsName!B:B, 0),4)</f>
        <v>Trial Design</v>
      </c>
      <c r="C3" s="19"/>
      <c r="D3" s="19"/>
      <c r="E3" s="19"/>
      <c r="F3" s="19"/>
      <c r="G3" s="19"/>
      <c r="H3" s="19"/>
      <c r="I3" s="19"/>
      <c r="J3" s="19"/>
      <c r="K3" s="19"/>
      <c r="L3" s="19"/>
      <c r="M3" s="19"/>
    </row>
    <row r="4" spans="1:13">
      <c r="A4" s="13" t="str">
        <f>DatasetsName!$E$1</f>
        <v>Dataset Structure</v>
      </c>
      <c r="B4" s="19" t="str">
        <f>INDEX(DatasetsName!A1:J107,MATCH(B1,DatasetsName!B:B, 0),5)</f>
        <v>One record per planned constant assessment period</v>
      </c>
      <c r="C4" s="19"/>
      <c r="D4" s="19"/>
      <c r="E4" s="19"/>
      <c r="F4" s="19"/>
      <c r="G4" s="19"/>
      <c r="H4" s="19"/>
      <c r="I4" s="19"/>
      <c r="J4" s="19"/>
      <c r="K4" s="19"/>
      <c r="L4" s="19"/>
      <c r="M4" s="19"/>
    </row>
    <row r="5" spans="1:13">
      <c r="A5" s="13" t="str">
        <f>DatasetsName!$F$1</f>
        <v>Dataset Purpose</v>
      </c>
      <c r="B5" s="19" t="str">
        <f>INDEX(DatasetsName!A1:J107,MATCH(B1,DatasetsName!B:B, 0),6)</f>
        <v>Tabulation</v>
      </c>
      <c r="C5" s="19"/>
      <c r="D5" s="19"/>
      <c r="E5" s="19"/>
      <c r="F5" s="19"/>
      <c r="G5" s="19"/>
      <c r="H5" s="19"/>
      <c r="I5" s="19"/>
      <c r="J5" s="19"/>
      <c r="K5" s="19"/>
      <c r="L5" s="19"/>
      <c r="M5" s="19"/>
    </row>
    <row r="6" spans="1:13">
      <c r="A6" s="13" t="str">
        <f>DatasetsName!$G$1</f>
        <v>Dataset Keys</v>
      </c>
      <c r="B6" s="19" t="str">
        <f>INDEX(DatasetsName!A1:J107,MATCH(B1,DatasetsName!B:B, 0),7)</f>
        <v>STUDYID, TDORDER</v>
      </c>
      <c r="C6" s="19"/>
      <c r="D6" s="19"/>
      <c r="E6" s="19"/>
      <c r="F6" s="19"/>
      <c r="G6" s="19"/>
      <c r="H6" s="19"/>
      <c r="I6" s="19"/>
      <c r="J6" s="19"/>
      <c r="K6" s="19"/>
      <c r="L6" s="19"/>
      <c r="M6" s="19"/>
    </row>
    <row r="7" spans="1:13">
      <c r="A7" s="13" t="str">
        <f>DatasetsName!$H$1</f>
        <v>Dataset Location</v>
      </c>
      <c r="B7" s="19" t="str">
        <f>INDEX(DatasetsName!A1:J107,MATCH(B1,DatasetsName!B:B, 0),8)</f>
        <v>td.xpt</v>
      </c>
      <c r="C7" s="19"/>
      <c r="D7" s="19"/>
      <c r="E7" s="19"/>
      <c r="F7" s="19"/>
      <c r="G7" s="19"/>
      <c r="H7" s="19"/>
      <c r="I7" s="19"/>
      <c r="J7" s="19"/>
      <c r="K7" s="19"/>
      <c r="L7" s="19"/>
      <c r="M7" s="19"/>
    </row>
    <row r="8" spans="1:13">
      <c r="A8" s="13" t="s">
        <v>54</v>
      </c>
      <c r="B8" s="19" t="str">
        <f>INDEX(DatasetsName!A1:J107,MATCH(B1,DatasetsName!B:B, 0),9)</f>
        <v>&lt;enter program location&gt;</v>
      </c>
      <c r="C8" s="19"/>
      <c r="D8" s="19"/>
      <c r="E8" s="19"/>
      <c r="F8" s="19"/>
      <c r="G8" s="19"/>
      <c r="H8" s="19"/>
      <c r="I8" s="19"/>
      <c r="J8" s="19"/>
      <c r="K8" s="19"/>
      <c r="L8" s="19"/>
      <c r="M8" s="19"/>
    </row>
    <row r="9" spans="1:13">
      <c r="A9" s="13" t="s">
        <v>52</v>
      </c>
      <c r="B9" s="20" t="s">
        <v>189</v>
      </c>
      <c r="C9" s="20"/>
      <c r="D9" s="20"/>
      <c r="E9" s="20"/>
      <c r="F9" s="20"/>
      <c r="G9" s="20"/>
      <c r="H9" s="20"/>
      <c r="I9" s="20"/>
      <c r="J9" s="20"/>
      <c r="K9" s="20"/>
      <c r="L9" s="20"/>
      <c r="M9" s="20"/>
    </row>
    <row r="10" spans="1:13">
      <c r="A10" s="13" t="s">
        <v>53</v>
      </c>
      <c r="B10" s="20" t="s">
        <v>190</v>
      </c>
      <c r="C10" s="20"/>
      <c r="D10" s="20"/>
      <c r="E10" s="20"/>
      <c r="F10" s="20"/>
      <c r="G10" s="20"/>
      <c r="H10" s="20"/>
      <c r="I10" s="20"/>
      <c r="J10" s="20"/>
      <c r="K10" s="20"/>
      <c r="L10" s="20"/>
      <c r="M10" s="20"/>
    </row>
    <row r="11" spans="1:13">
      <c r="A11" s="13" t="s">
        <v>191</v>
      </c>
      <c r="B11" s="41" t="s">
        <v>292</v>
      </c>
      <c r="C11" s="22"/>
      <c r="D11" s="22"/>
      <c r="E11" s="22"/>
      <c r="F11" s="22"/>
      <c r="G11" s="22"/>
      <c r="H11" s="22"/>
      <c r="I11" s="22"/>
      <c r="J11" s="22"/>
      <c r="K11" s="22"/>
      <c r="L11" s="22"/>
      <c r="M11" s="2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TD</v>
      </c>
      <c r="B14" s="12" t="s">
        <v>55</v>
      </c>
      <c r="C14" s="12" t="s">
        <v>56</v>
      </c>
      <c r="D14" s="12" t="s">
        <v>57</v>
      </c>
      <c r="E14" s="12"/>
      <c r="F14" s="12">
        <v>1</v>
      </c>
      <c r="G14" s="12" t="s">
        <v>58</v>
      </c>
      <c r="H14" s="12" t="s">
        <v>59</v>
      </c>
      <c r="I14" s="6" t="s">
        <v>94</v>
      </c>
      <c r="J14" s="12" t="s">
        <v>60</v>
      </c>
      <c r="K14" s="12"/>
      <c r="L14" s="12" t="s">
        <v>61</v>
      </c>
      <c r="M14" s="12" t="s">
        <v>62</v>
      </c>
    </row>
    <row r="15" spans="1:13" ht="26.4">
      <c r="A15" s="12" t="str">
        <f>A14</f>
        <v>TD</v>
      </c>
      <c r="B15" s="12" t="s">
        <v>63</v>
      </c>
      <c r="C15" s="12" t="s">
        <v>64</v>
      </c>
      <c r="D15" s="12" t="s">
        <v>57</v>
      </c>
      <c r="E15" s="14" t="str" cm="1">
        <f t="array" aca="1" ref="E15" ca="1">HYPERLINK("#"&amp;CELL("address", INDEX(ControlledTerms!H:H,MATCH(B1,ControlledTerms!H:H,0))),B1)</f>
        <v>TD</v>
      </c>
      <c r="F15" s="12">
        <v>2</v>
      </c>
      <c r="G15" s="12" t="s">
        <v>58</v>
      </c>
      <c r="H15" s="12" t="s">
        <v>83</v>
      </c>
      <c r="I15" s="12">
        <v>2</v>
      </c>
      <c r="J15" s="43" t="s">
        <v>291</v>
      </c>
      <c r="K15" s="12"/>
      <c r="L15" s="12" t="s">
        <v>85</v>
      </c>
      <c r="M15" s="12" t="s">
        <v>62</v>
      </c>
    </row>
    <row r="16" spans="1:13" ht="39.6">
      <c r="A16" s="12" t="str">
        <f>A15</f>
        <v>TD</v>
      </c>
      <c r="B16" s="43" t="s">
        <v>293</v>
      </c>
      <c r="C16" s="43" t="s">
        <v>300</v>
      </c>
      <c r="D16" s="43" t="s">
        <v>102</v>
      </c>
      <c r="E16" s="12"/>
      <c r="F16" s="12">
        <v>3</v>
      </c>
      <c r="G16" s="43" t="s">
        <v>103</v>
      </c>
      <c r="H16" s="43" t="s">
        <v>83</v>
      </c>
      <c r="I16" s="12">
        <v>8</v>
      </c>
      <c r="J16" s="6"/>
      <c r="K16" s="12"/>
      <c r="L16" s="43" t="s">
        <v>307</v>
      </c>
      <c r="M16" s="43" t="s">
        <v>62</v>
      </c>
    </row>
    <row r="17" spans="1:13" ht="118.8">
      <c r="A17" s="12" t="str">
        <f t="shared" ref="A17:A22" si="0">A16</f>
        <v>TD</v>
      </c>
      <c r="B17" s="43" t="s">
        <v>294</v>
      </c>
      <c r="C17" s="43" t="s">
        <v>301</v>
      </c>
      <c r="D17" s="43" t="s">
        <v>57</v>
      </c>
      <c r="E17" s="12"/>
      <c r="F17" s="12">
        <v>4</v>
      </c>
      <c r="G17" s="43" t="s">
        <v>103</v>
      </c>
      <c r="H17" s="43" t="s">
        <v>59</v>
      </c>
      <c r="I17" s="6" t="s">
        <v>245</v>
      </c>
      <c r="J17" s="6"/>
      <c r="K17" s="12"/>
      <c r="L17" s="43" t="s">
        <v>308</v>
      </c>
      <c r="M17" s="43" t="s">
        <v>62</v>
      </c>
    </row>
    <row r="18" spans="1:13" ht="118.8">
      <c r="A18" s="12" t="str">
        <f t="shared" si="0"/>
        <v>TD</v>
      </c>
      <c r="B18" s="43" t="s">
        <v>295</v>
      </c>
      <c r="C18" s="43" t="s">
        <v>302</v>
      </c>
      <c r="D18" s="43" t="s">
        <v>57</v>
      </c>
      <c r="E18" s="14" t="str" cm="1">
        <f t="array" aca="1" ref="E18" ca="1">HYPERLINK("#"&amp;CELL("address", INDEX(Format!A:A,MATCH("ISO 8601 duration",Format!A:A,0))),"ISO 8601 duration")</f>
        <v>ISO 8601 duration</v>
      </c>
      <c r="F18" s="12">
        <v>5</v>
      </c>
      <c r="G18" s="43" t="s">
        <v>103</v>
      </c>
      <c r="H18" s="43" t="s">
        <v>59</v>
      </c>
      <c r="I18" s="6" t="s">
        <v>245</v>
      </c>
      <c r="J18" s="43"/>
      <c r="K18" s="12"/>
      <c r="L18" s="43" t="s">
        <v>309</v>
      </c>
      <c r="M18" s="43" t="s">
        <v>62</v>
      </c>
    </row>
    <row r="19" spans="1:13" ht="118.8">
      <c r="A19" s="12" t="str">
        <f t="shared" si="0"/>
        <v>TD</v>
      </c>
      <c r="B19" s="43" t="s">
        <v>296</v>
      </c>
      <c r="C19" s="43" t="s">
        <v>303</v>
      </c>
      <c r="D19" s="43" t="s">
        <v>57</v>
      </c>
      <c r="E19" s="14" t="str" cm="1">
        <f t="array" aca="1" ref="E19" ca="1">HYPERLINK("#"&amp;CELL("address", INDEX(Format!A:A,MATCH("ISO 8601 duration",Format!A:A,0))),"ISO 8601 duration")</f>
        <v>ISO 8601 duration</v>
      </c>
      <c r="F19" s="12">
        <v>6</v>
      </c>
      <c r="G19" s="43" t="s">
        <v>103</v>
      </c>
      <c r="H19" s="43" t="s">
        <v>59</v>
      </c>
      <c r="I19" s="6" t="s">
        <v>245</v>
      </c>
      <c r="J19" s="43"/>
      <c r="K19" s="12"/>
      <c r="L19" s="43" t="s">
        <v>310</v>
      </c>
      <c r="M19" s="43" t="s">
        <v>62</v>
      </c>
    </row>
    <row r="20" spans="1:13" ht="118.8">
      <c r="A20" s="12" t="str">
        <f t="shared" si="0"/>
        <v>TD</v>
      </c>
      <c r="B20" s="43" t="s">
        <v>297</v>
      </c>
      <c r="C20" s="43" t="s">
        <v>304</v>
      </c>
      <c r="D20" s="43" t="s">
        <v>57</v>
      </c>
      <c r="E20" s="14" t="str" cm="1">
        <f t="array" aca="1" ref="E20" ca="1">HYPERLINK("#"&amp;CELL("address", INDEX(Format!A:A,MATCH("ISO 8601 duration",Format!A:A,0))),"ISO 8601 duration")</f>
        <v>ISO 8601 duration</v>
      </c>
      <c r="F20" s="12">
        <v>7</v>
      </c>
      <c r="G20" s="43" t="s">
        <v>103</v>
      </c>
      <c r="H20" s="43" t="s">
        <v>59</v>
      </c>
      <c r="I20" s="6" t="s">
        <v>245</v>
      </c>
      <c r="J20" s="43"/>
      <c r="K20" s="12"/>
      <c r="L20" s="43" t="s">
        <v>311</v>
      </c>
      <c r="M20" s="43" t="s">
        <v>62</v>
      </c>
    </row>
    <row r="21" spans="1:13" ht="118.8">
      <c r="A21" s="12" t="str">
        <f t="shared" si="0"/>
        <v>TD</v>
      </c>
      <c r="B21" s="43" t="s">
        <v>298</v>
      </c>
      <c r="C21" s="43" t="s">
        <v>305</v>
      </c>
      <c r="D21" s="43" t="s">
        <v>57</v>
      </c>
      <c r="E21" s="14" t="str" cm="1">
        <f t="array" aca="1" ref="E21" ca="1">HYPERLINK("#"&amp;CELL("address", INDEX(Format!A:A,MATCH("ISO 8601 duration",Format!A:A,0))),"ISO 8601 duration")</f>
        <v>ISO 8601 duration</v>
      </c>
      <c r="F21" s="12">
        <v>8</v>
      </c>
      <c r="G21" s="43" t="s">
        <v>103</v>
      </c>
      <c r="H21" s="43" t="s">
        <v>59</v>
      </c>
      <c r="I21" s="6" t="s">
        <v>245</v>
      </c>
      <c r="J21" s="43"/>
      <c r="K21" s="12"/>
      <c r="L21" s="43" t="s">
        <v>312</v>
      </c>
      <c r="M21" s="43" t="s">
        <v>62</v>
      </c>
    </row>
    <row r="22" spans="1:13" ht="171.6">
      <c r="A22" s="12" t="str">
        <f t="shared" si="0"/>
        <v>TD</v>
      </c>
      <c r="B22" s="43" t="s">
        <v>299</v>
      </c>
      <c r="C22" s="43" t="s">
        <v>306</v>
      </c>
      <c r="D22" s="43" t="s">
        <v>102</v>
      </c>
      <c r="E22" s="12"/>
      <c r="F22" s="12">
        <v>9</v>
      </c>
      <c r="G22" s="43" t="s">
        <v>108</v>
      </c>
      <c r="H22" s="43" t="s">
        <v>59</v>
      </c>
      <c r="I22" s="6">
        <v>8</v>
      </c>
      <c r="J22" s="43"/>
      <c r="K22" s="12"/>
      <c r="L22" s="43" t="s">
        <v>313</v>
      </c>
      <c r="M22" s="43" t="s">
        <v>62</v>
      </c>
    </row>
  </sheetData>
  <autoFilter ref="A13:M15"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410" xr:uid="{1A7822EF-7CB4-46FF-B455-174CB5AF9909}"/>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A7820-6D31-4C99-AB6C-0E163E82ADDA}">
  <sheetPr codeName="Sheet11">
    <tabColor rgb="FFC00000"/>
  </sheetPr>
  <dimension ref="A1:M18"/>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2" t="s">
        <v>314</v>
      </c>
      <c r="C1" s="19"/>
      <c r="D1" s="19"/>
      <c r="E1" s="19"/>
      <c r="F1" s="19"/>
      <c r="G1" s="19"/>
      <c r="H1" s="19"/>
      <c r="I1" s="19"/>
      <c r="J1" s="19"/>
      <c r="K1" s="19"/>
      <c r="L1" s="19"/>
      <c r="M1" s="19"/>
    </row>
    <row r="2" spans="1:13">
      <c r="A2" s="13" t="str">
        <f>DatasetsName!$C$1</f>
        <v>Dataset Description</v>
      </c>
      <c r="B2" s="19" t="str">
        <f>INDEX(DatasetsName!A1:J107,MATCH(B1,DatasetsName!B:B, 0),3)</f>
        <v>Trial Disease Milestones</v>
      </c>
      <c r="C2" s="19"/>
      <c r="D2" s="19"/>
      <c r="E2" s="19"/>
      <c r="F2" s="19"/>
      <c r="G2" s="19"/>
      <c r="H2" s="19"/>
      <c r="I2" s="19"/>
      <c r="J2" s="19"/>
      <c r="K2" s="19"/>
      <c r="L2" s="19"/>
      <c r="M2" s="19"/>
    </row>
    <row r="3" spans="1:13">
      <c r="A3" s="13" t="str">
        <f>DatasetsName!$D$1</f>
        <v>Dataset Class</v>
      </c>
      <c r="B3" s="19" t="str">
        <f>INDEX(DatasetsName!A1:J107,MATCH(B1,DatasetsName!B:B, 0),4)</f>
        <v>Trial Design</v>
      </c>
      <c r="C3" s="19"/>
      <c r="D3" s="19"/>
      <c r="E3" s="19"/>
      <c r="F3" s="19"/>
      <c r="G3" s="19"/>
      <c r="H3" s="19"/>
      <c r="I3" s="19"/>
      <c r="J3" s="19"/>
      <c r="K3" s="19"/>
      <c r="L3" s="19"/>
      <c r="M3" s="19"/>
    </row>
    <row r="4" spans="1:13">
      <c r="A4" s="13" t="str">
        <f>DatasetsName!$E$1</f>
        <v>Dataset Structure</v>
      </c>
      <c r="B4" s="19" t="str">
        <f>INDEX(DatasetsName!A1:J107,MATCH(B1,DatasetsName!B:B, 0),5)</f>
        <v>One record per Disease Milestone type</v>
      </c>
      <c r="C4" s="19"/>
      <c r="D4" s="19"/>
      <c r="E4" s="19"/>
      <c r="F4" s="19"/>
      <c r="G4" s="19"/>
      <c r="H4" s="19"/>
      <c r="I4" s="19"/>
      <c r="J4" s="19"/>
      <c r="K4" s="19"/>
      <c r="L4" s="19"/>
      <c r="M4" s="19"/>
    </row>
    <row r="5" spans="1:13">
      <c r="A5" s="13" t="str">
        <f>DatasetsName!$F$1</f>
        <v>Dataset Purpose</v>
      </c>
      <c r="B5" s="19" t="str">
        <f>INDEX(DatasetsName!A1:J107,MATCH(B1,DatasetsName!B:B, 0),6)</f>
        <v>Tabulation</v>
      </c>
      <c r="C5" s="19"/>
      <c r="D5" s="19"/>
      <c r="E5" s="19"/>
      <c r="F5" s="19"/>
      <c r="G5" s="19"/>
      <c r="H5" s="19"/>
      <c r="I5" s="19"/>
      <c r="J5" s="19"/>
      <c r="K5" s="19"/>
      <c r="L5" s="19"/>
      <c r="M5" s="19"/>
    </row>
    <row r="6" spans="1:13">
      <c r="A6" s="13" t="str">
        <f>DatasetsName!$G$1</f>
        <v>Dataset Keys</v>
      </c>
      <c r="B6" s="19" t="str">
        <f>INDEX(DatasetsName!A1:J107,MATCH(B1,DatasetsName!B:B, 0),7)</f>
        <v>STUDYID, MIDSTYPE</v>
      </c>
      <c r="C6" s="19"/>
      <c r="D6" s="19"/>
      <c r="E6" s="19"/>
      <c r="F6" s="19"/>
      <c r="G6" s="19"/>
      <c r="H6" s="19"/>
      <c r="I6" s="19"/>
      <c r="J6" s="19"/>
      <c r="K6" s="19"/>
      <c r="L6" s="19"/>
      <c r="M6" s="19"/>
    </row>
    <row r="7" spans="1:13">
      <c r="A7" s="13" t="str">
        <f>DatasetsName!$H$1</f>
        <v>Dataset Location</v>
      </c>
      <c r="B7" s="19" t="str">
        <f>INDEX(DatasetsName!A1:J107,MATCH(B1,DatasetsName!B:B, 0),8)</f>
        <v>tm.xpt</v>
      </c>
      <c r="C7" s="19"/>
      <c r="D7" s="19"/>
      <c r="E7" s="19"/>
      <c r="F7" s="19"/>
      <c r="G7" s="19"/>
      <c r="H7" s="19"/>
      <c r="I7" s="19"/>
      <c r="J7" s="19"/>
      <c r="K7" s="19"/>
      <c r="L7" s="19"/>
      <c r="M7" s="19"/>
    </row>
    <row r="8" spans="1:13">
      <c r="A8" s="13" t="s">
        <v>54</v>
      </c>
      <c r="B8" s="19" t="str">
        <f>INDEX(DatasetsName!A1:J107,MATCH(B1,DatasetsName!B:B, 0),9)</f>
        <v>&lt;enter program location&gt;</v>
      </c>
      <c r="C8" s="19"/>
      <c r="D8" s="19"/>
      <c r="E8" s="19"/>
      <c r="F8" s="19"/>
      <c r="G8" s="19"/>
      <c r="H8" s="19"/>
      <c r="I8" s="19"/>
      <c r="J8" s="19"/>
      <c r="K8" s="19"/>
      <c r="L8" s="19"/>
      <c r="M8" s="19"/>
    </row>
    <row r="9" spans="1:13">
      <c r="A9" s="13" t="s">
        <v>52</v>
      </c>
      <c r="B9" s="20" t="s">
        <v>189</v>
      </c>
      <c r="C9" s="20"/>
      <c r="D9" s="20"/>
      <c r="E9" s="20"/>
      <c r="F9" s="20"/>
      <c r="G9" s="20"/>
      <c r="H9" s="20"/>
      <c r="I9" s="20"/>
      <c r="J9" s="20"/>
      <c r="K9" s="20"/>
      <c r="L9" s="20"/>
      <c r="M9" s="20"/>
    </row>
    <row r="10" spans="1:13">
      <c r="A10" s="13" t="s">
        <v>53</v>
      </c>
      <c r="B10" s="20" t="s">
        <v>190</v>
      </c>
      <c r="C10" s="20"/>
      <c r="D10" s="20"/>
      <c r="E10" s="20"/>
      <c r="F10" s="20"/>
      <c r="G10" s="20"/>
      <c r="H10" s="20"/>
      <c r="I10" s="20"/>
      <c r="J10" s="20"/>
      <c r="K10" s="20"/>
      <c r="L10" s="20"/>
      <c r="M10" s="20"/>
    </row>
    <row r="11" spans="1:13">
      <c r="A11" s="13" t="s">
        <v>191</v>
      </c>
      <c r="B11" s="41" t="s">
        <v>322</v>
      </c>
      <c r="C11" s="22"/>
      <c r="D11" s="22"/>
      <c r="E11" s="22"/>
      <c r="F11" s="22"/>
      <c r="G11" s="22"/>
      <c r="H11" s="22"/>
      <c r="I11" s="22"/>
      <c r="J11" s="22"/>
      <c r="K11" s="22"/>
      <c r="L11" s="22"/>
      <c r="M11" s="2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TM</v>
      </c>
      <c r="B14" s="12" t="s">
        <v>55</v>
      </c>
      <c r="C14" s="12" t="s">
        <v>56</v>
      </c>
      <c r="D14" s="12" t="s">
        <v>57</v>
      </c>
      <c r="E14" s="12"/>
      <c r="F14" s="12">
        <v>1</v>
      </c>
      <c r="G14" s="12" t="s">
        <v>58</v>
      </c>
      <c r="H14" s="12" t="s">
        <v>59</v>
      </c>
      <c r="I14" s="6" t="s">
        <v>94</v>
      </c>
      <c r="J14" s="12" t="s">
        <v>60</v>
      </c>
      <c r="K14" s="12"/>
      <c r="L14" s="12" t="s">
        <v>61</v>
      </c>
      <c r="M14" s="12" t="s">
        <v>62</v>
      </c>
    </row>
    <row r="15" spans="1:13" ht="26.4">
      <c r="A15" s="12" t="str">
        <f>A14</f>
        <v>TM</v>
      </c>
      <c r="B15" s="12" t="s">
        <v>63</v>
      </c>
      <c r="C15" s="12" t="s">
        <v>64</v>
      </c>
      <c r="D15" s="12" t="s">
        <v>57</v>
      </c>
      <c r="E15" s="14" t="str" cm="1">
        <f t="array" aca="1" ref="E15" ca="1">HYPERLINK("#"&amp;CELL("address", INDEX(ControlledTerms!H:H,MATCH(B1,ControlledTerms!H:H,0))),B1)</f>
        <v>TM</v>
      </c>
      <c r="F15" s="12">
        <v>2</v>
      </c>
      <c r="G15" s="12" t="s">
        <v>58</v>
      </c>
      <c r="H15" s="12" t="s">
        <v>83</v>
      </c>
      <c r="I15" s="12">
        <v>2</v>
      </c>
      <c r="J15" s="43" t="s">
        <v>323</v>
      </c>
      <c r="K15" s="12"/>
      <c r="L15" s="12" t="s">
        <v>85</v>
      </c>
      <c r="M15" s="12" t="s">
        <v>62</v>
      </c>
    </row>
    <row r="16" spans="1:13" ht="118.8">
      <c r="A16" s="12" t="str">
        <f>A15</f>
        <v>TM</v>
      </c>
      <c r="B16" s="43" t="s">
        <v>324</v>
      </c>
      <c r="C16" s="43" t="s">
        <v>325</v>
      </c>
      <c r="D16" s="43" t="s">
        <v>57</v>
      </c>
      <c r="E16" s="12"/>
      <c r="F16" s="12">
        <v>3</v>
      </c>
      <c r="G16" s="43" t="s">
        <v>89</v>
      </c>
      <c r="H16" s="43"/>
      <c r="I16" s="6" t="s">
        <v>245</v>
      </c>
      <c r="J16" s="6"/>
      <c r="K16" s="12"/>
      <c r="L16" s="43" t="s">
        <v>354</v>
      </c>
      <c r="M16" s="43" t="s">
        <v>62</v>
      </c>
    </row>
    <row r="17" spans="1:13" ht="118.8">
      <c r="A17" s="12" t="str">
        <f t="shared" ref="A17:A18" si="0">A16</f>
        <v>TM</v>
      </c>
      <c r="B17" s="43" t="s">
        <v>326</v>
      </c>
      <c r="C17" s="43" t="s">
        <v>329</v>
      </c>
      <c r="D17" s="43" t="s">
        <v>57</v>
      </c>
      <c r="E17" s="12"/>
      <c r="F17" s="12">
        <v>4</v>
      </c>
      <c r="G17" s="43" t="s">
        <v>330</v>
      </c>
      <c r="H17" s="43"/>
      <c r="I17" s="6" t="s">
        <v>245</v>
      </c>
      <c r="J17" s="6"/>
      <c r="K17" s="12"/>
      <c r="L17" s="43" t="s">
        <v>355</v>
      </c>
      <c r="M17" s="43" t="s">
        <v>62</v>
      </c>
    </row>
    <row r="18" spans="1:13" ht="52.8">
      <c r="A18" s="12" t="str">
        <f t="shared" si="0"/>
        <v>TM</v>
      </c>
      <c r="B18" s="43" t="s">
        <v>327</v>
      </c>
      <c r="C18" s="43" t="s">
        <v>328</v>
      </c>
      <c r="D18" s="43" t="s">
        <v>57</v>
      </c>
      <c r="E18" s="14" t="str" cm="1">
        <f t="array" aca="1" ref="E18" ca="1">HYPERLINK("#"&amp;CELL("address", INDEX(ControlledTerms!D:D,MATCH("C66742",ControlledTerms!D:D,0))),"(NY)")</f>
        <v>(NY)</v>
      </c>
      <c r="F18" s="12">
        <v>5</v>
      </c>
      <c r="G18" s="43" t="s">
        <v>108</v>
      </c>
      <c r="H18" s="43"/>
      <c r="I18" s="12">
        <v>1</v>
      </c>
      <c r="J18" s="43"/>
      <c r="K18" s="12"/>
      <c r="L18" s="43" t="s">
        <v>356</v>
      </c>
      <c r="M18" s="43" t="s">
        <v>62</v>
      </c>
    </row>
  </sheetData>
  <autoFilter ref="A13:M15"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415" xr:uid="{A9BEE661-A776-47B9-969F-84D41E158A5C}"/>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FD607-F4BB-4E36-8882-692463F778BE}">
  <sheetPr codeName="Sheet12">
    <tabColor rgb="FFC00000"/>
  </sheetPr>
  <dimension ref="A1:M21"/>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2" t="s">
        <v>247</v>
      </c>
      <c r="C1" s="19"/>
      <c r="D1" s="19"/>
      <c r="E1" s="19"/>
      <c r="F1" s="19"/>
      <c r="G1" s="19"/>
      <c r="H1" s="19"/>
      <c r="I1" s="19"/>
      <c r="J1" s="19"/>
      <c r="K1" s="19"/>
      <c r="L1" s="19"/>
      <c r="M1" s="19"/>
    </row>
    <row r="2" spans="1:13">
      <c r="A2" s="13" t="str">
        <f>DatasetsName!$C$1</f>
        <v>Dataset Description</v>
      </c>
      <c r="B2" s="19" t="str">
        <f>INDEX(DatasetsName!A1:J107,MATCH(B1,DatasetsName!B:B, 0),3)</f>
        <v>Trial Inclusion/Exclusion Criteria</v>
      </c>
      <c r="C2" s="19"/>
      <c r="D2" s="19"/>
      <c r="E2" s="19"/>
      <c r="F2" s="19"/>
      <c r="G2" s="19"/>
      <c r="H2" s="19"/>
      <c r="I2" s="19"/>
      <c r="J2" s="19"/>
      <c r="K2" s="19"/>
      <c r="L2" s="19"/>
      <c r="M2" s="19"/>
    </row>
    <row r="3" spans="1:13">
      <c r="A3" s="13" t="str">
        <f>DatasetsName!$D$1</f>
        <v>Dataset Class</v>
      </c>
      <c r="B3" s="19" t="str">
        <f>INDEX(DatasetsName!A1:J107,MATCH(B1,DatasetsName!B:B, 0),4)</f>
        <v>Trial Design</v>
      </c>
      <c r="C3" s="19"/>
      <c r="D3" s="19"/>
      <c r="E3" s="19"/>
      <c r="F3" s="19"/>
      <c r="G3" s="19"/>
      <c r="H3" s="19"/>
      <c r="I3" s="19"/>
      <c r="J3" s="19"/>
      <c r="K3" s="19"/>
      <c r="L3" s="19"/>
      <c r="M3" s="19"/>
    </row>
    <row r="4" spans="1:13">
      <c r="A4" s="13" t="str">
        <f>DatasetsName!$E$1</f>
        <v>Dataset Structure</v>
      </c>
      <c r="B4" s="19" t="str">
        <f>INDEX(DatasetsName!A1:J107,MATCH(B1,DatasetsName!B:B, 0),5)</f>
        <v>One record per I/E criterion</v>
      </c>
      <c r="C4" s="19"/>
      <c r="D4" s="19"/>
      <c r="E4" s="19"/>
      <c r="F4" s="19"/>
      <c r="G4" s="19"/>
      <c r="H4" s="19"/>
      <c r="I4" s="19"/>
      <c r="J4" s="19"/>
      <c r="K4" s="19"/>
      <c r="L4" s="19"/>
      <c r="M4" s="19"/>
    </row>
    <row r="5" spans="1:13">
      <c r="A5" s="13" t="str">
        <f>DatasetsName!$F$1</f>
        <v>Dataset Purpose</v>
      </c>
      <c r="B5" s="19" t="str">
        <f>INDEX(DatasetsName!A1:J107,MATCH(B1,DatasetsName!B:B, 0),6)</f>
        <v>Tabulation</v>
      </c>
      <c r="C5" s="19"/>
      <c r="D5" s="19"/>
      <c r="E5" s="19"/>
      <c r="F5" s="19"/>
      <c r="G5" s="19"/>
      <c r="H5" s="19"/>
      <c r="I5" s="19"/>
      <c r="J5" s="19"/>
      <c r="K5" s="19"/>
      <c r="L5" s="19"/>
      <c r="M5" s="19"/>
    </row>
    <row r="6" spans="1:13">
      <c r="A6" s="13" t="str">
        <f>DatasetsName!$G$1</f>
        <v>Dataset Keys</v>
      </c>
      <c r="B6" s="19" t="str">
        <f>INDEX(DatasetsName!A1:J107,MATCH(B1,DatasetsName!B:B, 0),7)</f>
        <v>STUDYID, IETESTCD</v>
      </c>
      <c r="C6" s="19"/>
      <c r="D6" s="19"/>
      <c r="E6" s="19"/>
      <c r="F6" s="19"/>
      <c r="G6" s="19"/>
      <c r="H6" s="19"/>
      <c r="I6" s="19"/>
      <c r="J6" s="19"/>
      <c r="K6" s="19"/>
      <c r="L6" s="19"/>
      <c r="M6" s="19"/>
    </row>
    <row r="7" spans="1:13">
      <c r="A7" s="13" t="str">
        <f>DatasetsName!$H$1</f>
        <v>Dataset Location</v>
      </c>
      <c r="B7" s="19" t="str">
        <f>INDEX(DatasetsName!A1:J107,MATCH(B1,DatasetsName!B:B, 0),8)</f>
        <v>ti.xpt</v>
      </c>
      <c r="C7" s="19"/>
      <c r="D7" s="19"/>
      <c r="E7" s="19"/>
      <c r="F7" s="19"/>
      <c r="G7" s="19"/>
      <c r="H7" s="19"/>
      <c r="I7" s="19"/>
      <c r="J7" s="19"/>
      <c r="K7" s="19"/>
      <c r="L7" s="19"/>
      <c r="M7" s="19"/>
    </row>
    <row r="8" spans="1:13">
      <c r="A8" s="13" t="s">
        <v>54</v>
      </c>
      <c r="B8" s="19" t="str">
        <f>INDEX(DatasetsName!A1:J107,MATCH(B1,DatasetsName!B:B, 0),9)</f>
        <v>&lt;enter program location&gt;</v>
      </c>
      <c r="C8" s="19"/>
      <c r="D8" s="19"/>
      <c r="E8" s="19"/>
      <c r="F8" s="19"/>
      <c r="G8" s="19"/>
      <c r="H8" s="19"/>
      <c r="I8" s="19"/>
      <c r="J8" s="19"/>
      <c r="K8" s="19"/>
      <c r="L8" s="19"/>
      <c r="M8" s="19"/>
    </row>
    <row r="9" spans="1:13">
      <c r="A9" s="13" t="s">
        <v>52</v>
      </c>
      <c r="B9" s="20" t="s">
        <v>189</v>
      </c>
      <c r="C9" s="20"/>
      <c r="D9" s="20"/>
      <c r="E9" s="20"/>
      <c r="F9" s="20"/>
      <c r="G9" s="20"/>
      <c r="H9" s="20"/>
      <c r="I9" s="20"/>
      <c r="J9" s="20"/>
      <c r="K9" s="20"/>
      <c r="L9" s="20"/>
      <c r="M9" s="20"/>
    </row>
    <row r="10" spans="1:13">
      <c r="A10" s="13" t="s">
        <v>53</v>
      </c>
      <c r="B10" s="20" t="s">
        <v>190</v>
      </c>
      <c r="C10" s="20"/>
      <c r="D10" s="20"/>
      <c r="E10" s="20"/>
      <c r="F10" s="20"/>
      <c r="G10" s="20"/>
      <c r="H10" s="20"/>
      <c r="I10" s="20"/>
      <c r="J10" s="20"/>
      <c r="K10" s="20"/>
      <c r="L10" s="20"/>
      <c r="M10" s="20"/>
    </row>
    <row r="11" spans="1:13">
      <c r="A11" s="13" t="s">
        <v>191</v>
      </c>
      <c r="B11" s="41" t="s">
        <v>371</v>
      </c>
      <c r="C11" s="22"/>
      <c r="D11" s="22"/>
      <c r="E11" s="22"/>
      <c r="F11" s="22"/>
      <c r="G11" s="22"/>
      <c r="H11" s="22"/>
      <c r="I11" s="22"/>
      <c r="J11" s="22"/>
      <c r="K11" s="22"/>
      <c r="L11" s="22"/>
      <c r="M11" s="2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TI</v>
      </c>
      <c r="B14" s="12" t="s">
        <v>55</v>
      </c>
      <c r="C14" s="12" t="s">
        <v>56</v>
      </c>
      <c r="D14" s="12" t="s">
        <v>57</v>
      </c>
      <c r="E14" s="12"/>
      <c r="F14" s="12">
        <v>1</v>
      </c>
      <c r="G14" s="12" t="s">
        <v>58</v>
      </c>
      <c r="H14" s="12" t="s">
        <v>59</v>
      </c>
      <c r="I14" s="6" t="s">
        <v>94</v>
      </c>
      <c r="J14" s="12" t="s">
        <v>60</v>
      </c>
      <c r="K14" s="12"/>
      <c r="L14" s="12" t="s">
        <v>61</v>
      </c>
      <c r="M14" s="12" t="s">
        <v>62</v>
      </c>
    </row>
    <row r="15" spans="1:13" ht="26.4">
      <c r="A15" s="12" t="str">
        <f>A14</f>
        <v>TI</v>
      </c>
      <c r="B15" s="12" t="s">
        <v>63</v>
      </c>
      <c r="C15" s="12" t="s">
        <v>64</v>
      </c>
      <c r="D15" s="12" t="s">
        <v>57</v>
      </c>
      <c r="E15" s="14" t="str" cm="1">
        <f t="array" aca="1" ref="E15" ca="1">HYPERLINK("#"&amp;CELL("address", INDEX(ControlledTerms!H:H,MATCH(B1,ControlledTerms!H:H,0))),B1)</f>
        <v>TI</v>
      </c>
      <c r="F15" s="12">
        <v>2</v>
      </c>
      <c r="G15" s="12" t="s">
        <v>58</v>
      </c>
      <c r="H15" s="12" t="s">
        <v>83</v>
      </c>
      <c r="I15" s="12">
        <v>2</v>
      </c>
      <c r="J15" s="43" t="s">
        <v>379</v>
      </c>
      <c r="K15" s="12"/>
      <c r="L15" s="12" t="s">
        <v>85</v>
      </c>
      <c r="M15" s="12" t="s">
        <v>62</v>
      </c>
    </row>
    <row r="16" spans="1:13" ht="145.19999999999999">
      <c r="A16" s="12" t="str">
        <f>A15</f>
        <v>TI</v>
      </c>
      <c r="B16" s="43" t="s">
        <v>372</v>
      </c>
      <c r="C16" s="43" t="s">
        <v>378</v>
      </c>
      <c r="D16" s="43" t="s">
        <v>57</v>
      </c>
      <c r="E16" s="43" t="s">
        <v>88</v>
      </c>
      <c r="F16" s="12">
        <v>3</v>
      </c>
      <c r="G16" s="43" t="s">
        <v>89</v>
      </c>
      <c r="H16" s="43"/>
      <c r="I16" s="12"/>
      <c r="J16" s="6"/>
      <c r="K16" s="12"/>
      <c r="L16" s="43" t="s">
        <v>380</v>
      </c>
      <c r="M16" s="43" t="s">
        <v>62</v>
      </c>
    </row>
    <row r="17" spans="1:13" ht="39.6">
      <c r="A17" s="12" t="str">
        <f t="shared" ref="A17:A18" si="0">A16</f>
        <v>TI</v>
      </c>
      <c r="B17" s="43" t="s">
        <v>373</v>
      </c>
      <c r="C17" s="43" t="s">
        <v>381</v>
      </c>
      <c r="D17" s="43" t="s">
        <v>57</v>
      </c>
      <c r="E17" s="43" t="s">
        <v>88</v>
      </c>
      <c r="F17" s="12">
        <v>4</v>
      </c>
      <c r="G17" s="43" t="s">
        <v>93</v>
      </c>
      <c r="H17" s="43"/>
      <c r="I17" s="6"/>
      <c r="J17" s="6"/>
      <c r="K17" s="12"/>
      <c r="L17" s="43" t="s">
        <v>386</v>
      </c>
      <c r="M17" s="43" t="s">
        <v>62</v>
      </c>
    </row>
    <row r="18" spans="1:13" ht="26.4">
      <c r="A18" s="12" t="str">
        <f t="shared" si="0"/>
        <v>TI</v>
      </c>
      <c r="B18" s="43" t="s">
        <v>374</v>
      </c>
      <c r="C18" s="43" t="s">
        <v>382</v>
      </c>
      <c r="D18" s="43" t="s">
        <v>57</v>
      </c>
      <c r="E18" s="14" t="str" cm="1">
        <f t="array" aca="1" ref="E18" ca="1">HYPERLINK("#"&amp;CELL("address", INDEX(ControlledTerms!D:D,MATCH("C66797",ControlledTerms!D:D,0))),"(IECAT)")</f>
        <v>(IECAT)</v>
      </c>
      <c r="F18" s="12">
        <v>5</v>
      </c>
      <c r="G18" s="43" t="s">
        <v>389</v>
      </c>
      <c r="H18" s="43"/>
      <c r="I18" s="6"/>
      <c r="J18" s="43"/>
      <c r="K18" s="12"/>
      <c r="L18" s="43" t="s">
        <v>387</v>
      </c>
      <c r="M18" s="43" t="s">
        <v>62</v>
      </c>
    </row>
    <row r="19" spans="1:13" ht="79.2">
      <c r="A19" s="12" t="str">
        <f t="shared" ref="A19:A21" si="1">A18</f>
        <v>TI</v>
      </c>
      <c r="B19" s="43" t="s">
        <v>375</v>
      </c>
      <c r="C19" s="43" t="s">
        <v>383</v>
      </c>
      <c r="D19" s="43" t="s">
        <v>57</v>
      </c>
      <c r="E19" s="14"/>
      <c r="F19" s="12">
        <v>6</v>
      </c>
      <c r="G19" s="43" t="s">
        <v>389</v>
      </c>
      <c r="H19" s="43"/>
      <c r="I19" s="6"/>
      <c r="J19" s="43"/>
      <c r="K19" s="12"/>
      <c r="L19" s="43" t="s">
        <v>388</v>
      </c>
      <c r="M19" s="43" t="s">
        <v>115</v>
      </c>
    </row>
    <row r="20" spans="1:13" ht="39.6">
      <c r="A20" s="12" t="str">
        <f t="shared" si="1"/>
        <v>TI</v>
      </c>
      <c r="B20" s="43" t="s">
        <v>376</v>
      </c>
      <c r="C20" s="43" t="s">
        <v>384</v>
      </c>
      <c r="D20" s="43" t="s">
        <v>57</v>
      </c>
      <c r="E20" s="14"/>
      <c r="F20" s="12">
        <v>7</v>
      </c>
      <c r="G20" s="43" t="s">
        <v>124</v>
      </c>
      <c r="H20" s="43"/>
      <c r="I20" s="6"/>
      <c r="J20" s="43"/>
      <c r="K20" s="12"/>
      <c r="L20" s="43" t="s">
        <v>390</v>
      </c>
      <c r="M20" s="43" t="s">
        <v>115</v>
      </c>
    </row>
    <row r="21" spans="1:13" ht="39.6">
      <c r="A21" s="12" t="str">
        <f t="shared" si="1"/>
        <v>TI</v>
      </c>
      <c r="B21" s="43" t="s">
        <v>377</v>
      </c>
      <c r="C21" s="43" t="s">
        <v>385</v>
      </c>
      <c r="D21" s="43" t="s">
        <v>57</v>
      </c>
      <c r="E21" s="14"/>
      <c r="F21" s="12">
        <v>8</v>
      </c>
      <c r="G21" s="43" t="s">
        <v>108</v>
      </c>
      <c r="H21" s="43"/>
      <c r="I21" s="6"/>
      <c r="J21" s="43"/>
      <c r="K21" s="12"/>
      <c r="L21" s="43" t="s">
        <v>391</v>
      </c>
      <c r="M21" s="43" t="s">
        <v>115</v>
      </c>
    </row>
  </sheetData>
  <autoFilter ref="A13:M15"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416" xr:uid="{C7BDC353-ECD4-40BE-B240-D5D0038AB54F}"/>
  </hyperlinks>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5883F-4225-45E0-8252-ABA2E9A5ED23}">
  <sheetPr codeName="Sheet13">
    <tabColor rgb="FFC00000"/>
  </sheetPr>
  <dimension ref="A1:M24"/>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2" t="s">
        <v>357</v>
      </c>
      <c r="C1" s="19"/>
      <c r="D1" s="19"/>
      <c r="E1" s="19"/>
      <c r="F1" s="19"/>
      <c r="G1" s="19"/>
      <c r="H1" s="19"/>
      <c r="I1" s="19"/>
      <c r="J1" s="19"/>
      <c r="K1" s="19"/>
      <c r="L1" s="19"/>
      <c r="M1" s="19"/>
    </row>
    <row r="2" spans="1:13">
      <c r="A2" s="13" t="str">
        <f>DatasetsName!$C$1</f>
        <v>Dataset Description</v>
      </c>
      <c r="B2" s="19" t="str">
        <f>INDEX(DatasetsName!A1:J107,MATCH(B1,DatasetsName!B:B, 0),3)</f>
        <v>Trial Summary</v>
      </c>
      <c r="C2" s="19"/>
      <c r="D2" s="19"/>
      <c r="E2" s="19"/>
      <c r="F2" s="19"/>
      <c r="G2" s="19"/>
      <c r="H2" s="19"/>
      <c r="I2" s="19"/>
      <c r="J2" s="19"/>
      <c r="K2" s="19"/>
      <c r="L2" s="19"/>
      <c r="M2" s="19"/>
    </row>
    <row r="3" spans="1:13">
      <c r="A3" s="13" t="str">
        <f>DatasetsName!$D$1</f>
        <v>Dataset Class</v>
      </c>
      <c r="B3" s="19" t="str">
        <f>INDEX(DatasetsName!A1:J107,MATCH(B1,DatasetsName!B:B, 0),4)</f>
        <v>Trial Design</v>
      </c>
      <c r="C3" s="19"/>
      <c r="D3" s="19"/>
      <c r="E3" s="19"/>
      <c r="F3" s="19"/>
      <c r="G3" s="19"/>
      <c r="H3" s="19"/>
      <c r="I3" s="19"/>
      <c r="J3" s="19"/>
      <c r="K3" s="19"/>
      <c r="L3" s="19"/>
      <c r="M3" s="19"/>
    </row>
    <row r="4" spans="1:13">
      <c r="A4" s="13" t="str">
        <f>DatasetsName!$E$1</f>
        <v>Dataset Structure</v>
      </c>
      <c r="B4" s="19" t="str">
        <f>INDEX(DatasetsName!A1:J107,MATCH(B1,DatasetsName!B:B, 0),5)</f>
        <v>One record per trial summary parameter value</v>
      </c>
      <c r="C4" s="19"/>
      <c r="D4" s="19"/>
      <c r="E4" s="19"/>
      <c r="F4" s="19"/>
      <c r="G4" s="19"/>
      <c r="H4" s="19"/>
      <c r="I4" s="19"/>
      <c r="J4" s="19"/>
      <c r="K4" s="19"/>
      <c r="L4" s="19"/>
      <c r="M4" s="19"/>
    </row>
    <row r="5" spans="1:13">
      <c r="A5" s="13" t="str">
        <f>DatasetsName!$F$1</f>
        <v>Dataset Purpose</v>
      </c>
      <c r="B5" s="19" t="str">
        <f>INDEX(DatasetsName!A1:J107,MATCH(B1,DatasetsName!B:B, 0),6)</f>
        <v>Tabulation</v>
      </c>
      <c r="C5" s="19"/>
      <c r="D5" s="19"/>
      <c r="E5" s="19"/>
      <c r="F5" s="19"/>
      <c r="G5" s="19"/>
      <c r="H5" s="19"/>
      <c r="I5" s="19"/>
      <c r="J5" s="19"/>
      <c r="K5" s="19"/>
      <c r="L5" s="19"/>
      <c r="M5" s="19"/>
    </row>
    <row r="6" spans="1:13">
      <c r="A6" s="13" t="str">
        <f>DatasetsName!$G$1</f>
        <v>Dataset Keys</v>
      </c>
      <c r="B6" s="19" t="str">
        <f>INDEX(DatasetsName!A1:J107,MATCH(B1,DatasetsName!B:B, 0),7)</f>
        <v>STUDYID, TSPARMCD,
TSSEQ</v>
      </c>
      <c r="C6" s="19"/>
      <c r="D6" s="19"/>
      <c r="E6" s="19"/>
      <c r="F6" s="19"/>
      <c r="G6" s="19"/>
      <c r="H6" s="19"/>
      <c r="I6" s="19"/>
      <c r="J6" s="19"/>
      <c r="K6" s="19"/>
      <c r="L6" s="19"/>
      <c r="M6" s="19"/>
    </row>
    <row r="7" spans="1:13">
      <c r="A7" s="13" t="str">
        <f>DatasetsName!$H$1</f>
        <v>Dataset Location</v>
      </c>
      <c r="B7" s="19" t="str">
        <f>INDEX(DatasetsName!A1:J107,MATCH(B1,DatasetsName!B:B, 0),8)</f>
        <v>ts.xpt</v>
      </c>
      <c r="C7" s="19"/>
      <c r="D7" s="19"/>
      <c r="E7" s="19"/>
      <c r="F7" s="19"/>
      <c r="G7" s="19"/>
      <c r="H7" s="19"/>
      <c r="I7" s="19"/>
      <c r="J7" s="19"/>
      <c r="K7" s="19"/>
      <c r="L7" s="19"/>
      <c r="M7" s="19"/>
    </row>
    <row r="8" spans="1:13">
      <c r="A8" s="13" t="s">
        <v>54</v>
      </c>
      <c r="B8" s="19" t="str">
        <f>INDEX(DatasetsName!A1:J107,MATCH(B1,DatasetsName!B:B, 0),9)</f>
        <v>&lt;enter program location&gt;</v>
      </c>
      <c r="C8" s="19"/>
      <c r="D8" s="19"/>
      <c r="E8" s="19"/>
      <c r="F8" s="19"/>
      <c r="G8" s="19"/>
      <c r="H8" s="19"/>
      <c r="I8" s="19"/>
      <c r="J8" s="19"/>
      <c r="K8" s="19"/>
      <c r="L8" s="19"/>
      <c r="M8" s="19"/>
    </row>
    <row r="9" spans="1:13">
      <c r="A9" s="13" t="s">
        <v>52</v>
      </c>
      <c r="B9" s="20" t="s">
        <v>189</v>
      </c>
      <c r="C9" s="20"/>
      <c r="D9" s="20"/>
      <c r="E9" s="20"/>
      <c r="F9" s="20"/>
      <c r="G9" s="20"/>
      <c r="H9" s="20"/>
      <c r="I9" s="20"/>
      <c r="J9" s="20"/>
      <c r="K9" s="20"/>
      <c r="L9" s="20"/>
      <c r="M9" s="20"/>
    </row>
    <row r="10" spans="1:13">
      <c r="A10" s="13" t="s">
        <v>53</v>
      </c>
      <c r="B10" s="20" t="s">
        <v>190</v>
      </c>
      <c r="C10" s="20"/>
      <c r="D10" s="20"/>
      <c r="E10" s="20"/>
      <c r="F10" s="20"/>
      <c r="G10" s="20"/>
      <c r="H10" s="20"/>
      <c r="I10" s="20"/>
      <c r="J10" s="20"/>
      <c r="K10" s="20"/>
      <c r="L10" s="20"/>
      <c r="M10" s="20"/>
    </row>
    <row r="11" spans="1:13">
      <c r="A11" s="13" t="s">
        <v>191</v>
      </c>
      <c r="B11" s="41" t="s">
        <v>1091</v>
      </c>
      <c r="C11" s="22"/>
      <c r="D11" s="22"/>
      <c r="E11" s="22"/>
      <c r="F11" s="22"/>
      <c r="G11" s="22"/>
      <c r="H11" s="22"/>
      <c r="I11" s="22"/>
      <c r="J11" s="22"/>
      <c r="K11" s="22"/>
      <c r="L11" s="22"/>
      <c r="M11" s="22"/>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TS</v>
      </c>
      <c r="B14" s="12" t="s">
        <v>55</v>
      </c>
      <c r="C14" s="12" t="s">
        <v>56</v>
      </c>
      <c r="D14" s="12" t="s">
        <v>57</v>
      </c>
      <c r="E14" s="12"/>
      <c r="F14" s="12">
        <v>1</v>
      </c>
      <c r="G14" s="12" t="s">
        <v>58</v>
      </c>
      <c r="H14" s="12" t="s">
        <v>59</v>
      </c>
      <c r="I14" s="6" t="s">
        <v>94</v>
      </c>
      <c r="J14" s="12" t="s">
        <v>60</v>
      </c>
      <c r="K14" s="12"/>
      <c r="L14" s="12" t="s">
        <v>61</v>
      </c>
      <c r="M14" s="12" t="s">
        <v>62</v>
      </c>
    </row>
    <row r="15" spans="1:13" ht="26.4">
      <c r="A15" s="12" t="str">
        <f>A14</f>
        <v>TS</v>
      </c>
      <c r="B15" s="12" t="s">
        <v>63</v>
      </c>
      <c r="C15" s="12" t="s">
        <v>64</v>
      </c>
      <c r="D15" s="12" t="s">
        <v>57</v>
      </c>
      <c r="E15" s="14" t="str" cm="1">
        <f t="array" aca="1" ref="E15" ca="1">HYPERLINK("#"&amp;CELL("address", INDEX(ControlledTerms!H:H,MATCH(B1,ControlledTerms!H:H,0))),B1)</f>
        <v>TS</v>
      </c>
      <c r="F15" s="12">
        <v>2</v>
      </c>
      <c r="G15" s="12" t="s">
        <v>58</v>
      </c>
      <c r="H15" s="12" t="s">
        <v>83</v>
      </c>
      <c r="I15" s="12">
        <v>2</v>
      </c>
      <c r="J15" s="43" t="s">
        <v>405</v>
      </c>
      <c r="K15" s="12"/>
      <c r="L15" s="12" t="s">
        <v>85</v>
      </c>
      <c r="M15" s="12" t="s">
        <v>62</v>
      </c>
    </row>
    <row r="16" spans="1:13" ht="52.8">
      <c r="A16" s="12" t="str">
        <f>A15</f>
        <v>TS</v>
      </c>
      <c r="B16" s="43" t="s">
        <v>406</v>
      </c>
      <c r="C16" s="43" t="s">
        <v>415</v>
      </c>
      <c r="D16" s="43" t="s">
        <v>102</v>
      </c>
      <c r="E16" s="43"/>
      <c r="F16" s="12">
        <v>3</v>
      </c>
      <c r="G16" s="43" t="s">
        <v>58</v>
      </c>
      <c r="H16" s="43"/>
      <c r="I16" s="12">
        <v>8</v>
      </c>
      <c r="J16" s="6"/>
      <c r="K16" s="12"/>
      <c r="L16" s="43" t="s">
        <v>425</v>
      </c>
      <c r="M16" s="43" t="s">
        <v>62</v>
      </c>
    </row>
    <row r="17" spans="1:13" ht="26.4">
      <c r="A17" s="12" t="str">
        <f t="shared" ref="A17:A24" si="0">A16</f>
        <v>TS</v>
      </c>
      <c r="B17" s="43" t="s">
        <v>407</v>
      </c>
      <c r="C17" s="43" t="s">
        <v>416</v>
      </c>
      <c r="D17" s="43" t="s">
        <v>57</v>
      </c>
      <c r="E17" s="43"/>
      <c r="F17" s="12">
        <v>4</v>
      </c>
      <c r="G17" s="43" t="s">
        <v>58</v>
      </c>
      <c r="H17" s="43"/>
      <c r="I17" s="6"/>
      <c r="J17" s="6"/>
      <c r="K17" s="12"/>
      <c r="L17" s="43" t="s">
        <v>426</v>
      </c>
      <c r="M17" s="43" t="s">
        <v>115</v>
      </c>
    </row>
    <row r="18" spans="1:13" ht="105.6">
      <c r="A18" s="12" t="str">
        <f t="shared" si="0"/>
        <v>TS</v>
      </c>
      <c r="B18" s="43" t="s">
        <v>408</v>
      </c>
      <c r="C18" s="43" t="s">
        <v>417</v>
      </c>
      <c r="D18" s="43" t="s">
        <v>57</v>
      </c>
      <c r="E18" s="14" t="str" cm="1">
        <f t="array" aca="1" ref="E18" ca="1">HYPERLINK("#"&amp;CELL("address", INDEX(ControlledTerms!D:D,MATCH("C66738",ControlledTerms!D:D,0))),"(TSPARMCD)")</f>
        <v>(TSPARMCD)</v>
      </c>
      <c r="F18" s="12">
        <v>5</v>
      </c>
      <c r="G18" s="43" t="s">
        <v>89</v>
      </c>
      <c r="H18" s="43"/>
      <c r="I18" s="6"/>
      <c r="J18" s="43"/>
      <c r="K18" s="12"/>
      <c r="L18" s="43" t="s">
        <v>427</v>
      </c>
      <c r="M18" s="43" t="s">
        <v>62</v>
      </c>
    </row>
    <row r="19" spans="1:13" ht="66">
      <c r="A19" s="12" t="str">
        <f t="shared" si="0"/>
        <v>TS</v>
      </c>
      <c r="B19" s="43" t="s">
        <v>409</v>
      </c>
      <c r="C19" s="43" t="s">
        <v>418</v>
      </c>
      <c r="D19" s="43" t="s">
        <v>57</v>
      </c>
      <c r="E19" s="14" t="str" cm="1">
        <f t="array" aca="1" ref="E19" ca="1">HYPERLINK("#"&amp;CELL("address", INDEX(ControlledTerms!D:D,MATCH("C67152",ControlledTerms!D:D,0))),"(TSPARM)")</f>
        <v>(TSPARM)</v>
      </c>
      <c r="F19" s="12">
        <v>6</v>
      </c>
      <c r="G19" s="43" t="s">
        <v>93</v>
      </c>
      <c r="H19" s="43"/>
      <c r="I19" s="6"/>
      <c r="J19" s="43"/>
      <c r="K19" s="12"/>
      <c r="L19" s="43" t="s">
        <v>428</v>
      </c>
      <c r="M19" s="43" t="s">
        <v>62</v>
      </c>
    </row>
    <row r="20" spans="1:13" ht="92.4">
      <c r="A20" s="12" t="str">
        <f t="shared" si="0"/>
        <v>TS</v>
      </c>
      <c r="B20" s="43" t="s">
        <v>410</v>
      </c>
      <c r="C20" s="43" t="s">
        <v>419</v>
      </c>
      <c r="D20" s="43" t="s">
        <v>57</v>
      </c>
      <c r="E20" s="14"/>
      <c r="F20" s="12">
        <v>7</v>
      </c>
      <c r="G20" s="43" t="s">
        <v>424</v>
      </c>
      <c r="H20" s="43"/>
      <c r="I20" s="6"/>
      <c r="J20" s="43"/>
      <c r="K20" s="12"/>
      <c r="L20" s="43" t="s">
        <v>429</v>
      </c>
      <c r="M20" s="43" t="s">
        <v>127</v>
      </c>
    </row>
    <row r="21" spans="1:13" ht="26.4">
      <c r="A21" s="12" t="str">
        <f t="shared" si="0"/>
        <v>TS</v>
      </c>
      <c r="B21" s="43" t="s">
        <v>411</v>
      </c>
      <c r="C21" s="43" t="s">
        <v>420</v>
      </c>
      <c r="D21" s="43" t="s">
        <v>57</v>
      </c>
      <c r="E21" s="14"/>
      <c r="F21" s="12">
        <v>8</v>
      </c>
      <c r="G21" s="43" t="s">
        <v>424</v>
      </c>
      <c r="H21" s="43"/>
      <c r="I21" s="6"/>
      <c r="J21" s="43"/>
      <c r="K21" s="12"/>
      <c r="L21" s="43" t="s">
        <v>430</v>
      </c>
      <c r="M21" s="43" t="s">
        <v>115</v>
      </c>
    </row>
    <row r="22" spans="1:13" ht="79.2">
      <c r="A22" s="12" t="str">
        <f t="shared" si="0"/>
        <v>TS</v>
      </c>
      <c r="B22" s="12" t="s">
        <v>412</v>
      </c>
      <c r="C22" s="12" t="s">
        <v>421</v>
      </c>
      <c r="D22" s="12" t="s">
        <v>57</v>
      </c>
      <c r="E22" s="12"/>
      <c r="F22" s="12">
        <v>9</v>
      </c>
      <c r="G22" s="12" t="s">
        <v>424</v>
      </c>
      <c r="H22" s="12"/>
      <c r="I22" s="12"/>
      <c r="J22" s="12"/>
      <c r="K22" s="12"/>
      <c r="L22" s="12" t="s">
        <v>431</v>
      </c>
      <c r="M22" s="12" t="s">
        <v>127</v>
      </c>
    </row>
    <row r="23" spans="1:13" ht="52.8">
      <c r="A23" s="12" t="str">
        <f t="shared" si="0"/>
        <v>TS</v>
      </c>
      <c r="B23" s="12" t="s">
        <v>413</v>
      </c>
      <c r="C23" s="12" t="s">
        <v>422</v>
      </c>
      <c r="D23" s="12" t="s">
        <v>57</v>
      </c>
      <c r="E23" s="14" t="str" cm="1">
        <f t="array" aca="1" ref="E23" ca="1">HYPERLINK("#"&amp;CELL("address", INDEX(ControlledTerms!D:D,MATCH("C66788",ControlledTerms!D:D,0))),"(DICTNAM)")</f>
        <v>(DICTNAM)</v>
      </c>
      <c r="F23" s="12">
        <v>10</v>
      </c>
      <c r="G23" s="12" t="s">
        <v>424</v>
      </c>
      <c r="H23" s="12"/>
      <c r="I23" s="12"/>
      <c r="J23" s="12"/>
      <c r="K23" s="12"/>
      <c r="L23" s="12" t="s">
        <v>432</v>
      </c>
      <c r="M23" s="12" t="s">
        <v>127</v>
      </c>
    </row>
    <row r="24" spans="1:13" ht="26.4">
      <c r="A24" s="12" t="str">
        <f t="shared" si="0"/>
        <v>TS</v>
      </c>
      <c r="B24" s="12" t="s">
        <v>414</v>
      </c>
      <c r="C24" s="12" t="s">
        <v>423</v>
      </c>
      <c r="D24" s="12" t="s">
        <v>57</v>
      </c>
      <c r="E24" s="12"/>
      <c r="F24" s="12">
        <v>11</v>
      </c>
      <c r="G24" s="12" t="s">
        <v>424</v>
      </c>
      <c r="H24" s="12"/>
      <c r="I24" s="12"/>
      <c r="J24" s="12"/>
      <c r="K24" s="12"/>
      <c r="L24" s="12" t="s">
        <v>433</v>
      </c>
      <c r="M24" s="12" t="s">
        <v>127</v>
      </c>
    </row>
  </sheetData>
  <autoFilter ref="A13:M15"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417" xr:uid="{88D5F73F-8EFA-4D28-A280-5D39ECA3C0E4}"/>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3A0B2-E52C-477D-9FF6-C8AA4DF3882F}">
  <sheetPr codeName="Sheet7"/>
  <dimension ref="A1:M16"/>
  <sheetViews>
    <sheetView showGridLines="0" workbookViewId="0">
      <selection activeCell="B2" sqref="B2:M8"/>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19" t="s">
        <v>226</v>
      </c>
      <c r="C1" s="19"/>
      <c r="D1" s="19"/>
      <c r="E1" s="19"/>
      <c r="F1" s="19"/>
      <c r="G1" s="19"/>
      <c r="H1" s="19"/>
      <c r="I1" s="19"/>
      <c r="J1" s="19"/>
      <c r="K1" s="19"/>
      <c r="L1" s="19"/>
      <c r="M1" s="19"/>
    </row>
    <row r="2" spans="1:13">
      <c r="A2" s="13" t="str">
        <f>DatasetsName!$C$1</f>
        <v>Dataset Description</v>
      </c>
      <c r="B2" s="19" t="str">
        <f>INDEX(DatasetsName!A1:J107,MATCH(B1,DatasetsName!B:B, 0),3)</f>
        <v>&lt;enter template description&gt;</v>
      </c>
      <c r="C2" s="19"/>
      <c r="D2" s="19"/>
      <c r="E2" s="19"/>
      <c r="F2" s="19"/>
      <c r="G2" s="19"/>
      <c r="H2" s="19"/>
      <c r="I2" s="19"/>
      <c r="J2" s="19"/>
      <c r="K2" s="19"/>
      <c r="L2" s="19"/>
      <c r="M2" s="19"/>
    </row>
    <row r="3" spans="1:13">
      <c r="A3" s="13" t="str">
        <f>DatasetsName!$D$1</f>
        <v>Dataset Class</v>
      </c>
      <c r="B3" s="19" t="str">
        <f>INDEX(DatasetsName!A1:J107,MATCH(B1,DatasetsName!B:B, 0),4)</f>
        <v>&lt;enter template class&gt;</v>
      </c>
      <c r="C3" s="19"/>
      <c r="D3" s="19"/>
      <c r="E3" s="19"/>
      <c r="F3" s="19"/>
      <c r="G3" s="19"/>
      <c r="H3" s="19"/>
      <c r="I3" s="19"/>
      <c r="J3" s="19"/>
      <c r="K3" s="19"/>
      <c r="L3" s="19"/>
      <c r="M3" s="19"/>
    </row>
    <row r="4" spans="1:13">
      <c r="A4" s="13" t="str">
        <f>DatasetsName!$E$1</f>
        <v>Dataset Structure</v>
      </c>
      <c r="B4" s="19" t="str">
        <f>INDEX(DatasetsName!A1:J107,MATCH(B1,DatasetsName!B:B, 0),5)</f>
        <v>One record per &lt;enter structure&gt;</v>
      </c>
      <c r="C4" s="19"/>
      <c r="D4" s="19"/>
      <c r="E4" s="19"/>
      <c r="F4" s="19"/>
      <c r="G4" s="19"/>
      <c r="H4" s="19"/>
      <c r="I4" s="19"/>
      <c r="J4" s="19"/>
      <c r="K4" s="19"/>
      <c r="L4" s="19"/>
      <c r="M4" s="19"/>
    </row>
    <row r="5" spans="1:13">
      <c r="A5" s="13" t="str">
        <f>DatasetsName!$F$1</f>
        <v>Dataset Purpose</v>
      </c>
      <c r="B5" s="19" t="str">
        <f>INDEX(DatasetsName!A1:J107,MATCH(B1,DatasetsName!B:B, 0),6)</f>
        <v>Tabulation</v>
      </c>
      <c r="C5" s="19"/>
      <c r="D5" s="19"/>
      <c r="E5" s="19"/>
      <c r="F5" s="19"/>
      <c r="G5" s="19"/>
      <c r="H5" s="19"/>
      <c r="I5" s="19"/>
      <c r="J5" s="19"/>
      <c r="K5" s="19"/>
      <c r="L5" s="19"/>
      <c r="M5" s="19"/>
    </row>
    <row r="6" spans="1:13">
      <c r="A6" s="13" t="str">
        <f>DatasetsName!$G$1</f>
        <v>Dataset Keys</v>
      </c>
      <c r="B6" s="19" t="str">
        <f>INDEX(DatasetsName!A1:J107,MATCH(B1,DatasetsName!B:B, 0),7)</f>
        <v>&lt;enter dataset keys&gt;</v>
      </c>
      <c r="C6" s="19"/>
      <c r="D6" s="19"/>
      <c r="E6" s="19"/>
      <c r="F6" s="19"/>
      <c r="G6" s="19"/>
      <c r="H6" s="19"/>
      <c r="I6" s="19"/>
      <c r="J6" s="19"/>
      <c r="K6" s="19"/>
      <c r="L6" s="19"/>
      <c r="M6" s="19"/>
    </row>
    <row r="7" spans="1:13">
      <c r="A7" s="13" t="str">
        <f>DatasetsName!$H$1</f>
        <v>Dataset Location</v>
      </c>
      <c r="B7" s="19" t="str">
        <f>INDEX(DatasetsName!A1:J107,MATCH(B1,DatasetsName!B:B, 0),8)</f>
        <v>&lt;enter dataset location&gt;</v>
      </c>
      <c r="C7" s="19"/>
      <c r="D7" s="19"/>
      <c r="E7" s="19"/>
      <c r="F7" s="19"/>
      <c r="G7" s="19"/>
      <c r="H7" s="19"/>
      <c r="I7" s="19"/>
      <c r="J7" s="19"/>
      <c r="K7" s="19"/>
      <c r="L7" s="19"/>
      <c r="M7" s="19"/>
    </row>
    <row r="8" spans="1:13">
      <c r="A8" s="13" t="s">
        <v>54</v>
      </c>
      <c r="B8" s="19" t="str">
        <f>INDEX(DatasetsName!A1:J107,MATCH(B1,DatasetsName!B:B, 0),9)</f>
        <v>&lt;enter program location&gt;</v>
      </c>
      <c r="C8" s="19"/>
      <c r="D8" s="19"/>
      <c r="E8" s="19"/>
      <c r="F8" s="19"/>
      <c r="G8" s="19"/>
      <c r="H8" s="19"/>
      <c r="I8" s="19"/>
      <c r="J8" s="19"/>
      <c r="K8" s="19"/>
      <c r="L8" s="19"/>
      <c r="M8" s="19"/>
    </row>
    <row r="9" spans="1:13">
      <c r="A9" s="13" t="s">
        <v>52</v>
      </c>
      <c r="B9" s="20" t="s">
        <v>189</v>
      </c>
      <c r="C9" s="20"/>
      <c r="D9" s="20"/>
      <c r="E9" s="20"/>
      <c r="F9" s="20"/>
      <c r="G9" s="20"/>
      <c r="H9" s="20"/>
      <c r="I9" s="20"/>
      <c r="J9" s="20"/>
      <c r="K9" s="20"/>
      <c r="L9" s="20"/>
      <c r="M9" s="20"/>
    </row>
    <row r="10" spans="1:13">
      <c r="A10" s="13" t="s">
        <v>53</v>
      </c>
      <c r="B10" s="20" t="s">
        <v>190</v>
      </c>
      <c r="C10" s="20"/>
      <c r="D10" s="20"/>
      <c r="E10" s="20"/>
      <c r="F10" s="20"/>
      <c r="G10" s="20"/>
      <c r="H10" s="20"/>
      <c r="I10" s="20"/>
      <c r="J10" s="20"/>
      <c r="K10" s="20"/>
      <c r="L10" s="20"/>
      <c r="M10" s="20"/>
    </row>
    <row r="11" spans="1:13">
      <c r="A11" s="13" t="s">
        <v>191</v>
      </c>
      <c r="B11" s="20" t="s">
        <v>246</v>
      </c>
      <c r="C11" s="20"/>
      <c r="D11" s="20"/>
      <c r="E11" s="20"/>
      <c r="F11" s="20"/>
      <c r="G11" s="20"/>
      <c r="H11" s="20"/>
      <c r="I11" s="20"/>
      <c r="J11" s="20"/>
      <c r="K11" s="20"/>
      <c r="L11" s="20"/>
      <c r="M11" s="2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Template</v>
      </c>
      <c r="B14" s="12" t="s">
        <v>55</v>
      </c>
      <c r="C14" s="12" t="s">
        <v>56</v>
      </c>
      <c r="D14" s="12" t="s">
        <v>57</v>
      </c>
      <c r="E14" s="12"/>
      <c r="F14" s="12">
        <v>1</v>
      </c>
      <c r="G14" s="12" t="s">
        <v>58</v>
      </c>
      <c r="H14" s="12" t="s">
        <v>59</v>
      </c>
      <c r="I14" s="6" t="s">
        <v>94</v>
      </c>
      <c r="J14" s="12" t="s">
        <v>60</v>
      </c>
      <c r="K14" s="12"/>
      <c r="L14" s="12" t="s">
        <v>61</v>
      </c>
      <c r="M14" s="12" t="s">
        <v>62</v>
      </c>
    </row>
    <row r="15" spans="1:13" ht="26.4">
      <c r="A15" s="12" t="str">
        <f>A14</f>
        <v>Template</v>
      </c>
      <c r="B15" s="12" t="s">
        <v>63</v>
      </c>
      <c r="C15" s="12" t="s">
        <v>64</v>
      </c>
      <c r="D15" s="12" t="s">
        <v>57</v>
      </c>
      <c r="E15" s="14"/>
      <c r="F15" s="12">
        <v>2</v>
      </c>
      <c r="G15" s="12" t="s">
        <v>58</v>
      </c>
      <c r="H15" s="12" t="s">
        <v>83</v>
      </c>
      <c r="I15" s="12">
        <v>2</v>
      </c>
      <c r="J15" s="12"/>
      <c r="K15" s="12"/>
      <c r="L15" s="12" t="s">
        <v>85</v>
      </c>
      <c r="M15" s="12" t="s">
        <v>62</v>
      </c>
    </row>
    <row r="16" spans="1:13" ht="26.4">
      <c r="A16" s="12" t="str">
        <f t="shared" ref="A16" si="0">A15</f>
        <v>Template</v>
      </c>
      <c r="B16" s="6" t="s">
        <v>233</v>
      </c>
      <c r="C16" s="6" t="s">
        <v>234</v>
      </c>
      <c r="D16" s="12" t="s">
        <v>235</v>
      </c>
      <c r="E16" s="12"/>
      <c r="F16" s="12"/>
      <c r="G16" s="12"/>
      <c r="H16" s="12"/>
      <c r="I16" s="6"/>
      <c r="J16" s="6"/>
      <c r="K16" s="12"/>
      <c r="L16" s="12"/>
      <c r="M16" s="12"/>
    </row>
  </sheetData>
  <autoFilter ref="A13:M16" xr:uid="{C0116BDF-748C-41FF-8411-4EB62BE4D9FB}"/>
  <mergeCells count="11">
    <mergeCell ref="B7:M7"/>
    <mergeCell ref="B8:M8"/>
    <mergeCell ref="B9:M9"/>
    <mergeCell ref="B10:M10"/>
    <mergeCell ref="B11:M11"/>
    <mergeCell ref="B1:M1"/>
    <mergeCell ref="B2:M2"/>
    <mergeCell ref="B3:M3"/>
    <mergeCell ref="B4:M4"/>
    <mergeCell ref="B5:M5"/>
    <mergeCell ref="B6:M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Instructions</vt:lpstr>
      <vt:lpstr>CoverPage</vt:lpstr>
      <vt:lpstr>DatasetsName</vt:lpstr>
      <vt:lpstr>ControlledTerms</vt:lpstr>
      <vt:lpstr>Format</vt:lpstr>
      <vt:lpstr>TA</vt:lpstr>
      <vt:lpstr>TE</vt:lpstr>
      <vt:lpstr>TV</vt:lpstr>
      <vt:lpstr>TD</vt:lpstr>
      <vt:lpstr>TM</vt:lpstr>
      <vt:lpstr>TI</vt:lpstr>
      <vt:lpstr>TS</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Jaeger</dc:creator>
  <cp:lastModifiedBy>Jonathan Jaeger</cp:lastModifiedBy>
  <dcterms:created xsi:type="dcterms:W3CDTF">2023-02-24T13:17:53Z</dcterms:created>
  <dcterms:modified xsi:type="dcterms:W3CDTF">2023-03-01T16:57:13Z</dcterms:modified>
</cp:coreProperties>
</file>