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G:\03_Projects\001_Website\jaeger-consulting.github.io\documents\"/>
    </mc:Choice>
  </mc:AlternateContent>
  <xr:revisionPtr revIDLastSave="0" documentId="13_ncr:1_{6F71EC9C-6654-4EB3-AF6E-8F5E31CD3BB8}" xr6:coauthVersionLast="47" xr6:coauthVersionMax="47" xr10:uidLastSave="{00000000-0000-0000-0000-000000000000}"/>
  <bookViews>
    <workbookView xWindow="-108" yWindow="-108" windowWidth="46296" windowHeight="25416" tabRatio="718" firstSheet="4" activeTab="27" xr2:uid="{C525D025-6BEF-4023-A943-D7FEA36ED865}"/>
  </bookViews>
  <sheets>
    <sheet name="Instructions" sheetId="3" r:id="rId1"/>
    <sheet name="CoverPage" sheetId="1" r:id="rId2"/>
    <sheet name="DatasetsName" sheetId="2" r:id="rId3"/>
    <sheet name="ControlledTerms" sheetId="6" r:id="rId4"/>
    <sheet name="Format" sheetId="9" r:id="rId5"/>
    <sheet name="TA" sheetId="5" r:id="rId6"/>
    <sheet name="TE" sheetId="7" r:id="rId7"/>
    <sheet name="TV" sheetId="10" r:id="rId8"/>
    <sheet name="TD" sheetId="11" r:id="rId9"/>
    <sheet name="TM" sheetId="12" r:id="rId10"/>
    <sheet name="TI" sheetId="13" r:id="rId11"/>
    <sheet name="TS" sheetId="14" r:id="rId12"/>
    <sheet name="CO" sheetId="15" r:id="rId13"/>
    <sheet name="DM" sheetId="16" r:id="rId14"/>
    <sheet name="SE" sheetId="17" r:id="rId15"/>
    <sheet name="SM" sheetId="18" r:id="rId16"/>
    <sheet name="SV" sheetId="19" r:id="rId17"/>
    <sheet name="CM" sheetId="20" r:id="rId18"/>
    <sheet name="EX" sheetId="21" r:id="rId19"/>
    <sheet name="EC" sheetId="22" r:id="rId20"/>
    <sheet name="PR" sheetId="23" r:id="rId21"/>
    <sheet name="AE" sheetId="24" r:id="rId22"/>
    <sheet name="BE" sheetId="25" r:id="rId23"/>
    <sheet name="DS" sheetId="26" r:id="rId24"/>
    <sheet name="HO" sheetId="27" r:id="rId25"/>
    <sheet name="MH" sheetId="28" r:id="rId26"/>
    <sheet name="DV" sheetId="29" r:id="rId27"/>
    <sheet name="DD" sheetId="30" r:id="rId28"/>
    <sheet name="Template" sheetId="8" r:id="rId29"/>
  </sheets>
  <definedNames>
    <definedName name="_xlnm._FilterDatabase" localSheetId="21" hidden="1">AE!$A$13:$M$50</definedName>
    <definedName name="_xlnm._FilterDatabase" localSheetId="22" hidden="1">BE!$A$13:$M$38</definedName>
    <definedName name="_xlnm._FilterDatabase" localSheetId="17" hidden="1">CM!$A$13:$M$54</definedName>
    <definedName name="_xlnm._FilterDatabase" localSheetId="12" hidden="1">CO!$A$13:$M$15</definedName>
    <definedName name="_xlnm._FilterDatabase" localSheetId="3" hidden="1">ControlledTerms!$A$2:$M$3469</definedName>
    <definedName name="_xlnm._FilterDatabase" localSheetId="2" hidden="1">DatasetsName!$A$1:$J$1</definedName>
    <definedName name="_xlnm._FilterDatabase" localSheetId="27" hidden="1">DD!$A$13:$M$25</definedName>
    <definedName name="_xlnm._FilterDatabase" localSheetId="13" hidden="1">DM!$A$13:$M$45</definedName>
    <definedName name="_xlnm._FilterDatabase" localSheetId="23" hidden="1">DS!$A$13:$M$29</definedName>
    <definedName name="_xlnm._FilterDatabase" localSheetId="26" hidden="1">DV!$A$13:$M$29</definedName>
    <definedName name="_xlnm._FilterDatabase" localSheetId="19" hidden="1">EC!$A$13:$M$50</definedName>
    <definedName name="_xlnm._FilterDatabase" localSheetId="18" hidden="1">EX!$A$13:$M$50</definedName>
    <definedName name="_xlnm._FilterDatabase" localSheetId="4" hidden="1">Format!$A$1:$B$2</definedName>
    <definedName name="_xlnm._FilterDatabase" localSheetId="24" hidden="1">HO!$A$13:$M$29</definedName>
    <definedName name="_xlnm._FilterDatabase" localSheetId="25" hidden="1">MH!$A$13:$M$29</definedName>
    <definedName name="_xlnm._FilterDatabase" localSheetId="20" hidden="1">PR!$A$13:$M$50</definedName>
    <definedName name="_xlnm._FilterDatabase" localSheetId="14" hidden="1">SE!$A$13:$M$26</definedName>
    <definedName name="_xlnm._FilterDatabase" localSheetId="15" hidden="1">SM!$A$13:$M$23</definedName>
    <definedName name="_xlnm._FilterDatabase" localSheetId="16" hidden="1">SV!$A$13:$M$23</definedName>
    <definedName name="_xlnm._FilterDatabase" localSheetId="5" hidden="1">TA!$A$13:$M$23</definedName>
    <definedName name="_xlnm._FilterDatabase" localSheetId="8" hidden="1">TD!$A$13:$M$15</definedName>
    <definedName name="_xlnm._FilterDatabase" localSheetId="6" hidden="1">TE!$A$13:$M$20</definedName>
    <definedName name="_xlnm._FilterDatabase" localSheetId="28" hidden="1">Template!$A$13:$M$16</definedName>
    <definedName name="_xlnm._FilterDatabase" localSheetId="10" hidden="1">TI!$A$13:$M$15</definedName>
    <definedName name="_xlnm._FilterDatabase" localSheetId="9" hidden="1">TM!$A$13:$M$15</definedName>
    <definedName name="_xlnm._FilterDatabase" localSheetId="11" hidden="1">TS!$A$13:$M$15</definedName>
    <definedName name="_xlnm._FilterDatabase" localSheetId="7" hidden="1">TV!$A$13:$M$15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30" l="1"/>
  <c r="A15" i="30" s="1"/>
  <c r="A16" i="30" s="1"/>
  <c r="A17" i="30" s="1"/>
  <c r="A18" i="30" s="1"/>
  <c r="A19" i="30" s="1"/>
  <c r="A20" i="30" s="1"/>
  <c r="A21" i="30" s="1"/>
  <c r="A22" i="30" s="1"/>
  <c r="A23" i="30" s="1"/>
  <c r="A24" i="30" s="1"/>
  <c r="A25" i="30" s="1"/>
  <c r="B8" i="30"/>
  <c r="B7" i="30"/>
  <c r="A7" i="30"/>
  <c r="B6" i="30"/>
  <c r="A6" i="30"/>
  <c r="B5" i="30"/>
  <c r="A5" i="30"/>
  <c r="B4" i="30"/>
  <c r="A4" i="30"/>
  <c r="B3" i="30"/>
  <c r="A3" i="30"/>
  <c r="B2" i="30"/>
  <c r="A2" i="30"/>
  <c r="A1" i="30"/>
  <c r="B24" i="2"/>
  <c r="B23" i="2"/>
  <c r="A14" i="29"/>
  <c r="A15" i="29" s="1"/>
  <c r="A16" i="29" s="1"/>
  <c r="A17" i="29" s="1"/>
  <c r="A18" i="29" s="1"/>
  <c r="A19" i="29" s="1"/>
  <c r="A20" i="29" s="1"/>
  <c r="A21" i="29" s="1"/>
  <c r="A22" i="29" s="1"/>
  <c r="A23" i="29" s="1"/>
  <c r="A24" i="29" s="1"/>
  <c r="A25" i="29" s="1"/>
  <c r="A26" i="29" s="1"/>
  <c r="A27" i="29" s="1"/>
  <c r="A28" i="29" s="1"/>
  <c r="A29" i="29" s="1"/>
  <c r="A7" i="29"/>
  <c r="A6" i="29"/>
  <c r="A5" i="29"/>
  <c r="A4" i="29"/>
  <c r="A3" i="29"/>
  <c r="A2" i="29"/>
  <c r="A1" i="29"/>
  <c r="B22" i="2"/>
  <c r="A14" i="28"/>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7" i="28"/>
  <c r="A6" i="28"/>
  <c r="A5" i="28"/>
  <c r="A4" i="28"/>
  <c r="A3" i="28"/>
  <c r="A2" i="28"/>
  <c r="A1" i="28"/>
  <c r="A30" i="27"/>
  <c r="A31" i="27" s="1"/>
  <c r="A32" i="27" s="1"/>
  <c r="A33" i="27" s="1"/>
  <c r="A34" i="27" s="1"/>
  <c r="A35" i="27" s="1"/>
  <c r="A36" i="27" s="1"/>
  <c r="A37" i="27" s="1"/>
  <c r="A38" i="27" s="1"/>
  <c r="A39" i="27" s="1"/>
  <c r="A40" i="27" s="1"/>
  <c r="A41" i="27" s="1"/>
  <c r="B21" i="2"/>
  <c r="A14" i="27"/>
  <c r="A15" i="27" s="1"/>
  <c r="A16" i="27" s="1"/>
  <c r="A17" i="27" s="1"/>
  <c r="A18" i="27" s="1"/>
  <c r="A19" i="27" s="1"/>
  <c r="A20" i="27" s="1"/>
  <c r="A21" i="27" s="1"/>
  <c r="A22" i="27" s="1"/>
  <c r="A23" i="27" s="1"/>
  <c r="A24" i="27" s="1"/>
  <c r="A25" i="27" s="1"/>
  <c r="A26" i="27" s="1"/>
  <c r="A27" i="27" s="1"/>
  <c r="A28" i="27" s="1"/>
  <c r="A29" i="27" s="1"/>
  <c r="A7" i="27"/>
  <c r="A6" i="27"/>
  <c r="A5" i="27"/>
  <c r="A4" i="27"/>
  <c r="A3" i="27"/>
  <c r="A2" i="27"/>
  <c r="A1" i="27"/>
  <c r="A14" i="26"/>
  <c r="A15" i="26" s="1"/>
  <c r="A16" i="26" s="1"/>
  <c r="A17" i="26" s="1"/>
  <c r="A18" i="26" s="1"/>
  <c r="A19" i="26" s="1"/>
  <c r="A20" i="26" s="1"/>
  <c r="A21" i="26" s="1"/>
  <c r="A22" i="26" s="1"/>
  <c r="A23" i="26" s="1"/>
  <c r="A24" i="26" s="1"/>
  <c r="A25" i="26" s="1"/>
  <c r="A26" i="26" s="1"/>
  <c r="A27" i="26" s="1"/>
  <c r="A28" i="26" s="1"/>
  <c r="A29" i="26" s="1"/>
  <c r="A7" i="26"/>
  <c r="A6" i="26"/>
  <c r="A5" i="26"/>
  <c r="A4" i="26"/>
  <c r="A3" i="26"/>
  <c r="A2" i="26"/>
  <c r="A1" i="26"/>
  <c r="B20" i="2"/>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7" i="25"/>
  <c r="A6" i="25"/>
  <c r="A5" i="25"/>
  <c r="A4" i="25"/>
  <c r="A3" i="25"/>
  <c r="A2" i="25"/>
  <c r="A1" i="25"/>
  <c r="B19" i="2"/>
  <c r="A59" i="24"/>
  <c r="A60" i="24"/>
  <c r="A61" i="24"/>
  <c r="A62" i="24"/>
  <c r="A63" i="24"/>
  <c r="A64" i="24"/>
  <c r="A65" i="24"/>
  <c r="A66" i="24"/>
  <c r="A67" i="24"/>
  <c r="A68" i="24"/>
  <c r="A69" i="24"/>
  <c r="A70" i="24"/>
  <c r="A71" i="24"/>
  <c r="A72" i="24"/>
  <c r="A73" i="24"/>
  <c r="B18" i="2"/>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B2" i="2"/>
  <c r="B3" i="2"/>
  <c r="B5" i="11" s="1"/>
  <c r="B4" i="2"/>
  <c r="B5" i="2"/>
  <c r="B6" i="2"/>
  <c r="B7" i="2"/>
  <c r="B8" i="2"/>
  <c r="B9" i="2"/>
  <c r="B10" i="2"/>
  <c r="B11" i="2"/>
  <c r="B12" i="2"/>
  <c r="B5" i="19" s="1"/>
  <c r="B13" i="2"/>
  <c r="B14" i="2"/>
  <c r="B15" i="2"/>
  <c r="B16" i="2"/>
  <c r="B17" i="2"/>
  <c r="A7" i="24"/>
  <c r="A6" i="24"/>
  <c r="A5" i="24"/>
  <c r="A4" i="24"/>
  <c r="A3" i="24"/>
  <c r="A2" i="24"/>
  <c r="A1" i="24"/>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7" i="23"/>
  <c r="A6" i="23"/>
  <c r="A5" i="23"/>
  <c r="A4" i="23"/>
  <c r="A3" i="23"/>
  <c r="A2" i="23"/>
  <c r="A1" i="23"/>
  <c r="A51" i="22"/>
  <c r="A52" i="22"/>
  <c r="A53" i="22"/>
  <c r="A54" i="22"/>
  <c r="A55" i="22"/>
  <c r="A56" i="22"/>
  <c r="A57" i="22"/>
  <c r="A58"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7" i="22"/>
  <c r="A6" i="22"/>
  <c r="A5" i="22"/>
  <c r="A4" i="22"/>
  <c r="A3" i="22"/>
  <c r="A2" i="22"/>
  <c r="A1" i="22"/>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7" i="21"/>
  <c r="A6" i="21"/>
  <c r="A5" i="21"/>
  <c r="A4" i="21"/>
  <c r="A3" i="21"/>
  <c r="A2" i="21"/>
  <c r="A1" i="21"/>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7" i="20"/>
  <c r="A6" i="20"/>
  <c r="A5" i="20"/>
  <c r="A4" i="20"/>
  <c r="A3" i="20"/>
  <c r="A2" i="20"/>
  <c r="A1" i="20"/>
  <c r="A24" i="19"/>
  <c r="A25" i="19"/>
  <c r="A26" i="19"/>
  <c r="A27" i="19"/>
  <c r="A28" i="19"/>
  <c r="A29" i="19"/>
  <c r="A14" i="19"/>
  <c r="A15" i="19"/>
  <c r="A16" i="19"/>
  <c r="A17" i="19"/>
  <c r="A18" i="19"/>
  <c r="A19" i="19"/>
  <c r="A20" i="19"/>
  <c r="A21" i="19"/>
  <c r="A22" i="19"/>
  <c r="A23" i="19"/>
  <c r="A7" i="19"/>
  <c r="A6" i="19"/>
  <c r="A5" i="19"/>
  <c r="A4" i="19"/>
  <c r="A3" i="19"/>
  <c r="A2" i="19"/>
  <c r="A1" i="19"/>
  <c r="A14" i="18"/>
  <c r="A15" i="18"/>
  <c r="A16" i="18"/>
  <c r="A17" i="18"/>
  <c r="A18" i="18"/>
  <c r="A19" i="18"/>
  <c r="A20" i="18"/>
  <c r="A21" i="18"/>
  <c r="A22" i="18"/>
  <c r="A23" i="18"/>
  <c r="A7" i="18"/>
  <c r="A6" i="18"/>
  <c r="A5" i="18"/>
  <c r="A4" i="18"/>
  <c r="A3" i="18"/>
  <c r="A2" i="18"/>
  <c r="A1" i="18"/>
  <c r="A1" i="17"/>
  <c r="A14" i="17"/>
  <c r="A15" i="17"/>
  <c r="A16" i="17"/>
  <c r="A17" i="17"/>
  <c r="A18" i="17"/>
  <c r="A19" i="17"/>
  <c r="A20" i="17"/>
  <c r="A21" i="17"/>
  <c r="A22" i="17"/>
  <c r="A23" i="17"/>
  <c r="A24" i="17"/>
  <c r="A25" i="17"/>
  <c r="A26" i="17"/>
  <c r="A7" i="17"/>
  <c r="A6" i="17"/>
  <c r="A5" i="17"/>
  <c r="A4" i="17"/>
  <c r="A3" i="17"/>
  <c r="A2" i="17"/>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7" i="16"/>
  <c r="A6" i="16"/>
  <c r="A5" i="16"/>
  <c r="A4" i="16"/>
  <c r="A3" i="16"/>
  <c r="A2" i="16"/>
  <c r="A1" i="16"/>
  <c r="A16" i="15"/>
  <c r="A17" i="15"/>
  <c r="A18" i="15"/>
  <c r="A19" i="15"/>
  <c r="A20" i="15"/>
  <c r="A21" i="15"/>
  <c r="A22" i="15"/>
  <c r="A23" i="15"/>
  <c r="A24" i="15"/>
  <c r="A25" i="15"/>
  <c r="A26" i="15"/>
  <c r="A14" i="15"/>
  <c r="A15" i="15"/>
  <c r="A7" i="15"/>
  <c r="A6" i="15"/>
  <c r="A5" i="15"/>
  <c r="A4" i="15"/>
  <c r="A3" i="15"/>
  <c r="A2" i="15"/>
  <c r="A1" i="15"/>
  <c r="A22" i="14"/>
  <c r="A23" i="14"/>
  <c r="A24" i="14"/>
  <c r="A14" i="14"/>
  <c r="A15" i="14"/>
  <c r="A16" i="14"/>
  <c r="A17" i="14"/>
  <c r="A18" i="14"/>
  <c r="A19" i="14"/>
  <c r="A20" i="14"/>
  <c r="A21" i="14"/>
  <c r="A7" i="14"/>
  <c r="A6" i="14"/>
  <c r="A5" i="14"/>
  <c r="A4" i="14"/>
  <c r="A3" i="14"/>
  <c r="A2" i="14"/>
  <c r="A1" i="14"/>
  <c r="A14" i="13"/>
  <c r="A15" i="13"/>
  <c r="A16" i="13"/>
  <c r="A17" i="13"/>
  <c r="A18" i="13"/>
  <c r="A19" i="13"/>
  <c r="A20" i="13"/>
  <c r="A21" i="13"/>
  <c r="A7" i="13"/>
  <c r="A6" i="13"/>
  <c r="A5" i="13"/>
  <c r="A4" i="13"/>
  <c r="A3" i="13"/>
  <c r="A2" i="13"/>
  <c r="A1" i="13"/>
  <c r="A14" i="12"/>
  <c r="A15" i="12"/>
  <c r="A16" i="12"/>
  <c r="A17" i="12"/>
  <c r="A18" i="12"/>
  <c r="A7" i="12"/>
  <c r="A6" i="12"/>
  <c r="A5" i="12"/>
  <c r="A4" i="12"/>
  <c r="A3" i="12"/>
  <c r="A2" i="12"/>
  <c r="A1" i="12"/>
  <c r="A14" i="11"/>
  <c r="A15" i="11"/>
  <c r="A16" i="11"/>
  <c r="A17" i="11"/>
  <c r="A18" i="11"/>
  <c r="A19" i="11"/>
  <c r="A20" i="11"/>
  <c r="A21" i="11"/>
  <c r="A22" i="11"/>
  <c r="A7" i="11"/>
  <c r="A6" i="11"/>
  <c r="A5" i="11"/>
  <c r="A4" i="11"/>
  <c r="A3" i="11"/>
  <c r="A2" i="11"/>
  <c r="A1" i="11"/>
  <c r="A14" i="10"/>
  <c r="A15" i="10"/>
  <c r="A16" i="10"/>
  <c r="A17" i="10"/>
  <c r="A18" i="10"/>
  <c r="A19" i="10"/>
  <c r="A20" i="10"/>
  <c r="A21" i="10"/>
  <c r="A22" i="10"/>
  <c r="A7" i="10"/>
  <c r="A6" i="10"/>
  <c r="A5" i="10"/>
  <c r="A4" i="10"/>
  <c r="A3" i="10"/>
  <c r="A2" i="10"/>
  <c r="A1" i="10"/>
  <c r="B6" i="18"/>
  <c r="B3" i="16"/>
  <c r="B2" i="17"/>
  <c r="B8" i="15"/>
  <c r="B6" i="10"/>
  <c r="B4" i="12"/>
  <c r="B3" i="12"/>
  <c r="B2" i="13"/>
  <c r="B6" i="5"/>
  <c r="B8" i="10"/>
  <c r="B3" i="13"/>
  <c r="B7" i="12"/>
  <c r="B3" i="14"/>
  <c r="B3" i="10"/>
  <c r="B8" i="5"/>
  <c r="B3" i="11"/>
  <c r="B5" i="13"/>
  <c r="B4" i="5"/>
  <c r="B4" i="10"/>
  <c r="B8" i="7"/>
  <c r="B5" i="14"/>
  <c r="B2" i="7"/>
  <c r="B2" i="10"/>
  <c r="B5" i="10"/>
  <c r="B2" i="11"/>
  <c r="B6" i="13"/>
  <c r="B5" i="7"/>
  <c r="B6" i="7"/>
  <c r="B8" i="11"/>
  <c r="B2" i="5"/>
  <c r="B3" i="5"/>
  <c r="B4" i="11"/>
  <c r="B3" i="7"/>
  <c r="B4" i="7"/>
  <c r="B6" i="11"/>
  <c r="B7" i="11"/>
  <c r="B7" i="7"/>
  <c r="B2" i="12"/>
  <c r="B5" i="12"/>
  <c r="B6" i="12"/>
  <c r="A14" i="8"/>
  <c r="A15" i="8"/>
  <c r="A16" i="8"/>
  <c r="A7" i="8"/>
  <c r="A6" i="8"/>
  <c r="A5" i="8"/>
  <c r="A4" i="8"/>
  <c r="A3" i="8"/>
  <c r="A2" i="8"/>
  <c r="A1" i="8"/>
  <c r="A14" i="7"/>
  <c r="A15" i="7"/>
  <c r="A16" i="7"/>
  <c r="A17" i="7"/>
  <c r="A18" i="7"/>
  <c r="A19" i="7"/>
  <c r="A20" i="7"/>
  <c r="A14" i="5"/>
  <c r="A15" i="5"/>
  <c r="A16" i="5"/>
  <c r="A17" i="5"/>
  <c r="A18" i="5"/>
  <c r="A19" i="5"/>
  <c r="A20" i="5"/>
  <c r="A21" i="5"/>
  <c r="A22" i="5"/>
  <c r="A23" i="5"/>
  <c r="A7" i="7"/>
  <c r="A6" i="7"/>
  <c r="A5" i="7"/>
  <c r="A4" i="7"/>
  <c r="A3" i="7"/>
  <c r="A2" i="7"/>
  <c r="A1" i="7"/>
  <c r="A7" i="5"/>
  <c r="A6" i="5"/>
  <c r="A5" i="5"/>
  <c r="A4" i="5"/>
  <c r="A3" i="5"/>
  <c r="A2" i="5"/>
  <c r="A1" i="5"/>
  <c r="E18" i="30" a="1"/>
  <c r="E19" i="30" a="1"/>
  <c r="E23" i="30" a="1"/>
  <c r="E24" i="30" a="1"/>
  <c r="E15" i="30" a="1"/>
  <c r="E27" i="29" a="1"/>
  <c r="E26" i="29" a="1"/>
  <c r="E25" i="29" a="1"/>
  <c r="E15" i="29" a="1"/>
  <c r="E24" i="28" a="1"/>
  <c r="E27" i="28" a="1"/>
  <c r="E28" i="28" a="1"/>
  <c r="E29" i="28" a="1"/>
  <c r="E33" i="28" a="1"/>
  <c r="E36" i="28" a="1"/>
  <c r="E35" i="28" a="1"/>
  <c r="E34" i="28" a="1"/>
  <c r="E39" i="28" a="1"/>
  <c r="E38" i="28" a="1"/>
  <c r="E15" i="28" a="1"/>
  <c r="E27" i="27" a="1"/>
  <c r="E26" i="27" a="1"/>
  <c r="E25" i="27" a="1"/>
  <c r="E22" i="27" a="1"/>
  <c r="E30" i="27" a="1"/>
  <c r="E25" i="26" a="1"/>
  <c r="E33" i="27" a="1"/>
  <c r="E32" i="27" a="1"/>
  <c r="E31" i="27" a="1"/>
  <c r="E26" i="26" a="1"/>
  <c r="E37" i="27" a="1"/>
  <c r="E38" i="27" a="1"/>
  <c r="E40" i="27" a="1"/>
  <c r="E15" i="27" a="1"/>
  <c r="E22" i="26" a="1"/>
  <c r="E24" i="26" a="1"/>
  <c r="E23" i="26" a="1"/>
  <c r="E27" i="26" a="1"/>
  <c r="E15" i="26" a="1"/>
  <c r="E24" i="25" a="1"/>
  <c r="E65" i="24" a="1"/>
  <c r="E54" i="24" a="1"/>
  <c r="E40" i="24" a="1"/>
  <c r="E45" i="22" a="1"/>
  <c r="E50" i="22" a="1"/>
  <c r="E18" i="16" a="1"/>
  <c r="E25" i="15" a="1"/>
  <c r="E27" i="16" a="1"/>
  <c r="E18" i="11" a="1"/>
  <c r="E41" i="16" a="1"/>
  <c r="E54" i="23" a="1"/>
  <c r="E35" i="23" a="1"/>
  <c r="E56" i="22" a="1"/>
  <c r="E30" i="21" a="1"/>
  <c r="E21" i="16" a="1"/>
  <c r="E20" i="16" a="1"/>
  <c r="E35" i="20" a="1"/>
  <c r="E44" i="16" a="1"/>
  <c r="E34" i="16" a="1"/>
  <c r="E23" i="16" a="1"/>
  <c r="E15" i="12" a="1"/>
  <c r="E27" i="25" a="1"/>
  <c r="E62" i="24" a="1"/>
  <c r="E53" i="24" a="1"/>
  <c r="E39" i="24" a="1"/>
  <c r="E28" i="24" a="1"/>
  <c r="E43" i="22" a="1"/>
  <c r="E28" i="22" a="1"/>
  <c r="E53" i="22" a="1"/>
  <c r="E29" i="21" a="1"/>
  <c r="E15" i="17" a="1"/>
  <c r="E15" i="15" a="1"/>
  <c r="E20" i="18" a="1"/>
  <c r="E23" i="14" a="1"/>
  <c r="E15" i="5" a="1"/>
  <c r="E25" i="20" a="1"/>
  <c r="E46" i="23" a="1"/>
  <c r="E33" i="23" a="1"/>
  <c r="E49" i="22" a="1"/>
  <c r="E28" i="21" a="1"/>
  <c r="E43" i="16" a="1"/>
  <c r="E19" i="19" a="1"/>
  <c r="E23" i="19" a="1"/>
  <c r="E18" i="14" a="1"/>
  <c r="E15" i="7" a="1"/>
  <c r="E27" i="22" a="1"/>
  <c r="E15" i="22" a="1"/>
  <c r="E49" i="20" a="1"/>
  <c r="E23" i="5" a="1"/>
  <c r="E26" i="23" a="1"/>
  <c r="E36" i="16" a="1"/>
  <c r="E38" i="25" a="1"/>
  <c r="E49" i="24" a="1"/>
  <c r="E52" i="24" a="1"/>
  <c r="E38" i="24" a="1"/>
  <c r="E27" i="24" a="1"/>
  <c r="E41" i="22" a="1"/>
  <c r="E16" i="15" a="1"/>
  <c r="E25" i="19" a="1"/>
  <c r="E15" i="13" a="1"/>
  <c r="E15" i="25" a="1"/>
  <c r="E45" i="23" a="1"/>
  <c r="E32" i="23" a="1"/>
  <c r="E50" i="21" a="1"/>
  <c r="E51" i="20" a="1"/>
  <c r="E39" i="20" a="1"/>
  <c r="E15" i="18" a="1"/>
  <c r="E15" i="19" a="1"/>
  <c r="E19" i="14" a="1"/>
  <c r="E24" i="22" a="1"/>
  <c r="E21" i="11" a="1"/>
  <c r="E36" i="21" a="1"/>
  <c r="E35" i="25" a="1"/>
  <c r="E72" i="24" a="1"/>
  <c r="E59" i="24" a="1"/>
  <c r="E51" i="24" a="1"/>
  <c r="E37" i="24" a="1"/>
  <c r="E26" i="24" a="1"/>
  <c r="E40" i="22" a="1"/>
  <c r="E42" i="21" a="1"/>
  <c r="E36" i="20" a="1"/>
  <c r="E50" i="20" a="1"/>
  <c r="E20" i="7" a="1"/>
  <c r="E25" i="16" a="1"/>
  <c r="E35" i="16" a="1"/>
  <c r="E44" i="23" a="1"/>
  <c r="E31" i="23" a="1"/>
  <c r="E48" i="21" a="1"/>
  <c r="E53" i="20" a="1"/>
  <c r="E26" i="20" a="1"/>
  <c r="E15" i="21" a="1"/>
  <c r="E27" i="20" a="1"/>
  <c r="E15" i="10" a="1"/>
  <c r="E19" i="11" a="1"/>
  <c r="E41" i="21" a="1"/>
  <c r="E43" i="20" a="1"/>
  <c r="E34" i="25" a="1"/>
  <c r="E71" i="24" a="1"/>
  <c r="E58" i="24" a="1"/>
  <c r="E50" i="24" a="1"/>
  <c r="E36" i="24" a="1"/>
  <c r="E25" i="24" a="1"/>
  <c r="E39" i="22" a="1"/>
  <c r="E45" i="21" a="1"/>
  <c r="E20" i="19" a="1"/>
  <c r="E23" i="17" a="1"/>
  <c r="E15" i="16" a="1"/>
  <c r="E24" i="15" a="1"/>
  <c r="E26" i="19" a="1"/>
  <c r="E34" i="20" a="1"/>
  <c r="E18" i="13" a="1"/>
  <c r="E15" i="24" a="1"/>
  <c r="E57" i="23" a="1"/>
  <c r="E39" i="23" a="1"/>
  <c r="E23" i="23" a="1"/>
  <c r="E33" i="25" a="1"/>
  <c r="E70" i="24" a="1"/>
  <c r="E57" i="24" a="1"/>
  <c r="E44" i="24" a="1"/>
  <c r="E34" i="24" a="1"/>
  <c r="E24" i="24" a="1"/>
  <c r="E37" i="22" a="1"/>
  <c r="E40" i="21" a="1"/>
  <c r="E55" i="23" a="1"/>
  <c r="E38" i="23" a="1"/>
  <c r="E27" i="23" a="1"/>
  <c r="E21" i="17" a="1"/>
  <c r="E21" i="18" a="1"/>
  <c r="E24" i="16" a="1"/>
  <c r="E22" i="19" a="1"/>
  <c r="E67" i="24" a="1"/>
  <c r="E56" i="24" a="1"/>
  <c r="E42" i="24" a="1"/>
  <c r="E31" i="24" a="1"/>
  <c r="E15" i="23" a="1"/>
  <c r="E42" i="22" a="1"/>
  <c r="E34" i="22" a="1"/>
  <c r="E37" i="21" a="1"/>
  <c r="E48" i="20" a="1"/>
  <c r="E45" i="20" a="1"/>
  <c r="E15" i="20" a="1"/>
  <c r="E18" i="12" a="1"/>
  <c r="E37" i="23" a="1"/>
  <c r="E52" i="23" a="1"/>
  <c r="E66" i="24" a="1"/>
  <c r="E55" i="24" a="1"/>
  <c r="E41" i="24" a="1"/>
  <c r="E30" i="24" a="1"/>
  <c r="E48" i="22" a="1"/>
  <c r="E33" i="22" a="1"/>
  <c r="E35" i="21" a="1"/>
  <c r="E22" i="17" a="1"/>
  <c r="E23" i="15" a="1"/>
  <c r="E31" i="16" a="1"/>
  <c r="E20" i="11" a="1"/>
  <c r="E49" i="23" a="1"/>
  <c r="E36" i="23" a="1"/>
  <c r="E58" i="22" a="1"/>
  <c r="E34" i="21" a="1"/>
  <c r="E22" i="16" a="1"/>
  <c r="E33" i="16" a="1"/>
  <c r="E26" i="16" a="1"/>
  <c r="E15" i="11" a="1"/>
  <c r="E29" i="24" a="1"/>
  <c r="E32" i="22" a="1"/>
  <c r="E32" i="21" a="1"/>
  <c r="E19" i="16" a="1"/>
  <c r="E15" i="14" a="1"/>
  <c r="E44" i="20" a="1"/>
  <c r="E18" i="30" l="1"/>
  <c r="E19" i="30"/>
  <c r="E23" i="30"/>
  <c r="E24" i="30"/>
  <c r="E15" i="30"/>
  <c r="B8" i="18"/>
  <c r="B4" i="19"/>
  <c r="B7" i="18"/>
  <c r="B3" i="29"/>
  <c r="B4" i="17"/>
  <c r="B6" i="19"/>
  <c r="B5" i="5"/>
  <c r="B7" i="13"/>
  <c r="B7" i="10"/>
  <c r="B5" i="17"/>
  <c r="B3" i="20"/>
  <c r="B6" i="17"/>
  <c r="B4" i="20"/>
  <c r="B2" i="29"/>
  <c r="B4" i="14"/>
  <c r="B2" i="14"/>
  <c r="B6" i="16"/>
  <c r="B5" i="20"/>
  <c r="B7" i="17"/>
  <c r="B7" i="16"/>
  <c r="B6" i="20"/>
  <c r="B8" i="17"/>
  <c r="B7" i="20"/>
  <c r="B8" i="28"/>
  <c r="B6" i="14"/>
  <c r="B4" i="29"/>
  <c r="B3" i="15"/>
  <c r="B8" i="20"/>
  <c r="B2" i="18"/>
  <c r="B6" i="8"/>
  <c r="B8" i="14"/>
  <c r="B8" i="13"/>
  <c r="B4" i="13"/>
  <c r="B5" i="15"/>
  <c r="B3" i="18"/>
  <c r="B5" i="29"/>
  <c r="B8" i="16"/>
  <c r="B4" i="15"/>
  <c r="B7" i="14"/>
  <c r="B7" i="5"/>
  <c r="B6" i="15"/>
  <c r="B4" i="18"/>
  <c r="B5" i="21"/>
  <c r="B7" i="15"/>
  <c r="B5" i="18"/>
  <c r="B6" i="29"/>
  <c r="B7" i="29"/>
  <c r="B8" i="29"/>
  <c r="B2" i="16"/>
  <c r="B3" i="17"/>
  <c r="E27" i="29"/>
  <c r="E26" i="29"/>
  <c r="E25" i="29"/>
  <c r="E15" i="29"/>
  <c r="E24" i="28"/>
  <c r="E27" i="28"/>
  <c r="E28" i="28"/>
  <c r="E29" i="28"/>
  <c r="E33" i="28"/>
  <c r="E36" i="28"/>
  <c r="E35" i="28"/>
  <c r="E34" i="28"/>
  <c r="E39" i="28"/>
  <c r="E38" i="28"/>
  <c r="B7" i="21"/>
  <c r="B2" i="28"/>
  <c r="B3" i="28"/>
  <c r="B4" i="28"/>
  <c r="B7" i="19"/>
  <c r="B4" i="16"/>
  <c r="B8" i="19"/>
  <c r="B5" i="28"/>
  <c r="B2" i="15"/>
  <c r="B2" i="20"/>
  <c r="B6" i="28"/>
  <c r="B7" i="28"/>
  <c r="B8" i="26"/>
  <c r="E15" i="28"/>
  <c r="E27" i="27"/>
  <c r="E26" i="27"/>
  <c r="E25" i="27"/>
  <c r="E22" i="27"/>
  <c r="E30" i="27"/>
  <c r="E25" i="26"/>
  <c r="E33" i="27"/>
  <c r="E32" i="27"/>
  <c r="E31" i="27"/>
  <c r="E26" i="26"/>
  <c r="E37" i="27"/>
  <c r="E38" i="27"/>
  <c r="E40" i="27"/>
  <c r="B3" i="8"/>
  <c r="B8" i="21"/>
  <c r="B7" i="23"/>
  <c r="B2" i="8"/>
  <c r="B8" i="8"/>
  <c r="B2" i="27"/>
  <c r="B5" i="8"/>
  <c r="B2" i="26"/>
  <c r="B3" i="27"/>
  <c r="B3" i="26"/>
  <c r="B4" i="27"/>
  <c r="B4" i="26"/>
  <c r="B5" i="27"/>
  <c r="B4" i="23"/>
  <c r="B5" i="26"/>
  <c r="B2" i="22"/>
  <c r="B2" i="21"/>
  <c r="B6" i="27"/>
  <c r="B6" i="26"/>
  <c r="B5" i="22"/>
  <c r="B7" i="27"/>
  <c r="B2" i="24"/>
  <c r="B7" i="26"/>
  <c r="B8" i="27"/>
  <c r="B4" i="21"/>
  <c r="B7" i="8"/>
  <c r="B6" i="22"/>
  <c r="B8" i="22"/>
  <c r="B5" i="24"/>
  <c r="B4" i="25"/>
  <c r="E15" i="27"/>
  <c r="E22" i="26"/>
  <c r="E24" i="26"/>
  <c r="E23" i="26"/>
  <c r="E27" i="26"/>
  <c r="E15" i="26"/>
  <c r="B4" i="8"/>
  <c r="B3" i="24"/>
  <c r="B5" i="25"/>
  <c r="B2" i="19"/>
  <c r="B3" i="22"/>
  <c r="B8" i="12"/>
  <c r="B5" i="16"/>
  <c r="B3" i="19"/>
  <c r="B3" i="21"/>
  <c r="B4" i="24"/>
  <c r="B6" i="25"/>
  <c r="B4" i="22"/>
  <c r="B2" i="23"/>
  <c r="B7" i="25"/>
  <c r="B3" i="23"/>
  <c r="B8" i="25"/>
  <c r="B6" i="24"/>
  <c r="B6" i="21"/>
  <c r="B7" i="24"/>
  <c r="B7" i="22"/>
  <c r="B5" i="23"/>
  <c r="B8" i="24"/>
  <c r="B2" i="25"/>
  <c r="B6" i="23"/>
  <c r="B3" i="25"/>
  <c r="B8" i="23"/>
  <c r="E44" i="20"/>
  <c r="E15" i="14"/>
  <c r="E19" i="16"/>
  <c r="E32" i="21"/>
  <c r="E32" i="22"/>
  <c r="E29" i="24"/>
  <c r="E15" i="11"/>
  <c r="E26" i="16"/>
  <c r="E33" i="16"/>
  <c r="E22" i="16"/>
  <c r="E34" i="21"/>
  <c r="E58" i="22"/>
  <c r="E36" i="23"/>
  <c r="E49" i="23"/>
  <c r="E20" i="11"/>
  <c r="E31" i="16"/>
  <c r="E23" i="15"/>
  <c r="E22" i="17"/>
  <c r="E35" i="21"/>
  <c r="E33" i="22"/>
  <c r="E48" i="22"/>
  <c r="E30" i="24"/>
  <c r="E41" i="24"/>
  <c r="E55" i="24"/>
  <c r="E66" i="24"/>
  <c r="E52" i="23"/>
  <c r="E37" i="23"/>
  <c r="E18" i="12"/>
  <c r="E15" i="20"/>
  <c r="E45" i="20"/>
  <c r="E48" i="20"/>
  <c r="E37" i="21"/>
  <c r="E34" i="22"/>
  <c r="E42" i="22"/>
  <c r="E15" i="23"/>
  <c r="E31" i="24"/>
  <c r="E42" i="24"/>
  <c r="E56" i="24"/>
  <c r="E67" i="24"/>
  <c r="E22" i="19"/>
  <c r="E24" i="16"/>
  <c r="E21" i="18"/>
  <c r="E21" i="17"/>
  <c r="E27" i="23"/>
  <c r="E38" i="23"/>
  <c r="E55" i="23"/>
  <c r="E40" i="21"/>
  <c r="E37" i="22"/>
  <c r="E24" i="24"/>
  <c r="E34" i="24"/>
  <c r="E44" i="24"/>
  <c r="E57" i="24"/>
  <c r="E70" i="24"/>
  <c r="E33" i="25"/>
  <c r="E23" i="23"/>
  <c r="E39" i="23"/>
  <c r="E57" i="23"/>
  <c r="E15" i="24"/>
  <c r="E18" i="13"/>
  <c r="E34" i="20"/>
  <c r="E26" i="19"/>
  <c r="E24" i="15"/>
  <c r="E15" i="16"/>
  <c r="E23" i="17"/>
  <c r="E20" i="19"/>
  <c r="E45" i="21"/>
  <c r="E39" i="22"/>
  <c r="E25" i="24"/>
  <c r="E36" i="24"/>
  <c r="E50" i="24"/>
  <c r="E58" i="24"/>
  <c r="E71" i="24"/>
  <c r="E34" i="25"/>
  <c r="E43" i="20"/>
  <c r="E41" i="21"/>
  <c r="E19" i="11"/>
  <c r="E15" i="10"/>
  <c r="E27" i="20"/>
  <c r="E15" i="21"/>
  <c r="E26" i="20"/>
  <c r="E53" i="20"/>
  <c r="E48" i="21"/>
  <c r="E31" i="23"/>
  <c r="E44" i="23"/>
  <c r="E35" i="16"/>
  <c r="E25" i="16"/>
  <c r="E20" i="7"/>
  <c r="E50" i="20"/>
  <c r="E36" i="20"/>
  <c r="E42" i="21"/>
  <c r="E40" i="22"/>
  <c r="E26" i="24"/>
  <c r="E37" i="24"/>
  <c r="E51" i="24"/>
  <c r="E59" i="24"/>
  <c r="E72" i="24"/>
  <c r="E35" i="25"/>
  <c r="E36" i="21"/>
  <c r="E21" i="11"/>
  <c r="E24" i="22"/>
  <c r="E19" i="14"/>
  <c r="E15" i="19"/>
  <c r="E15" i="18"/>
  <c r="E39" i="20"/>
  <c r="E51" i="20"/>
  <c r="E50" i="21"/>
  <c r="E32" i="23"/>
  <c r="E45" i="23"/>
  <c r="E15" i="25"/>
  <c r="E15" i="13"/>
  <c r="E25" i="19"/>
  <c r="E16" i="15"/>
  <c r="E41" i="22"/>
  <c r="E27" i="24"/>
  <c r="E38" i="24"/>
  <c r="E52" i="24"/>
  <c r="E49" i="24"/>
  <c r="E38" i="25"/>
  <c r="E36" i="16"/>
  <c r="E26" i="23"/>
  <c r="E23" i="5"/>
  <c r="E49" i="20"/>
  <c r="E15" i="22"/>
  <c r="E27" i="22"/>
  <c r="E15" i="7"/>
  <c r="E18" i="14"/>
  <c r="E23" i="19"/>
  <c r="E19" i="19"/>
  <c r="E43" i="16"/>
  <c r="E28" i="21"/>
  <c r="E49" i="22"/>
  <c r="E33" i="23"/>
  <c r="E46" i="23"/>
  <c r="E25" i="20"/>
  <c r="E15" i="5"/>
  <c r="E23" i="14"/>
  <c r="E20" i="18"/>
  <c r="E15" i="15"/>
  <c r="E15" i="17"/>
  <c r="E29" i="21"/>
  <c r="E53" i="22"/>
  <c r="E28" i="22"/>
  <c r="E43" i="22"/>
  <c r="E28" i="24"/>
  <c r="E39" i="24"/>
  <c r="E53" i="24"/>
  <c r="E62" i="24"/>
  <c r="E27" i="25"/>
  <c r="E15" i="12"/>
  <c r="E23" i="16"/>
  <c r="E34" i="16"/>
  <c r="E44" i="16"/>
  <c r="E35" i="20"/>
  <c r="E20" i="16"/>
  <c r="E21" i="16"/>
  <c r="E30" i="21"/>
  <c r="E56" i="22"/>
  <c r="E35" i="23"/>
  <c r="E54" i="23"/>
  <c r="E41" i="16"/>
  <c r="E18" i="11"/>
  <c r="E27" i="16"/>
  <c r="E25" i="15"/>
  <c r="E18" i="16"/>
  <c r="E50" i="22"/>
  <c r="E45" i="22"/>
  <c r="E40" i="24"/>
  <c r="E54" i="24"/>
  <c r="E65" i="24"/>
  <c r="E24"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<sst xmlns="http://schemas.openxmlformats.org/spreadsheetml/2006/main" count="47369" uniqueCount="15702">
  <si>
    <t>CDISC SDTM datasets specification template</t>
  </si>
  <si>
    <t>Author: Jonathan Jaeger</t>
  </si>
  <si>
    <t>This document is a template for CDISC SDTM datasets specifications. It contains the backbone structures and instructions to fill out the sheets.Outside of covervage, the table of content and the codelist, each specific sheet corresponds to the specifications for the programming of the relevant SDTM datasets. Instructions are in italic blue. Remove this front page and the instruction before finalizing the document.</t>
  </si>
  <si>
    <t>Company logo</t>
  </si>
  <si>
    <t>CDISC SDTM datasets specifications</t>
  </si>
  <si>
    <t>Protocol title:</t>
  </si>
  <si>
    <t>Protocol number:</t>
  </si>
  <si>
    <t>CDISC SDTM datasets specification version (date):</t>
  </si>
  <si>
    <t>Sponsor:</t>
  </si>
  <si>
    <t>Investigational therapy:</t>
  </si>
  <si>
    <t>Development phase:</t>
  </si>
  <si>
    <t>EudraCT number:</t>
  </si>
  <si>
    <t>IND number:</t>
  </si>
  <si>
    <t>Insert protocol title</t>
  </si>
  <si>
    <t>Insert protocol number</t>
  </si>
  <si>
    <t>Insert version (date) under format x.z (DD-Mmm-YYYY)</t>
  </si>
  <si>
    <t>Insert company name and address</t>
  </si>
  <si>
    <t>Insert investigational therapy under evaluation</t>
  </si>
  <si>
    <t>Insert phase number</t>
  </si>
  <si>
    <t>Insert EudraCT number (if existing, otherwise remove)</t>
  </si>
  <si>
    <t>Insert IND number (if existing, otherwise remove)</t>
  </si>
  <si>
    <t>CDISC SDTM Implementation guide used:</t>
  </si>
  <si>
    <t>3.4 (21-Jul-2022)</t>
  </si>
  <si>
    <t>Order</t>
  </si>
  <si>
    <t>Trial Design</t>
  </si>
  <si>
    <t>Tabulation</t>
  </si>
  <si>
    <t>TA</t>
  </si>
  <si>
    <t>Trial Arms</t>
  </si>
  <si>
    <t>One record per planned Element per Arm</t>
  </si>
  <si>
    <t>ta.xpt</t>
  </si>
  <si>
    <t>STUDYID, ARMCD, TAETORD</t>
  </si>
  <si>
    <t>Dataset</t>
  </si>
  <si>
    <t>Variable Name</t>
  </si>
  <si>
    <t>Dataset Name</t>
  </si>
  <si>
    <t>Dataset Description</t>
  </si>
  <si>
    <t>Dataset Class</t>
  </si>
  <si>
    <t>Dataset Structure</t>
  </si>
  <si>
    <t>Dataset Purpose</t>
  </si>
  <si>
    <t>Dataset Keys</t>
  </si>
  <si>
    <t>Dataset Location</t>
  </si>
  <si>
    <t>Dataset Documentation</t>
  </si>
  <si>
    <t>Variable Label</t>
  </si>
  <si>
    <t>Controlled Terms, Codelist or Format</t>
  </si>
  <si>
    <t>Role</t>
  </si>
  <si>
    <t>CDISC Notes</t>
  </si>
  <si>
    <t>Core</t>
  </si>
  <si>
    <t>Variable Type</t>
  </si>
  <si>
    <t>Variable Order</t>
  </si>
  <si>
    <t>Origin</t>
  </si>
  <si>
    <t>Variable Length</t>
  </si>
  <si>
    <t>Derivations</t>
  </si>
  <si>
    <t>Comments</t>
  </si>
  <si>
    <t>Raw Datasets Used</t>
  </si>
  <si>
    <t>SDTM Datasets Used</t>
  </si>
  <si>
    <t>Program Location</t>
  </si>
  <si>
    <t>STUDYID</t>
  </si>
  <si>
    <t>Study Identifier</t>
  </si>
  <si>
    <t>Char</t>
  </si>
  <si>
    <t>Identifier</t>
  </si>
  <si>
    <t>Protocol</t>
  </si>
  <si>
    <r>
      <t>STUDYID="</t>
    </r>
    <r>
      <rPr>
        <i/>
        <sz val="10"/>
        <color rgb="FF4472C4"/>
        <rFont val="Helvetica Neue"/>
      </rPr>
      <t>Insert protocol number</t>
    </r>
    <r>
      <rPr>
        <sz val="10"/>
        <color theme="1"/>
        <rFont val="Helvetica Neue"/>
      </rPr>
      <t>"</t>
    </r>
  </si>
  <si>
    <t>Unique identifier for a study.</t>
  </si>
  <si>
    <t>Req</t>
  </si>
  <si>
    <t>DOMAIN</t>
  </si>
  <si>
    <t>Domain Abbreviation</t>
  </si>
  <si>
    <t>OID</t>
  </si>
  <si>
    <t>DataType Extensible</t>
  </si>
  <si>
    <t>NCI Code</t>
  </si>
  <si>
    <t>CDISC Synonym</t>
  </si>
  <si>
    <t>CDISC Definition</t>
  </si>
  <si>
    <t>Preferred Term</t>
  </si>
  <si>
    <t>Yes</t>
  </si>
  <si>
    <t>C66734</t>
  </si>
  <si>
    <t>SDTM Domain Abbreviation</t>
  </si>
  <si>
    <t>A unique, 2-character domain code used in the regulatory submission process. The domain abbreviation is used consistently throughout the submission, i.e. in the dataset name, as the value of the domain variable within the dataset, and as a prefix for most variable names in the dataset. (CDISC Glossary)</t>
  </si>
  <si>
    <t>CDISC SDTM Submission Domain Abbreviation Terminology</t>
  </si>
  <si>
    <t>CL.C66734.DOMAIN</t>
  </si>
  <si>
    <t>C49618</t>
  </si>
  <si>
    <t>A trial design domain that contains each planned arm in the trial.</t>
  </si>
  <si>
    <t>Trial Arms Domain</t>
  </si>
  <si>
    <t>First Level</t>
  </si>
  <si>
    <t>Second level</t>
  </si>
  <si>
    <t>Assigned</t>
  </si>
  <si>
    <t>DOMAIN="TA"</t>
  </si>
  <si>
    <t>Two-character abbreviation for the domain.</t>
  </si>
  <si>
    <t>ARMCD</t>
  </si>
  <si>
    <t>Planned Arm Code</t>
  </si>
  <si>
    <t>*</t>
  </si>
  <si>
    <t>Topic</t>
  </si>
  <si>
    <t>ARMCD is limited to 20 characters and does not have special character restrictions. The maximum length of ARMCD is longer than that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t>
  </si>
  <si>
    <t>ARM</t>
  </si>
  <si>
    <t>Description of Planned Arm</t>
  </si>
  <si>
    <t>Synonym Qualifier</t>
  </si>
  <si>
    <t>Insert number of characters from the protocol number</t>
  </si>
  <si>
    <t>Insert number of characters from maximum length of the planned arm code</t>
  </si>
  <si>
    <t>Insert number of characters from maximum length of the description of planned arm</t>
  </si>
  <si>
    <t>Create a record for each planned arm code for each element</t>
  </si>
  <si>
    <t>Create a record to describe each planned arm code for each element</t>
  </si>
  <si>
    <t xml:space="preserve">Name given to an arm or treatment group. </t>
  </si>
  <si>
    <t>TAETORD</t>
  </si>
  <si>
    <t>Planned Order of Element within Arm</t>
  </si>
  <si>
    <t>Num</t>
  </si>
  <si>
    <t>Timing</t>
  </si>
  <si>
    <t>Number that gives the order of the element within the arm.</t>
  </si>
  <si>
    <t>Create a chronological record for each element code</t>
  </si>
  <si>
    <t>ETCD</t>
  </si>
  <si>
    <t>Element Code</t>
  </si>
  <si>
    <t>Record Qualifier</t>
  </si>
  <si>
    <t>Insert number of characters from maximum length of the element code</t>
  </si>
  <si>
    <t>ETCD (the companion to ELEMENT) is limited to 8 characters and does not have special character restrictions. These values should be short for ease of use in programming, but it is not expected that ETCD will need to serve as a variable name.</t>
  </si>
  <si>
    <t>Create a record for each element code (for example for screening, treatment and follow-up)</t>
  </si>
  <si>
    <t>ELEMENT</t>
  </si>
  <si>
    <t>Description of Element</t>
  </si>
  <si>
    <t>The name of the element. The same element may occur more
than once within an arm.</t>
  </si>
  <si>
    <t>Perm</t>
  </si>
  <si>
    <t>Insert number of characters from maximum length of the element</t>
  </si>
  <si>
    <t>Create a record to describe each element code</t>
  </si>
  <si>
    <t>TABRANCH</t>
  </si>
  <si>
    <t>TATRANS</t>
  </si>
  <si>
    <t>EPOCH</t>
  </si>
  <si>
    <t>Branch</t>
  </si>
  <si>
    <t>Transition Rule</t>
  </si>
  <si>
    <t>Epoch</t>
  </si>
  <si>
    <t>Rule</t>
  </si>
  <si>
    <t>Condition subject met, at a "branch" in the trial design at the end of this element, to be included in this arm (e.g., "Randomization to DRUG X").</t>
  </si>
  <si>
    <t>If the trial design allows a subject to transition to an element other than the next element in sequence, then the conditions for transitioning to those other elements, and the alternative element sequences, are specified in this rule (e.g., "Responders go to washout").</t>
  </si>
  <si>
    <t>Exp</t>
  </si>
  <si>
    <t>Name of the trial epoch with which this element of the arm is associated.</t>
  </si>
  <si>
    <t>CL.C99079.EPOCH</t>
  </si>
  <si>
    <t>The name of the EPOCH.</t>
  </si>
  <si>
    <t>CDISC SDTM Epoch Terminology</t>
  </si>
  <si>
    <t>C125938</t>
  </si>
  <si>
    <t>C102255</t>
  </si>
  <si>
    <t>C123452</t>
  </si>
  <si>
    <t>C99158</t>
  </si>
  <si>
    <t>C123453</t>
  </si>
  <si>
    <t>C16032</t>
  </si>
  <si>
    <t>C165873</t>
  </si>
  <si>
    <t>C102256</t>
  </si>
  <si>
    <t>C98779</t>
  </si>
  <si>
    <t>C48262</t>
  </si>
  <si>
    <t>C101526</t>
  </si>
  <si>
    <t>C42872</t>
  </si>
  <si>
    <t>BASELINE</t>
  </si>
  <si>
    <t>BLINDED TREATMENT</t>
  </si>
  <si>
    <t>CONTINUATION TREATMENT</t>
  </si>
  <si>
    <t>FOLLOW-UP</t>
  </si>
  <si>
    <t>INDUCTION TREATMENT</t>
  </si>
  <si>
    <t>LONG-TERM FOLLOW-UP</t>
  </si>
  <si>
    <t>OBSERVATION</t>
  </si>
  <si>
    <t>OPEN LABEL TREATMENT</t>
  </si>
  <si>
    <t>RUN-IN</t>
  </si>
  <si>
    <t>SCREENING</t>
  </si>
  <si>
    <t>TREATMENT</t>
  </si>
  <si>
    <t>WASHOUT</t>
  </si>
  <si>
    <t>A period in a clinical study after eligibility has been met and before the start of treatment, at which baseline measurements are collected.</t>
  </si>
  <si>
    <t>Baseline Epoch</t>
  </si>
  <si>
    <t>A period in a clinical study during which subjects receive blinded therapeutic treatment.</t>
  </si>
  <si>
    <t>Blinded Treatment Epoch</t>
  </si>
  <si>
    <t>Continuation Phase</t>
  </si>
  <si>
    <t>A period in a clinical study during which subjects receive continuation treatment.</t>
  </si>
  <si>
    <t>Continuation Therapy Epoch</t>
  </si>
  <si>
    <t>A period in a clinical study during which information about the health status of an individual is obtained after study interventions have concluded.</t>
  </si>
  <si>
    <t>Clinical Study Follow-up</t>
  </si>
  <si>
    <t>Induction Phase; Intensive Phase</t>
  </si>
  <si>
    <t>A period in a clinical study during which subjects receive induction treatment.</t>
  </si>
  <si>
    <t>Induction Therapy Epoch</t>
  </si>
  <si>
    <t>A period in a clinical study during which information about the health status of an individual is obtained long after study interventions have concluded.</t>
  </si>
  <si>
    <t>Long-term Follow-up</t>
  </si>
  <si>
    <t>A period in a clinical study during which subjects are observed, without any planned intervention.</t>
  </si>
  <si>
    <t>Observation Study Epoch</t>
  </si>
  <si>
    <t>A period in a clinical study during which subjects receive open label therapeutic treatment.</t>
  </si>
  <si>
    <t>Open Label Treatment Epoch</t>
  </si>
  <si>
    <t>A period in a clinical study that occurs before the commencement of the primary clinical study investigation, during which subjects may be assessed for suitability in the clinical study, withdrawn from existing therapy, trained in study methodology or evaluated for any other protocol-specified reason.</t>
  </si>
  <si>
    <t>Run-in Period</t>
  </si>
  <si>
    <t>A period in a clinical study during which subjects are evaluated for participation in the study.</t>
  </si>
  <si>
    <t>Trial Screening</t>
  </si>
  <si>
    <t>A period in a study during which subjects are receiving investigational therapy or treatment.</t>
  </si>
  <si>
    <t>Treatment Epoch</t>
  </si>
  <si>
    <t>A period of time during a study when a subject is taken off of the investigational therapy or treatment in order to reduce the amount of investigational product within the body.</t>
  </si>
  <si>
    <t>Washout Period</t>
  </si>
  <si>
    <t>C99079</t>
  </si>
  <si>
    <t>Insert number of characters from maximum length of the branch</t>
  </si>
  <si>
    <t>Insert number of characters from maximum length of the transition rule</t>
  </si>
  <si>
    <t>Insert number of characters from maximum length of the epoch</t>
  </si>
  <si>
    <t>Create a record for each outcoume of a branch decision point in the trial design for subjects in the arm</t>
  </si>
  <si>
    <t>Create record only if transition to element are not sequential</t>
  </si>
  <si>
    <t>Create record matching the best with the allowable extensible codelist</t>
  </si>
  <si>
    <t>If any, list all raw datasets to be used for the dataset creation</t>
  </si>
  <si>
    <t>If any, list all SDTM datasets to be used for the dataset creation</t>
  </si>
  <si>
    <t>SDTMIG Section</t>
  </si>
  <si>
    <t>https://www.cdisc.org/system/files/members/standard/foundational/SDTMIG%20v3.4-FINAL_2022-07-21.pdf#page=384</t>
  </si>
  <si>
    <t>TE</t>
  </si>
  <si>
    <t>Trial Elements</t>
  </si>
  <si>
    <t>One record per planned Element</t>
  </si>
  <si>
    <t>STUDYID, ETCD</t>
  </si>
  <si>
    <t>te.xpt</t>
  </si>
  <si>
    <t>https://www.cdisc.org/system/files/members/standard/foundational/SDTMIG%20v3.4-FINAL_2022-07-21.pdf#page=402</t>
  </si>
  <si>
    <t>TESTRL</t>
  </si>
  <si>
    <t>TEENRL</t>
  </si>
  <si>
    <t>TEDUR</t>
  </si>
  <si>
    <t>Rule for Start of Element</t>
  </si>
  <si>
    <t>Rule for End of Element</t>
  </si>
  <si>
    <t>Planned Duration of Element</t>
  </si>
  <si>
    <t>ISO 8601 duration</t>
  </si>
  <si>
    <t>ETCD (the companion to ELEMENT) is limited to 8 characters and does not have special character restrictions.
These values should be short for ease of use in programming, but it is not expected that ETCD will need to serve as a variable name.</t>
  </si>
  <si>
    <t>The name of the element.</t>
  </si>
  <si>
    <t>Describes condition for beginning element.</t>
  </si>
  <si>
    <t>Describes condition for ending element. Either TEENRL or TEDUR must be present for each element.</t>
  </si>
  <si>
    <t>Planned duration of element in ISO 8601 format. Used when the rule for ending the element is applied after a fixed duration.</t>
  </si>
  <si>
    <t>A trial design domain that contains the element code that is unique for each element, the element description, and the rules for starting and ending an element.</t>
  </si>
  <si>
    <t>Trial Elements Domain</t>
  </si>
  <si>
    <t>C49619</t>
  </si>
  <si>
    <t>Signature</t>
  </si>
  <si>
    <t>Author</t>
  </si>
  <si>
    <t>Name, Degree(s)
Title</t>
  </si>
  <si>
    <t>Date</t>
  </si>
  <si>
    <t>Reviewer</t>
  </si>
  <si>
    <t>Approver</t>
  </si>
  <si>
    <t>CDISC SDTM datasets specifications amendment history</t>
  </si>
  <si>
    <t>Amendment N (DD-Mmm-YYYY)</t>
  </si>
  <si>
    <t>Amendment rationale</t>
  </si>
  <si>
    <t>Changes to the previous version of the CDISC SDTM datasets specifications</t>
  </si>
  <si>
    <t>Amendment 1 (DD-Mmm-YYYY)</t>
  </si>
  <si>
    <t>Amendment N-1 (DD-Mmm-YYYY)</t>
  </si>
  <si>
    <t>Template</t>
  </si>
  <si>
    <t>&lt;enter dataset location&gt;</t>
  </si>
  <si>
    <t>&lt;enter program location&gt;</t>
  </si>
  <si>
    <t>&lt;enter dataset keys&gt;</t>
  </si>
  <si>
    <r>
      <t xml:space="preserve">One record per </t>
    </r>
    <r>
      <rPr>
        <i/>
        <sz val="10"/>
        <color rgb="FF4472C4"/>
        <rFont val="Helvetica Neue"/>
      </rPr>
      <t>&lt;enter structure&gt;</t>
    </r>
  </si>
  <si>
    <t>&lt;enter template class&gt;</t>
  </si>
  <si>
    <t>&lt;enter template description&gt;</t>
  </si>
  <si>
    <t>&lt;enter variable name&gt;</t>
  </si>
  <si>
    <t>&lt;enter variable description&gt;</t>
  </si>
  <si>
    <t>…</t>
  </si>
  <si>
    <t>For each amendment, insert a block with rational and changes versus pervious version of the specification. Delete this row with instructions before printing out/requesting signature</t>
  </si>
  <si>
    <t>Complete the author, reviewer and approver signature boxes. In case of multiple authors, reviewers, approvers, add rows as needed</t>
  </si>
  <si>
    <t>DOMAIN="TE"</t>
  </si>
  <si>
    <t>Create a record for each element code describing the rule for the end of the element</t>
  </si>
  <si>
    <t>Create a record for each element code describing the rule for the start of the element</t>
  </si>
  <si>
    <t>Create a record for each element code describing the planned duration of the element.</t>
  </si>
  <si>
    <t>Format</t>
  </si>
  <si>
    <t>Description</t>
  </si>
  <si>
    <t>Description available under https://www.cdisc.org/system/files/members/standard/foundational/SDTMIG%20v3.4-FINAL_2022-07-21.pdf#page=40</t>
  </si>
  <si>
    <t>Insert number of characters from maximum length of the variable</t>
  </si>
  <si>
    <t>Insert the link to the page from the SDTMIG where the description of the rules are starting</t>
  </si>
  <si>
    <t>TI</t>
  </si>
  <si>
    <t>ti.xpt</t>
  </si>
  <si>
    <t>TV</t>
  </si>
  <si>
    <t>Trial Visits</t>
  </si>
  <si>
    <t>One record per planned Visit per Arm</t>
  </si>
  <si>
    <t>STUDYID, ARM, VISIT</t>
  </si>
  <si>
    <t>https://www.cdisc.org/system/files/members/standard/foundational/SDTMIG%20v3.4-FINAL_2022-07-21.pdf#page=407</t>
  </si>
  <si>
    <t>tv.xpt</t>
  </si>
  <si>
    <t>C49621</t>
  </si>
  <si>
    <t>A trial design domain that contains the planned order and number of visits in the study within each arm.</t>
  </si>
  <si>
    <t>Trial Visits Domain</t>
  </si>
  <si>
    <t>VISITNUM</t>
  </si>
  <si>
    <t>VISIT</t>
  </si>
  <si>
    <t>VISITDY</t>
  </si>
  <si>
    <t>TVSTRL</t>
  </si>
  <si>
    <t>TVENRL</t>
  </si>
  <si>
    <t>Visit Number</t>
  </si>
  <si>
    <t>Visit Name</t>
  </si>
  <si>
    <t>Planned Study Day of Visit</t>
  </si>
  <si>
    <t>Visit Start Rule</t>
  </si>
  <si>
    <t>Visit End Rule</t>
  </si>
  <si>
    <t>Clinical encounter number. Numeric version of VISIT, used for sorting.</t>
  </si>
  <si>
    <t>Description of clinical encounter. This is often defined in the protocol. Used in addition to VISITNUM and/or VISITDY as a text description of the clinical encounter.</t>
  </si>
  <si>
    <t>Planned study day of VISIT. Due to its sequential nature, used for sorting.</t>
  </si>
  <si>
    <t>1. ARMCD is limited to 20 characters and does not have special character restrictions. The maximum length of ARMCD is longer than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
2. If the timing of visits for a trial does not depend on which arm a subject is in, then ARMCD should be null.</t>
  </si>
  <si>
    <t>1. Name given to an arm or treatment group.
2. If the timing of visits for a trial does not depend on which arm a subject is in, then Arm should be left blank.</t>
  </si>
  <si>
    <t>Rule describing when the visit starts, in relation to the sequence of elements.</t>
  </si>
  <si>
    <t>Rule describing when the visit ends, in relation to the sequence of elements.</t>
  </si>
  <si>
    <t>DOMAIN="TV"</t>
  </si>
  <si>
    <t xml:space="preserve">Create a visit number for each visit planned in the protocol. </t>
  </si>
  <si>
    <t>Create a visit name for each visit planned in the protocol</t>
  </si>
  <si>
    <t>Create a record giving the planned study day for each visit planned in the protocol</t>
  </si>
  <si>
    <t>In case a visit is arm specific, specify the planned arm code. Otherwise leave blank</t>
  </si>
  <si>
    <t>In case a visit is arm specific, specify the description of the planned arm. Otherwise leave blank</t>
  </si>
  <si>
    <t>Create a record to describe the rule for the start of the visit (to be linked with the epoch)</t>
  </si>
  <si>
    <t>Create a record to describe the rule for the end of the visit (to be linked with the epoch)</t>
  </si>
  <si>
    <t>TD</t>
  </si>
  <si>
    <t>Trial Disease Assessments</t>
  </si>
  <si>
    <t>One record per planned constant assessment period</t>
  </si>
  <si>
    <t>td.xpt</t>
  </si>
  <si>
    <t>STUDYID, TDORDER</t>
  </si>
  <si>
    <t>C117699</t>
  </si>
  <si>
    <t>A trial design domain that provides information on the protocol-specified disease assessment schedule, to be used for comparison with the actual occurrence of the efficacy assessments in order to determine whether there was good compliance with the schedule.</t>
  </si>
  <si>
    <t>Trial Disease Assessments Domain</t>
  </si>
  <si>
    <t>DOMAIN="TD"</t>
  </si>
  <si>
    <t>https://www.cdisc.org/system/files/members/standard/foundational/SDTMIG%20v3.4-FINAL_2022-07-21.pdf#page=410</t>
  </si>
  <si>
    <t>TDORDER</t>
  </si>
  <si>
    <t>TDANCVAR</t>
  </si>
  <si>
    <t>TDSTOFF</t>
  </si>
  <si>
    <t>TDTGTPAI</t>
  </si>
  <si>
    <t>TDMINPAI</t>
  </si>
  <si>
    <t>TDMAXPAI</t>
  </si>
  <si>
    <t>TDNUMRPT</t>
  </si>
  <si>
    <t>Sequence of Planned Assessment Schedule</t>
  </si>
  <si>
    <t>Anchor Variable Name</t>
  </si>
  <si>
    <t>Offset from the Anchor</t>
  </si>
  <si>
    <t>Planned Assessment Interval</t>
  </si>
  <si>
    <t>Planned Assessment Interval Minimum</t>
  </si>
  <si>
    <t>Planned Assessment Interval Maximum</t>
  </si>
  <si>
    <t>Maximum Number of Actual Assessments</t>
  </si>
  <si>
    <t>A number given to ensure ordinal sequencing of the planned assessment schedules within a trial.</t>
  </si>
  <si>
    <t>A reference to the date variable name that provides the start point from which the planned disease assessment schedule is measured. This must be a referenced from the ADaM ADSL dataset (e.g., "ANCH1DT"). Note: TDANCVAR will contain the name of a reference date variable</t>
  </si>
  <si>
    <t>A fixed offset from the date provided by the variable referenced in TDANCVAR. This is used when the timing of planned cycles does not start on the exact day referenced in the variable indicated in TDANCVAR. The value of this variable will be either zero or a positive value and will be represented in ISO 8601 character format.</t>
  </si>
  <si>
    <t>The planned interval between disease assessments represented in ISO 8601 character format.</t>
  </si>
  <si>
    <t>The lower limit of the allowed range for the planned interval between disease assessments represented in ISO 8601 character format.</t>
  </si>
  <si>
    <t>The upper limit of the allowed range for the planned interval between disease assessments represented in ISO 8601 character format.</t>
  </si>
  <si>
    <t>This variable must represent the maximum number of actual assessments for the analysis that this disease assessment schedule describes. In a trial where the maximum number of assessments is not defined explicitly in the protocol (e.g., assessments occur until death), TDNUMRPT should represent the maximum number of disease assessments that support the efficacy analysis encountered by any subject across the trial at that point in time.</t>
  </si>
  <si>
    <t>TM</t>
  </si>
  <si>
    <t>Trial Disease Milestones</t>
  </si>
  <si>
    <t>One record per Disease Milestone type</t>
  </si>
  <si>
    <t>tm.xpt</t>
  </si>
  <si>
    <t>STUDYID, MIDSTYPE</t>
  </si>
  <si>
    <t>A trial design domain that is used to describe disease milestones, which are observations or activities anticipated to occur in the course of the disease under study, and which trigger the collection of data.</t>
  </si>
  <si>
    <t>Trial Disease Milestones Domain</t>
  </si>
  <si>
    <t>C147270</t>
  </si>
  <si>
    <t>https://www.cdisc.org/system/files/members/standard/foundational/SDTMIG%20v3.4-FINAL_2022-07-21.pdf#page=415</t>
  </si>
  <si>
    <t>DOMAIN="TM"</t>
  </si>
  <si>
    <t>MIDSTYPE</t>
  </si>
  <si>
    <t>Disease Milestone Type</t>
  </si>
  <si>
    <t>TMDEF</t>
  </si>
  <si>
    <t>TMRPT</t>
  </si>
  <si>
    <t>Disease Milestone Repetition Indicator</t>
  </si>
  <si>
    <t>Disease Milestone Definition</t>
  </si>
  <si>
    <t>Variable Qualifier</t>
  </si>
  <si>
    <t>CL.C66742.NY</t>
  </si>
  <si>
    <t>No</t>
  </si>
  <si>
    <t>C66742</t>
  </si>
  <si>
    <t>No Yes Response</t>
  </si>
  <si>
    <t>A term that is used to indicate a question with permissible values of yes/no/unknown/not applicable.</t>
  </si>
  <si>
    <t>CDISC SDTM Yes No Unknown or Not Applicable Response Terminology</t>
  </si>
  <si>
    <t>The non-affirmative response to a question. (NCI)</t>
  </si>
  <si>
    <t>NA; Not Applicable</t>
  </si>
  <si>
    <t>Determination of a value is not relevant in the current context. (NCI)</t>
  </si>
  <si>
    <t>Not Applicable</t>
  </si>
  <si>
    <t>U; UNK; Unknown</t>
  </si>
  <si>
    <t>Not known, not observed, not recorded, or refused. (NCI)</t>
  </si>
  <si>
    <t>Unknown</t>
  </si>
  <si>
    <t>The affirmative response to a question. (NCI)</t>
  </si>
  <si>
    <t>N</t>
  </si>
  <si>
    <t>NA</t>
  </si>
  <si>
    <t>U</t>
  </si>
  <si>
    <t>Y</t>
  </si>
  <si>
    <t>C49487</t>
  </si>
  <si>
    <t>C48660</t>
  </si>
  <si>
    <t>C17998</t>
  </si>
  <si>
    <t>C49488</t>
  </si>
  <si>
    <t>NY</t>
  </si>
  <si>
    <t>The type of disease milestone. Example: "HYPOGLYCEMIC EVENT".</t>
  </si>
  <si>
    <t>Definition of the disease milestone.</t>
  </si>
  <si>
    <t>Indicates whether this is a disease milestone that can occur only once ("N") or a type of disease milestone that can occur multiple times ("Y").</t>
  </si>
  <si>
    <t>TS</t>
  </si>
  <si>
    <t>ts.xpt</t>
  </si>
  <si>
    <t>Trial Inclusion/Exclusion Criteria</t>
  </si>
  <si>
    <t>One record per I/E criterion</t>
  </si>
  <si>
    <t>Trial Summary</t>
  </si>
  <si>
    <t>One record per trial summary parameter value</t>
  </si>
  <si>
    <t>STUDYID, IETESTCD</t>
  </si>
  <si>
    <t>C49620</t>
  </si>
  <si>
    <t>C53483</t>
  </si>
  <si>
    <t>A trial design domain that contains one record for each trial summary characteristic. This domain is not subject oriented.</t>
  </si>
  <si>
    <t>Trial Summary Domain</t>
  </si>
  <si>
    <t>A trial design domain that contains one record for each of the inclusion and exclusion criteria for the trial. This domain is not subject oriented.</t>
  </si>
  <si>
    <t>Trial Inclusion and Exclusion Criteria Domain</t>
  </si>
  <si>
    <t>https://www.cdisc.org/system/files/members/standard/foundational/SDTMIG%20v3.4-FINAL_2022-07-21.pdf#page=416</t>
  </si>
  <si>
    <t>IETESTCD</t>
  </si>
  <si>
    <t>IETEST</t>
  </si>
  <si>
    <t>IECAT</t>
  </si>
  <si>
    <t>IESCAT</t>
  </si>
  <si>
    <t>TIRL</t>
  </si>
  <si>
    <t>TIVERS</t>
  </si>
  <si>
    <t>Incl/Excl Criterion Short Name</t>
  </si>
  <si>
    <t>DOMAIN="TI"</t>
  </si>
  <si>
    <t>Short name IETEST. It can be used as a column name when converting a dataset from a vertical to a horizontal format. The value in IETESTCD cannot be longer than 8 characters, nor can it start with a number (e.g., "1TEST" is not valid). IETESTCD cannot contain characters other than letters, numbers, or underscores. The prefix "IE" is used to ensure consistency with the IE domain.</t>
  </si>
  <si>
    <t>Inclusion/Exclusion Criterion</t>
  </si>
  <si>
    <t>Inclusion/Exclusion Category</t>
  </si>
  <si>
    <t>Inclusion/Exclusion Subcategory</t>
  </si>
  <si>
    <t>Inclusion/Exclusion Criterion Rule</t>
  </si>
  <si>
    <t>Protocol Criteria Versions</t>
  </si>
  <si>
    <t>Full text of the inclusion or exclusion criterion. The prefix "IE" is used to ensure consistency with the IE domain.</t>
  </si>
  <si>
    <t>Used for categorization of the inclusion or exclusion criteria.</t>
  </si>
  <si>
    <t>A further categorization of the exception criterion. Can be used to distinguish criteria for a sub-study or to categorize as major or minor exceptions. Examples: "MAJOR", "MINOR".</t>
  </si>
  <si>
    <t>Grouping Qualifier</t>
  </si>
  <si>
    <t>Rule that expresses the criterion in computer-executable form. See Assumption 4.</t>
  </si>
  <si>
    <t>The number of this version of the Inclusion/Exclusion criteria. May be omitted if there is only 1 version.</t>
  </si>
  <si>
    <t>C66797</t>
  </si>
  <si>
    <t>Category of Inclusion/Exclusion</t>
  </si>
  <si>
    <t>A collection of criteria on which subjects are evaluated and that must be met by all study subjects. (NCI)</t>
  </si>
  <si>
    <t>CDISC SDTM Category for Inclusion And Or Exclusion Terminology</t>
  </si>
  <si>
    <t>EXCLUSION</t>
  </si>
  <si>
    <t>INCLUSION</t>
  </si>
  <si>
    <t>C25370</t>
  </si>
  <si>
    <t>C25532</t>
  </si>
  <si>
    <t>List of characteristics in a protocol, any one of which may exclude a potential subject from participation in a study. (CDISC glossary)</t>
  </si>
  <si>
    <t>Exclusion Criteria</t>
  </si>
  <si>
    <t>The criteria in a protocol that prospective subjects must meet to be eligible for participation in a study. NOTE: Exclusion and inclusion criteria define the study population. See also exclusion criteria. (CDISC glossary)</t>
  </si>
  <si>
    <t>Inclusion Criteria</t>
  </si>
  <si>
    <t>CL.C66797.IECAT</t>
  </si>
  <si>
    <t>DOMAIN="TS"</t>
  </si>
  <si>
    <t>TSSEQ</t>
  </si>
  <si>
    <t>TSGRPID</t>
  </si>
  <si>
    <t>TSPARMCD</t>
  </si>
  <si>
    <t>TSPARM</t>
  </si>
  <si>
    <t>TSVAL</t>
  </si>
  <si>
    <t>TSVALNF</t>
  </si>
  <si>
    <t>TSVALCD</t>
  </si>
  <si>
    <t>TSVCDREF</t>
  </si>
  <si>
    <t>TSVCDVER</t>
  </si>
  <si>
    <t>Sequence Number</t>
  </si>
  <si>
    <t>Group ID</t>
  </si>
  <si>
    <t>Trial Summary Parameter Short Name</t>
  </si>
  <si>
    <t>Trial Summary Parameter</t>
  </si>
  <si>
    <t>Parameter Value</t>
  </si>
  <si>
    <t>Parameter Value Null Flavor</t>
  </si>
  <si>
    <t>Parameter Value Code</t>
  </si>
  <si>
    <t>Name of the Reference Terminology</t>
  </si>
  <si>
    <t>Version of the Reference Terminology</t>
  </si>
  <si>
    <t>Result Qualifier</t>
  </si>
  <si>
    <t>Sequence number given to ensure uniqueness within a parameter. Allows inclusion of multiple records for the same TSPARMCD.</t>
  </si>
  <si>
    <t>Used to tie together a group of related records.</t>
  </si>
  <si>
    <t>TSPARMCD (the companion to TSPARM) is limited to 8 characters and does not have special character restrictions. These values should be short for ease of use in programming, but it is not expected that TSPARMCD will need to serve as variable names. Examples: "AGEMIN", "AGEMAX".</t>
  </si>
  <si>
    <t>Term for the trial summary parameter. The value in TSPARM cannot be longer than 40 characters. Examples: "Planned Minimum Age of Subjects", "Planned Maximum Age of Subjects".</t>
  </si>
  <si>
    <t>Value of TSPARM. Example: "ASTHMA" when TSPARM value is "Trial Indication". TSVAL can only be null when TSVALNF is populated. Text over 200 characters can be added to additional columns TSVAL1-TSVALn. See Assumption 8.</t>
  </si>
  <si>
    <t>Null flavor for the value of TSPARM, to be populated only if TSVAL is null.</t>
  </si>
  <si>
    <t>This is the code of the term in TSVAL. For example, "6CW7F3G59X" is the code for gabapentin; "C49488" is the code for Y. The length of this variable can be longer than 8 to accommodate the length of the external terminology.</t>
  </si>
  <si>
    <t>The name of the reference terminology from which TSVALCD is taken. For example; CDISC CT, SNOMED, ISO 8601.</t>
  </si>
  <si>
    <t>The version number of the reference terminology, if applicable.</t>
  </si>
  <si>
    <t>C66738</t>
  </si>
  <si>
    <t>Trial Summary Parameter Test Code</t>
  </si>
  <si>
    <t>The test code for an individual characteristic of a clinical trial, e.g. description of trial design, trial blinding schema, and primary objective of trial.</t>
  </si>
  <si>
    <t>CDISC SDTM Trial Summary Parameter Short Name Terminology</t>
  </si>
  <si>
    <t>CL.C66738.TSPARMCD</t>
  </si>
  <si>
    <t>ACTSUB</t>
  </si>
  <si>
    <t>ADAPT</t>
  </si>
  <si>
    <t>ADDON</t>
  </si>
  <si>
    <t>AGEMAX</t>
  </si>
  <si>
    <t>AGEMIN</t>
  </si>
  <si>
    <t>BIOSPRET</t>
  </si>
  <si>
    <t>CITNSTDY</t>
  </si>
  <si>
    <t>CMSPSTAT</t>
  </si>
  <si>
    <t>COMPTRT</t>
  </si>
  <si>
    <t>CONEMAIL</t>
  </si>
  <si>
    <t>CONMAIL</t>
  </si>
  <si>
    <t>CONNAME</t>
  </si>
  <si>
    <t>CONPHONE</t>
  </si>
  <si>
    <t>CONROLE</t>
  </si>
  <si>
    <t>CRMDUR</t>
  </si>
  <si>
    <t>CSRARDTC</t>
  </si>
  <si>
    <t>CTAUG</t>
  </si>
  <si>
    <t>CURTRT</t>
  </si>
  <si>
    <t>DCUTDESC</t>
  </si>
  <si>
    <t>DCUTDTC</t>
  </si>
  <si>
    <t>DGFCRIT</t>
  </si>
  <si>
    <t>DMCIND</t>
  </si>
  <si>
    <t>DOSE</t>
  </si>
  <si>
    <t>DOSFRM</t>
  </si>
  <si>
    <t>DOSFRQ</t>
  </si>
  <si>
    <t>DOSRGM</t>
  </si>
  <si>
    <t>DOSU</t>
  </si>
  <si>
    <t>DXCRIT</t>
  </si>
  <si>
    <t>EGBLIND</t>
  </si>
  <si>
    <t>EGCTMON</t>
  </si>
  <si>
    <t>EGLEADPR</t>
  </si>
  <si>
    <t>EGLEADSM</t>
  </si>
  <si>
    <t>EGRDMETH</t>
  </si>
  <si>
    <t>EGREPLBL</t>
  </si>
  <si>
    <t>EGREPLTR</t>
  </si>
  <si>
    <t>EGTWVALG</t>
  </si>
  <si>
    <t>EMAILXML</t>
  </si>
  <si>
    <t>EMPIPDCN</t>
  </si>
  <si>
    <t>EPDISIND</t>
  </si>
  <si>
    <t>EPIDEMIC</t>
  </si>
  <si>
    <t>EURSBIND</t>
  </si>
  <si>
    <t>EVSNDID</t>
  </si>
  <si>
    <t>EVSNDORG</t>
  </si>
  <si>
    <t>EXPARECN</t>
  </si>
  <si>
    <t>EXPASTAT</t>
  </si>
  <si>
    <t>EXTTIND</t>
  </si>
  <si>
    <t>FCNTRY</t>
  </si>
  <si>
    <t>FDADEIND</t>
  </si>
  <si>
    <t>FDADRIND</t>
  </si>
  <si>
    <t>FDATCHSP</t>
  </si>
  <si>
    <t>HLTSUBJI</t>
  </si>
  <si>
    <t>INDIC</t>
  </si>
  <si>
    <t>INTMODEL</t>
  </si>
  <si>
    <t>INTTYPE</t>
  </si>
  <si>
    <t>KEYWORD</t>
  </si>
  <si>
    <t>LENGTH</t>
  </si>
  <si>
    <t>MNFCNTRY</t>
  </si>
  <si>
    <t>MSEUTIND</t>
  </si>
  <si>
    <t>NARMS</t>
  </si>
  <si>
    <t>NCOHORT</t>
  </si>
  <si>
    <t>NUMSEUST</t>
  </si>
  <si>
    <t>OBJEXP</t>
  </si>
  <si>
    <t>OBJPRIM</t>
  </si>
  <si>
    <t>OBJSEC</t>
  </si>
  <si>
    <t>OBSMODEL</t>
  </si>
  <si>
    <t>OBSTIMP</t>
  </si>
  <si>
    <t>OBSTPOPD</t>
  </si>
  <si>
    <t>OBSTSMM</t>
  </si>
  <si>
    <t>OBSTSMMD</t>
  </si>
  <si>
    <t>OUTMSADD</t>
  </si>
  <si>
    <t>OUTMSEXP</t>
  </si>
  <si>
    <t>OUTMSPRI</t>
  </si>
  <si>
    <t>OUTMSSEC</t>
  </si>
  <si>
    <t>PASSIND</t>
  </si>
  <si>
    <t>PCLAS</t>
  </si>
  <si>
    <t>PDPSTIND</t>
  </si>
  <si>
    <t>PDSTIND</t>
  </si>
  <si>
    <t>PIPIND</t>
  </si>
  <si>
    <t>PLANSUB</t>
  </si>
  <si>
    <t>PLNTRDUR</t>
  </si>
  <si>
    <t>PROTRSK</t>
  </si>
  <si>
    <t>PTRTDUR</t>
  </si>
  <si>
    <t>PUBMEDID</t>
  </si>
  <si>
    <t>RANDOM</t>
  </si>
  <si>
    <t>RANDQT</t>
  </si>
  <si>
    <t>RDIND</t>
  </si>
  <si>
    <t>REGID</t>
  </si>
  <si>
    <t>RESUBLTR</t>
  </si>
  <si>
    <t>RLPSCRIT</t>
  </si>
  <si>
    <t>ROUTE</t>
  </si>
  <si>
    <t>RTSPCDES</t>
  </si>
  <si>
    <t>RXMLCIND</t>
  </si>
  <si>
    <t>SDMDUR</t>
  </si>
  <si>
    <t>SDTIGVER</t>
  </si>
  <si>
    <t>SDTMDVER</t>
  </si>
  <si>
    <t>SDTMVER</t>
  </si>
  <si>
    <t>SDXMLIND</t>
  </si>
  <si>
    <t>SENDTC</t>
  </si>
  <si>
    <t>SEVCRIT</t>
  </si>
  <si>
    <t>SEXPOP</t>
  </si>
  <si>
    <t>SPONSOR</t>
  </si>
  <si>
    <t>SPREFID</t>
  </si>
  <si>
    <t>SREVIND</t>
  </si>
  <si>
    <t>SRNCAIND</t>
  </si>
  <si>
    <t>SSEUTIND</t>
  </si>
  <si>
    <t>SSTDTC</t>
  </si>
  <si>
    <t>SSTDYDTL</t>
  </si>
  <si>
    <t>SSTDYIND</t>
  </si>
  <si>
    <t>STOPRULE</t>
  </si>
  <si>
    <t>STRATFCT</t>
  </si>
  <si>
    <t>STYPE</t>
  </si>
  <si>
    <t>TBLIND</t>
  </si>
  <si>
    <t>TCNTRL</t>
  </si>
  <si>
    <t>TDIGRP</t>
  </si>
  <si>
    <t>THERAREA</t>
  </si>
  <si>
    <t>TINDTP</t>
  </si>
  <si>
    <t>TITLE</t>
  </si>
  <si>
    <t>TPHASE</t>
  </si>
  <si>
    <t>TRGFUDUR</t>
  </si>
  <si>
    <t>TRT</t>
  </si>
  <si>
    <t>TTYPE</t>
  </si>
  <si>
    <t>URLSTDY</t>
  </si>
  <si>
    <t>URLSTDYD</t>
  </si>
  <si>
    <t>C98703</t>
  </si>
  <si>
    <t>C146995</t>
  </si>
  <si>
    <t>C49703</t>
  </si>
  <si>
    <t>C49694</t>
  </si>
  <si>
    <t>C49693</t>
  </si>
  <si>
    <t>C126058</t>
  </si>
  <si>
    <t>C127788</t>
  </si>
  <si>
    <t>C127789</t>
  </si>
  <si>
    <t>C68612</t>
  </si>
  <si>
    <t>C176375</t>
  </si>
  <si>
    <t>C176376</t>
  </si>
  <si>
    <t>C176373</t>
  </si>
  <si>
    <t>C176374</t>
  </si>
  <si>
    <t>C176372</t>
  </si>
  <si>
    <t>C98715</t>
  </si>
  <si>
    <t>C139273</t>
  </si>
  <si>
    <t>C156602</t>
  </si>
  <si>
    <t>C85582</t>
  </si>
  <si>
    <t>C98718</t>
  </si>
  <si>
    <t>C98717</t>
  </si>
  <si>
    <t>C135514</t>
  </si>
  <si>
    <t>C127790</t>
  </si>
  <si>
    <t>C25488</t>
  </si>
  <si>
    <t>C42636</t>
  </si>
  <si>
    <t>C89081</t>
  </si>
  <si>
    <t>C71137</t>
  </si>
  <si>
    <t>C73558</t>
  </si>
  <si>
    <t>C117960</t>
  </si>
  <si>
    <t>C119560</t>
  </si>
  <si>
    <t>C119561</t>
  </si>
  <si>
    <t>C119562</t>
  </si>
  <si>
    <t>C119563</t>
  </si>
  <si>
    <t>C119564</t>
  </si>
  <si>
    <t>C119565</t>
  </si>
  <si>
    <t>C119566</t>
  </si>
  <si>
    <t>C119582</t>
  </si>
  <si>
    <t>C127791</t>
  </si>
  <si>
    <t>C126059</t>
  </si>
  <si>
    <t>C171505</t>
  </si>
  <si>
    <t>C171506</t>
  </si>
  <si>
    <t>C126060</t>
  </si>
  <si>
    <t>C126061</t>
  </si>
  <si>
    <t>C126090</t>
  </si>
  <si>
    <t>C127792</t>
  </si>
  <si>
    <t>C127793</t>
  </si>
  <si>
    <t>C139274</t>
  </si>
  <si>
    <t>C98770</t>
  </si>
  <si>
    <t>C123629</t>
  </si>
  <si>
    <t>C123630</t>
  </si>
  <si>
    <t>C156603</t>
  </si>
  <si>
    <t>C98737</t>
  </si>
  <si>
    <t>C112038</t>
  </si>
  <si>
    <t>C98746</t>
  </si>
  <si>
    <t>C98747</t>
  </si>
  <si>
    <t>C126062</t>
  </si>
  <si>
    <t>C49697</t>
  </si>
  <si>
    <t>C124455</t>
  </si>
  <si>
    <t>C127794</t>
  </si>
  <si>
    <t>C98771</t>
  </si>
  <si>
    <t>C126063</t>
  </si>
  <si>
    <t>C127795</t>
  </si>
  <si>
    <t>C163559</t>
  </si>
  <si>
    <t>C85826</t>
  </si>
  <si>
    <t>C85827</t>
  </si>
  <si>
    <t>C126064</t>
  </si>
  <si>
    <t>C126065</t>
  </si>
  <si>
    <t>C126066</t>
  </si>
  <si>
    <t>C126067</t>
  </si>
  <si>
    <t>C126068</t>
  </si>
  <si>
    <t>C156601</t>
  </si>
  <si>
    <t>C98724</t>
  </si>
  <si>
    <t>C98772</t>
  </si>
  <si>
    <t>C98781</t>
  </si>
  <si>
    <t>C139275</t>
  </si>
  <si>
    <t>C98768</t>
  </si>
  <si>
    <t>C123631</t>
  </si>
  <si>
    <t>C123632</t>
  </si>
  <si>
    <t>C126069</t>
  </si>
  <si>
    <t>C49692</t>
  </si>
  <si>
    <t>C127796</t>
  </si>
  <si>
    <t>C139277</t>
  </si>
  <si>
    <t>C139276</t>
  </si>
  <si>
    <t>C127797</t>
  </si>
  <si>
    <t>C25196</t>
  </si>
  <si>
    <t>C98775</t>
  </si>
  <si>
    <t>C126070</t>
  </si>
  <si>
    <t>C98714</t>
  </si>
  <si>
    <t>C126071</t>
  </si>
  <si>
    <t>C117961</t>
  </si>
  <si>
    <t>C38114</t>
  </si>
  <si>
    <t>C126072</t>
  </si>
  <si>
    <t>C127798</t>
  </si>
  <si>
    <t>C98783</t>
  </si>
  <si>
    <t>C156604</t>
  </si>
  <si>
    <t>C189317</t>
  </si>
  <si>
    <t>C156605</t>
  </si>
  <si>
    <t>C127799</t>
  </si>
  <si>
    <t>C90462</t>
  </si>
  <si>
    <t>C117962</t>
  </si>
  <si>
    <t>C49696</t>
  </si>
  <si>
    <t>C70793</t>
  </si>
  <si>
    <t>C135009</t>
  </si>
  <si>
    <t>C126073</t>
  </si>
  <si>
    <t>C126074</t>
  </si>
  <si>
    <t>C127800</t>
  </si>
  <si>
    <t>C69208</t>
  </si>
  <si>
    <t>C126075</t>
  </si>
  <si>
    <t>C126076</t>
  </si>
  <si>
    <t>C49698</t>
  </si>
  <si>
    <t>C16153</t>
  </si>
  <si>
    <t>C142175</t>
  </si>
  <si>
    <t>C49658</t>
  </si>
  <si>
    <t>C49647</t>
  </si>
  <si>
    <t>C49650</t>
  </si>
  <si>
    <t>C101302</t>
  </si>
  <si>
    <t>C49652</t>
  </si>
  <si>
    <t>C49802</t>
  </si>
  <si>
    <t>C48281</t>
  </si>
  <si>
    <t>C126077</t>
  </si>
  <si>
    <t>C41161</t>
  </si>
  <si>
    <t>C49660</t>
  </si>
  <si>
    <t>C127801</t>
  </si>
  <si>
    <t>C127802</t>
  </si>
  <si>
    <t>Actual Number of Subjects</t>
  </si>
  <si>
    <t>Actual number of subjects enrolled; may include subjects who were not randomized.</t>
  </si>
  <si>
    <t>Actual Subject Number</t>
  </si>
  <si>
    <t>Adaptive Design</t>
  </si>
  <si>
    <t>Indicate if the study includes a prospectively planned opportunity for modification of one or more specified aspects of the study design and hypotheses based on analysis of data (usually interim data) from subjects in the study.</t>
  </si>
  <si>
    <t>Adaptive Study Design Indicator</t>
  </si>
  <si>
    <t>Added on to Existing Treatments</t>
  </si>
  <si>
    <t>The addition of a therapeutic product to the existing regimen in a clinical trial, where both entities remain as discrete products.</t>
  </si>
  <si>
    <t>Test Product Added to Existing Treatment</t>
  </si>
  <si>
    <t>Planned Maximum Age of Subjects</t>
  </si>
  <si>
    <t>The anticipated maximum age of the subjects to be entered in a clinical trial. (NCI)</t>
  </si>
  <si>
    <t>Planned Minimum Age of Subjects</t>
  </si>
  <si>
    <t>The anticipated minimum age of the subjects to be entered in a clinical trial. (NCI)</t>
  </si>
  <si>
    <t>Biospecimen Retention Contains DNA</t>
  </si>
  <si>
    <t>A textual description as to whether a biospecimen is retained and/or contains DNA.</t>
  </si>
  <si>
    <t>Biospecimen Retained and/or Contains DNA Indicator</t>
  </si>
  <si>
    <t>Citation Used in Study</t>
  </si>
  <si>
    <t>A bibliographical reference related to a particular study.</t>
  </si>
  <si>
    <t>Clinical Study Citation</t>
  </si>
  <si>
    <t>Commercial Sponsor Status</t>
  </si>
  <si>
    <t>The state or condition of the sponsor as pertains to whether the sponsor is considered a commercial entity.</t>
  </si>
  <si>
    <t>Sponsor Commercial Status</t>
  </si>
  <si>
    <t>Comparative Treatment Name</t>
  </si>
  <si>
    <t>A therapeutically active agent that is intended to provide reference measurements for the experimental protocol of a clinical trial.</t>
  </si>
  <si>
    <t>Active Comparator Drug</t>
  </si>
  <si>
    <t>Contact E-Mail Address</t>
  </si>
  <si>
    <t>E-mail address of study contact.</t>
  </si>
  <si>
    <t>Study Contact E-mail Address</t>
  </si>
  <si>
    <t>Contact Mailing Address</t>
  </si>
  <si>
    <t>Mailing address of study contact.</t>
  </si>
  <si>
    <t>Study Contact Postal Address</t>
  </si>
  <si>
    <t>Contact Name</t>
  </si>
  <si>
    <t>Name of study contact.</t>
  </si>
  <si>
    <t>Study Contact Name</t>
  </si>
  <si>
    <t>Contact Phone Number</t>
  </si>
  <si>
    <t>Phone number of study contact.</t>
  </si>
  <si>
    <t>Study Contact Telephone Number</t>
  </si>
  <si>
    <t>Contact Role</t>
  </si>
  <si>
    <t>Role of study contact.</t>
  </si>
  <si>
    <t>Study Contact Role</t>
  </si>
  <si>
    <t>Confirmed Response Minimum Duration</t>
  </si>
  <si>
    <t>The protocol specified minimum amount of time needed to meet the definition of a confirmed response to treatment.</t>
  </si>
  <si>
    <t>Clinical Study Report Archive Date</t>
  </si>
  <si>
    <t>The date when the clinical study report was archived.</t>
  </si>
  <si>
    <t>CDISC Therapeutic Area User Guide</t>
  </si>
  <si>
    <t>The name and version of the CDISC therapeutic area user guide that is being used in the study submission.</t>
  </si>
  <si>
    <t>CDISC Therapeutic Area User Guide Name and Version</t>
  </si>
  <si>
    <t>Current Therapy or Treatment</t>
  </si>
  <si>
    <t>The literal identifier of the therapy or medication that is currently being given per protocol.</t>
  </si>
  <si>
    <t>Current Therapy</t>
  </si>
  <si>
    <t>Data Cutoff Description</t>
  </si>
  <si>
    <t>Text that describes the cutoff date.</t>
  </si>
  <si>
    <t>Data Cutoff Date Description</t>
  </si>
  <si>
    <t>Data Cutoff Date</t>
  </si>
  <si>
    <t>A date which indicates any data collected by this date will be used for analysis.</t>
  </si>
  <si>
    <t>Delayed Graft Function Diagnostic Criteria; Delayed Graft Function Dx Criteria</t>
  </si>
  <si>
    <t>A standard by which the determination of delayed graft function (DGF) is established.</t>
  </si>
  <si>
    <t>Delayed Graft Function Diagnostic Criteria Name</t>
  </si>
  <si>
    <t>Data Monitoring Committee Indicator</t>
  </si>
  <si>
    <t>An indication as to whether the clinical trial has an appointed data monitoring committee.</t>
  </si>
  <si>
    <t>Dose Level; Dose per Administration</t>
  </si>
  <si>
    <t>The amount of study drug (or placebo) administered to a patient or test subject to be taken at one time or at stated intervals.</t>
  </si>
  <si>
    <t>Dose</t>
  </si>
  <si>
    <t>Dose Form</t>
  </si>
  <si>
    <t>The physical form in which active and/or inert ingredient(s) are presented.</t>
  </si>
  <si>
    <t>Pharmaceutical Dosage Form</t>
  </si>
  <si>
    <t>Dosing Frequency</t>
  </si>
  <si>
    <t>The number of doses administered per a specific interval.</t>
  </si>
  <si>
    <t>Dose Frequency</t>
  </si>
  <si>
    <t>Dose Regimen</t>
  </si>
  <si>
    <t>The planned schedule for the administration of an agent (such as a drug, substance or radiation).</t>
  </si>
  <si>
    <t>Dose Units</t>
  </si>
  <si>
    <t>The unit of measure for the dosage form.</t>
  </si>
  <si>
    <t>Dosage Form Unit</t>
  </si>
  <si>
    <t>Diagnostic Criteria</t>
  </si>
  <si>
    <t>A standard from which a judgment concerning a medical diagnosis can be established.</t>
  </si>
  <si>
    <t>ECG Reading Blinded</t>
  </si>
  <si>
    <t>Indicates whether assessors of ECGs for this study were blinded to subject identity, timing and treatment.</t>
  </si>
  <si>
    <t>ECG Evaluator Blinding Parameters</t>
  </si>
  <si>
    <t>ECG Continuous Monitoring</t>
  </si>
  <si>
    <t>Indicates whether the 10-second ECGs for this study were extracted from a continuous recording.</t>
  </si>
  <si>
    <t>ECG Continuous Monitoring Indicator</t>
  </si>
  <si>
    <t>ECG Planned Primary Lead</t>
  </si>
  <si>
    <t>The ECG lead which was planned to be used for ECG interval measurements for this study.</t>
  </si>
  <si>
    <t>ECG Planned Primary Lead for Study</t>
  </si>
  <si>
    <t>ECG Used Same Lead</t>
  </si>
  <si>
    <t>Indicates whether all ECG interval measurements for the study were based on the same lead.</t>
  </si>
  <si>
    <t>ECG Used Same Lead Indicator</t>
  </si>
  <si>
    <t>ECG Read Method</t>
  </si>
  <si>
    <t>The degree of automation involved in assessing the ECGs for this study.</t>
  </si>
  <si>
    <t>ECG Read Method Degree of Automation</t>
  </si>
  <si>
    <t>ECG Replicates at Baseline</t>
  </si>
  <si>
    <t>Indicates whether this study includes replicate ECGs for time points during the baseline portion of the study.</t>
  </si>
  <si>
    <t>ECG Replicates at Baseline Indicator</t>
  </si>
  <si>
    <t>ECG Replicates On-Treatment</t>
  </si>
  <si>
    <t>Indicates whether this study includes replicate ECGs for time points during the on-treatment portion of the study.</t>
  </si>
  <si>
    <t>ECG Replicates On-Treatment Indicator</t>
  </si>
  <si>
    <t>ECG Twave Algorithm</t>
  </si>
  <si>
    <t>The algorithm used to identify the end of the T wave for ECGs for this study.</t>
  </si>
  <si>
    <t>ECG T Wave Algorithm</t>
  </si>
  <si>
    <t>Email Address for XML File</t>
  </si>
  <si>
    <t>The Email address to which copies of the XML format of the EudraCT application should be sent.</t>
  </si>
  <si>
    <t>E-mail Address for XML File Feedback</t>
  </si>
  <si>
    <t>EMA Decision Number for PIP</t>
  </si>
  <si>
    <t>An alphanumeric code assigned by the European Medicines Agency (EMA) to an EMA regulatory decision for a pediatric investigation plan (PIP).</t>
  </si>
  <si>
    <t>EMA Decision Number for Pediatric Investigation Plan</t>
  </si>
  <si>
    <t>Epi/Pandemic Related Disruption Ind; Epidemic Related Disruption Indicator</t>
  </si>
  <si>
    <t>An indication as to whether the study disruption was caused by the epidemic or pandemic.</t>
  </si>
  <si>
    <t>Epidemic or Pandemic Related Disruption Indicator</t>
  </si>
  <si>
    <t>Name of Epi/Pandemic; Name of Epidemic and/or Pandemic</t>
  </si>
  <si>
    <t>The literal identifier of the epidemic and/or pandemic.</t>
  </si>
  <si>
    <t>Name of Epidemic or Pandemic</t>
  </si>
  <si>
    <t>EudraCT Resubmission Indicator</t>
  </si>
  <si>
    <t>An indication as to whether the trial being submitted to the EudraCT is a trial that has been previously submitted to the EudraCT system.</t>
  </si>
  <si>
    <t>EudraVigilance Sender ID</t>
  </si>
  <si>
    <t>A unique identifier assigned to the organization that is transmitting an adverse drug reaction report to the EudraVigilance system.</t>
  </si>
  <si>
    <t>EudraVigilance Sender Identifier</t>
  </si>
  <si>
    <t>EudraVigilance Sender Organization</t>
  </si>
  <si>
    <t>The name of the group or institution that is transmitting an adverse drug reaction report to the EudraVigilance system.</t>
  </si>
  <si>
    <t>Expanded Access Record NCT Number</t>
  </si>
  <si>
    <t>The unique alphanumeric identifier for the study with associated expanded access record, as assigned by the clinicaltrials.gov protocol registration and results system (PRS).</t>
  </si>
  <si>
    <t>Clinicaltrials.gov NCT Number for the Expanded Access Record</t>
  </si>
  <si>
    <t>Expanded Access Status</t>
  </si>
  <si>
    <t>Status indicating availability of an experimental drug or device outside any clinical trial protocol. (clinicaltrials.gov)</t>
  </si>
  <si>
    <t>Trial Expanded Access Status</t>
  </si>
  <si>
    <t>Extension Trial Indicator</t>
  </si>
  <si>
    <t>An indication as to whether the clinical trial is an extension trial.</t>
  </si>
  <si>
    <t>Planned Country of Investigational Sites</t>
  </si>
  <si>
    <t>The country name of planned study facility which has received IRB approval.</t>
  </si>
  <si>
    <t>Planned Country of Investigational Site</t>
  </si>
  <si>
    <t>FDA-Regulated Device Study Indicator</t>
  </si>
  <si>
    <t>An indication as to whether the study involves an FDA-regulated device.</t>
  </si>
  <si>
    <t>FDA-Regulated Drug Study Indicator</t>
  </si>
  <si>
    <t>An indication as to whether the study involves an FDA-regulated drug.</t>
  </si>
  <si>
    <t>FDA Technical Specification</t>
  </si>
  <si>
    <t>The name and version of the FDA technical specification that is being used in the study submission.</t>
  </si>
  <si>
    <t>FDA Technical Specification Name and Version</t>
  </si>
  <si>
    <t>Healthy Subject Indicator</t>
  </si>
  <si>
    <t>Indicate if persons who have not had the condition(s) being studied or otherwise related conditions or symptoms, as specified in the eligibility requirements, may participate in the study.</t>
  </si>
  <si>
    <t>Trial Disease/Condition Indication; Trial Disease/Condition Indication Description</t>
  </si>
  <si>
    <t>The textual representation of the condition, disease or disorder that the clinical trial is intended to investigate or address.</t>
  </si>
  <si>
    <t>Trial Indication</t>
  </si>
  <si>
    <t>Intervention Model</t>
  </si>
  <si>
    <t>The general design of the strategy for assigning interventions to participants in a clinical study. (clinicaltrials.gov)</t>
  </si>
  <si>
    <t>Intervention Type</t>
  </si>
  <si>
    <t>The kind of product or procedure studied in a trial.</t>
  </si>
  <si>
    <t>Protocol Keyword</t>
  </si>
  <si>
    <t>A word or small set of words designed to convey the focus of the protocol.</t>
  </si>
  <si>
    <t>Trial Length</t>
  </si>
  <si>
    <t>Planned length of observation for a single subject.</t>
  </si>
  <si>
    <t>Country of Manufacture</t>
  </si>
  <si>
    <t>The name of the country within which the final product under study is produced.</t>
  </si>
  <si>
    <t>Multiple Site EU State Trial Indicator</t>
  </si>
  <si>
    <t>An indication as to whether the clinical study is being conducted at multiple sites within the European Union member state concerned by the application.</t>
  </si>
  <si>
    <t>Multiple Site European Union State Trial Indicator</t>
  </si>
  <si>
    <t>Planned Number of Arms</t>
  </si>
  <si>
    <t>The planned number of intervention groups.</t>
  </si>
  <si>
    <t>Number of Groups/Cohorts</t>
  </si>
  <si>
    <t>The number of groups or cohorts that are part of the study.</t>
  </si>
  <si>
    <t>Number of Groups or Cohorts</t>
  </si>
  <si>
    <t>Number of Trial Sites EU State</t>
  </si>
  <si>
    <t>The total number of trial sites within the European Union member state concerned by the application.</t>
  </si>
  <si>
    <t>Number of Trial Sites within European Union State</t>
  </si>
  <si>
    <t>Trial Exploratory Objective</t>
  </si>
  <si>
    <t>The exploratory purpose of the trial.</t>
  </si>
  <si>
    <t>Study Primary Objective; Trial Primary Objective</t>
  </si>
  <si>
    <t>A principle objective of the study.</t>
  </si>
  <si>
    <t>Trial Primary Objective</t>
  </si>
  <si>
    <t>Study Secondary Objective; Trial Secondary Objective</t>
  </si>
  <si>
    <t>An auxiliary objective of the study.</t>
  </si>
  <si>
    <t>Trial Secondary Objective</t>
  </si>
  <si>
    <t>Observational Model</t>
  </si>
  <si>
    <t>The trial design developed to compare biomedical and/or health outcomes in pre-defined and non-assigned groups of individuals.</t>
  </si>
  <si>
    <t>Observational Time Perspective</t>
  </si>
  <si>
    <t>The temporal relationship between the observation period and time of subject enrollment. (ClinicalTrials.gov)</t>
  </si>
  <si>
    <t>Observational Time Perspective of Study</t>
  </si>
  <si>
    <t>Obs Study Population Description</t>
  </si>
  <si>
    <t>A description of the population from which the groups or cohorts will be selected within an observational study.</t>
  </si>
  <si>
    <t>Observational Study Population Description</t>
  </si>
  <si>
    <t>Observational Study Sampling Method</t>
  </si>
  <si>
    <t>The sampling method used to assign study participants into groups or cohorts within an observational study.</t>
  </si>
  <si>
    <t>Obs Study Sampling Method Description</t>
  </si>
  <si>
    <t>A textual description of the sampling method used to assign study participants into groups or cohorts within an observational study.</t>
  </si>
  <si>
    <t>Observational Study Sampling Method Description</t>
  </si>
  <si>
    <t>Additional Outcome Measure</t>
  </si>
  <si>
    <t>Additional key measures that will be used to evaluate the intervention(s) or, for observational studies, that are a focus of the study. These are the outcome measures not used to assess primary or secondary objectives.</t>
  </si>
  <si>
    <t>Exploratory Outcome Measure</t>
  </si>
  <si>
    <t>The outcome measure(s) that is part of a pre-specified analysis plan used to evaluate the exploratory endpoint(s) associated with exploratory study objective(s) and/or any other measures, excluding post-hoc measures, that are a focus of the study. (After clinicaltrials.gov)</t>
  </si>
  <si>
    <t>Primary Outcome Measure</t>
  </si>
  <si>
    <t>The outcome measure(s) of greatest importance specified in the protocol, usually the one(s) used in the power calculation, to evaluate the primary endpoint(s) associated with the primary study objective(s). (After Clinicaltrials.gov)</t>
  </si>
  <si>
    <t>Secondary Outcome Measure</t>
  </si>
  <si>
    <t>The outcome measure(s) that is part of a pre-specified analysis plan used to evaluate the secondary endpoint(s) associated with secondary study objective(s) and/or used to evaluate any measure(s) ancillary to the primary or secondary endpoint(s). (After Clinicaltrials.gov).</t>
  </si>
  <si>
    <t>Post Authorization Safety Study Ind</t>
  </si>
  <si>
    <t>An indication as to whether the clinical study is a post authorization safety study.</t>
  </si>
  <si>
    <t>Post Authorization Safety Study Indicator</t>
  </si>
  <si>
    <t>Pharmacologic Class</t>
  </si>
  <si>
    <t>The pharmacological class of the investigational product.</t>
  </si>
  <si>
    <t>Pharmacological Class of Investigational Therapy</t>
  </si>
  <si>
    <t>Pediatric Postmarket Study Indicator</t>
  </si>
  <si>
    <t>An indication as to whether the study is a pediatric postmarket study.</t>
  </si>
  <si>
    <t>Pediatric Study Indicator</t>
  </si>
  <si>
    <t>An indication as to whether the study is a pediatric study.</t>
  </si>
  <si>
    <t>Pediatric Investigation Plan Indicator</t>
  </si>
  <si>
    <t>An indication as to whether the trial is part of a pediatric investigation plan (PIP).</t>
  </si>
  <si>
    <t>Anticipated Enrollment; Planned Enrollment; Planned Number of Subjects; Target Enrollment</t>
  </si>
  <si>
    <t>The planned number of subjects to be entered in a clinical trial. (NCI)</t>
  </si>
  <si>
    <t>Planned Subject Number</t>
  </si>
  <si>
    <t>Planned Trial Duration</t>
  </si>
  <si>
    <t>The approximate period of time over which the clinical trial is expected to occur.</t>
  </si>
  <si>
    <t>Protocol Risk Assessment</t>
  </si>
  <si>
    <t>The potential future harm that may arise from a protocol-related activity.</t>
  </si>
  <si>
    <t>Planned Treatment Duration</t>
  </si>
  <si>
    <t>The period of time during which the treatment is intended to be given.</t>
  </si>
  <si>
    <t>PubMed ID for Citation Used in Study</t>
  </si>
  <si>
    <t>A globally unique identifier for a biomedical article, as assigned by PubMed.</t>
  </si>
  <si>
    <t>PubMed Unique Identifier</t>
  </si>
  <si>
    <t>Trial is Randomized</t>
  </si>
  <si>
    <t>The process of assigning trial subjects to treatment or control groups using an element of chance to determine the assignments in order to reduce bias. NOTE: Unequal randomization is used to allocate subjects into groups at a differential rate; for example, three subjects may be assigned to a treatment group for every one assigned to the control group. [ICH E6 1.48] See also balanced study. (CDISC glossary)</t>
  </si>
  <si>
    <t>Randomization</t>
  </si>
  <si>
    <t>Randomization Quotient</t>
  </si>
  <si>
    <t>The randomization quotient is the number of planned subjects to be exposed to investigational therapy, independent of dose or other factors, divided by the total number of planned subjects.</t>
  </si>
  <si>
    <t>Rare Disease Indicator</t>
  </si>
  <si>
    <t>An indication as to whether the condition under study is considered a rare disease.</t>
  </si>
  <si>
    <t>Registry Identifier</t>
  </si>
  <si>
    <t>Identification numbers assigned to the protocol by clinicaltrials.gov, EudraCT, or other registries.</t>
  </si>
  <si>
    <t>Clinical Trial Registry Identifier</t>
  </si>
  <si>
    <t>Resubmission Letter</t>
  </si>
  <si>
    <t>An alphabetic character that describes the incremental order of trial resubmissions.</t>
  </si>
  <si>
    <t>Relapse Criteria</t>
  </si>
  <si>
    <t>A standard from which a judgment concerning a disease relapse can be established.</t>
  </si>
  <si>
    <t>Route of Administration</t>
  </si>
  <si>
    <t>The pathway by which a substance is administered in order to reach the site of action in the body.</t>
  </si>
  <si>
    <t>Retained Biospecimen Description</t>
  </si>
  <si>
    <t>A textual description of the specimen types that are retained as reserve samples.</t>
  </si>
  <si>
    <t>Request for XML Copy of Study Indicator</t>
  </si>
  <si>
    <t>An indication as to whether the registrant would like to receive an XML copy of their study as saved on EudraCT.</t>
  </si>
  <si>
    <t>Study Saved as XML Indicator</t>
  </si>
  <si>
    <t>Stable Disease Minimum Duration</t>
  </si>
  <si>
    <t>The protocol specified minimum amount of time needed to meet the definition of stable disease.</t>
  </si>
  <si>
    <t>SDTM IG Version; SDTM Implementation Guide Version; SDTMIG Version</t>
  </si>
  <si>
    <t>The version of the CDISC Study Data Tabulation Model implementation guide that is being used in the study submission.</t>
  </si>
  <si>
    <t>Study Data Tabulation Model Implementation Guide Version</t>
  </si>
  <si>
    <t>SDTM IG Medical Device Version; SDTM Implementation Guide Medical Device Version; SDTMIG Medical Device Version; SDTMIG-MD Version</t>
  </si>
  <si>
    <t>The version of the CDISC Study Data Tabulation Model implementation guide for medical devices that is being used in the study submission.</t>
  </si>
  <si>
    <t>SDTM Implementation Guide Medical Device Version</t>
  </si>
  <si>
    <t>SDTM Version</t>
  </si>
  <si>
    <t>The version of the CDISC Study Data Tabulation Model that is being used in the study submission.</t>
  </si>
  <si>
    <t>Study Data Tabulation Model Version</t>
  </si>
  <si>
    <t>Secure Delivery XML Required Indicator</t>
  </si>
  <si>
    <t>An indication as to whether the XML copy of the EudraCT application requires secure E-mail delivery.</t>
  </si>
  <si>
    <t>Requires Secure Email Delivery of XML Indicator</t>
  </si>
  <si>
    <t>Study End Date</t>
  </si>
  <si>
    <t>The date on which the final data item for a clinical study was collected from the last study participant (that is, last subject, last visit, or as otherwise defined in the study protocol). (CDISC Glossary)</t>
  </si>
  <si>
    <t>Clinical Study End Date</t>
  </si>
  <si>
    <t>Severity Criteria</t>
  </si>
  <si>
    <t>A standard from which a judgment concerning the severity of an event, disease or condition can be established.</t>
  </si>
  <si>
    <t>Sex of Participants</t>
  </si>
  <si>
    <t>The specific sex, either male, female, or mixed of the subject group being studied. (NCI)</t>
  </si>
  <si>
    <t>Sex of Study Group</t>
  </si>
  <si>
    <t>Clinical Study Sponsor; Sponsor; Study Sponsor</t>
  </si>
  <si>
    <t>An individual, company, institution, or organization that takes responsibility for the initiation, management, and/or financing of a clinical study. [After ICH E6, WHO, 21 CFR 50.3 (e), and after IDMP]</t>
  </si>
  <si>
    <t>Clinical Study Sponsor</t>
  </si>
  <si>
    <t>Sponsor's Study Reference ID</t>
  </si>
  <si>
    <t>The reference identifier by which the study is known to the sponsor. This may be different from the STUDYID if the data were collected under a different identifier (e.g., used in a situation where a contract facility performs the study and provides a final report).</t>
  </si>
  <si>
    <t>Sponsor Study Reference Identifier</t>
  </si>
  <si>
    <t>SUSAR Reporting to EVCTM Indicator</t>
  </si>
  <si>
    <t>An indication as to whether suspected unexpected serious adverse reactions (SUSAR) will be reported to a EudraVigiliance clinical trial module (EVCTM).</t>
  </si>
  <si>
    <t>SUSAR Reporting to EudraVigiliance Clinical Trial Module Indicator</t>
  </si>
  <si>
    <t>SUSAR Reporting to NCA Indicator</t>
  </si>
  <si>
    <t>An indication as to whether suspected unexpected serious adverse reactions (SUSAR) will be reported to national competent authorities (NCA).</t>
  </si>
  <si>
    <t>SUSAR Reporting to National Competent Authority Indicator</t>
  </si>
  <si>
    <t>Single Site EU State Trial Indicator</t>
  </si>
  <si>
    <t>An indication as to whether the clinical study is being conducted at only one site within the European Union member state concerned by the application.</t>
  </si>
  <si>
    <t>Single Site European Union State Trial Indicator</t>
  </si>
  <si>
    <t>Study Start Date</t>
  </si>
  <si>
    <t>The earliest date of informed consent among any subject (Date/Time of Informed Consent, RFICDTC) that enrolled in the study. For studies conducted without informed consent (ie. emergency use) use the date of treatment. Dates for subjects who were screen failures are not included.</t>
  </si>
  <si>
    <t>Substudy Details</t>
  </si>
  <si>
    <t>A textual description of the substudy.</t>
  </si>
  <si>
    <t>Substudy Planned Indicator</t>
  </si>
  <si>
    <t>An indication as to whether a study performed on a subgroup of subjects included in the original trial (substudy) is planned for the current study.</t>
  </si>
  <si>
    <t>Study Stop Rules</t>
  </si>
  <si>
    <t>The rule, regulation and/or condition that determines the point in time when a clinical trial will be terminated. (NCI)</t>
  </si>
  <si>
    <t>Study Stop Rule</t>
  </si>
  <si>
    <t>Stratification Factor</t>
  </si>
  <si>
    <t>Selected factors that are used during randomization to ensure there is balance of these factors across all subjects within each arm of a study. The subject level values of these factors may be used as fixed effects in statistical models and for sensitivity analyses.</t>
  </si>
  <si>
    <t>Stratification Factors</t>
  </si>
  <si>
    <t>Study Type; Study Type Classification</t>
  </si>
  <si>
    <t>The nature of the investigation for which study information is being collected. (After clinicaltrials.gov)</t>
  </si>
  <si>
    <t>Study Type</t>
  </si>
  <si>
    <t>Study Blinding Design; Study Blinding Schema; Study Masking Design; Trial Blinding Design; Trial Blinding Schema; Trial Masking Design</t>
  </si>
  <si>
    <t>The type of experimental design used to describe the level of awareness of the study subjects and/ or study personnel as it relates to the respective intervention(s) or assessments being observed, received or administered.</t>
  </si>
  <si>
    <t>Trial Blinding Schema</t>
  </si>
  <si>
    <t>Control Type</t>
  </si>
  <si>
    <t>Comparator against which the study treatment is evaluated.</t>
  </si>
  <si>
    <t>Diagnosis Group</t>
  </si>
  <si>
    <t>A grouping of individuals on the basis of a shared procedure or disease, or lack thereof.</t>
  </si>
  <si>
    <t>Therapeutic Area</t>
  </si>
  <si>
    <t>A knowledge field that focuses on research and development of specific treatments for diseases and pathologic findings, as well as prevention of conditions that negatively impact the health of an individual. (NCI)</t>
  </si>
  <si>
    <t>Trial Intent Type</t>
  </si>
  <si>
    <t>The planned purpose of the therapy, device, or agent under study in the clinical trial.</t>
  </si>
  <si>
    <t>Clinical Study by Intent</t>
  </si>
  <si>
    <t>Official Study Title; Study Title; Trial Title</t>
  </si>
  <si>
    <t>The sponsor-defined name of the clinical study.</t>
  </si>
  <si>
    <t>Trial Title</t>
  </si>
  <si>
    <t>Trial Phase; Trial Phase Classification</t>
  </si>
  <si>
    <t>A step in the clinical research and development of a therapy from initial clinical trials to post-approval studies. NOTE: Clinical trials are generally categorized into four (sometimes five) phases. A therapeutic intervention may be evaluated in two or more phases simultaneously in different trials, and some trials may overlap two different phases. [21 CFR section 312.21; After ICH Topic E8 NOTE FOR GUIDANCE ON GENERAL CONSIDERATIONS FOR CLINICAL TRIALS, CPMP/ICH/291/95 March 1998]</t>
  </si>
  <si>
    <t>Trial Phase</t>
  </si>
  <si>
    <t>Target Follow-Up Duration</t>
  </si>
  <si>
    <t>The anticipated time period over which each study participant is to be followed. (ClinicalTrials.gov)</t>
  </si>
  <si>
    <t>Planned Follow-Up Duration</t>
  </si>
  <si>
    <t>Investigational Therapy or Treatment</t>
  </si>
  <si>
    <t>The investigational product under study.</t>
  </si>
  <si>
    <t>Protocol Agent</t>
  </si>
  <si>
    <t>Trial Scope; Trial Type</t>
  </si>
  <si>
    <t>The nature of the interventional study for which information is being collected.</t>
  </si>
  <si>
    <t>Trial Type</t>
  </si>
  <si>
    <t>URL Related to Study</t>
  </si>
  <si>
    <t>The uniform resource locator (URL) related to a particular study.</t>
  </si>
  <si>
    <t>Study Protocol Uniform Resource Locator</t>
  </si>
  <si>
    <t>URL Related to Study Description</t>
  </si>
  <si>
    <t>A textual description of the uniform resource locator (URL) related to a particular study.</t>
  </si>
  <si>
    <t>Study Protocol Uniform Resource Locator Description</t>
  </si>
  <si>
    <t>C67152</t>
  </si>
  <si>
    <t>CL.C67152.TSPARM</t>
  </si>
  <si>
    <t>Trial Summary Parameter Test Name</t>
  </si>
  <si>
    <t>The test name for an individual characteristic of a clinical trial, e.g. description of trial design, trial blinding schema, and primary objective of trial.</t>
  </si>
  <si>
    <t>CDISC SDTM Trial Summary Parameter Long Name Terminology</t>
  </si>
  <si>
    <t>Delayed Graft Function Dx Criteria</t>
  </si>
  <si>
    <t>Dose per Administration</t>
  </si>
  <si>
    <t>Epi/Pandemic Related Disruption Ind</t>
  </si>
  <si>
    <t>Name of Epi/Pandemic</t>
  </si>
  <si>
    <t>Planned Number of Subjects</t>
  </si>
  <si>
    <t>SDTM IG Version</t>
  </si>
  <si>
    <t>SDTMIG Medical Device Version</t>
  </si>
  <si>
    <t>Trial Disease/Condition Indication</t>
  </si>
  <si>
    <t>Trial Phase Classification</t>
  </si>
  <si>
    <t>DICTNAM</t>
  </si>
  <si>
    <t>Dictionary Name</t>
  </si>
  <si>
    <t>A name given to a reference source that lists words and gives their meaning. (NCI)</t>
  </si>
  <si>
    <t>CDISC Dictionary Name Terminology</t>
  </si>
  <si>
    <t>CL.C66788.DICTNAM</t>
  </si>
  <si>
    <t>CDISC CT</t>
  </si>
  <si>
    <t>COSTART</t>
  </si>
  <si>
    <t>CTCAE</t>
  </si>
  <si>
    <t>D-U-N-S NUMBER</t>
  </si>
  <si>
    <t>ICD</t>
  </si>
  <si>
    <t>ICD-O</t>
  </si>
  <si>
    <t>LOINC</t>
  </si>
  <si>
    <t>MED-RT</t>
  </si>
  <si>
    <t>MedDRA</t>
  </si>
  <si>
    <t>SNOMED</t>
  </si>
  <si>
    <t>UNII</t>
  </si>
  <si>
    <t>WHO ATC CLASSIFICATION SYSTEM</t>
  </si>
  <si>
    <t>WHOART</t>
  </si>
  <si>
    <t>WHODD</t>
  </si>
  <si>
    <t>C163415</t>
  </si>
  <si>
    <t>C49471</t>
  </si>
  <si>
    <t>C49704</t>
  </si>
  <si>
    <t>C134003</t>
  </si>
  <si>
    <t>C49474</t>
  </si>
  <si>
    <t>C37978</t>
  </si>
  <si>
    <t>C49476</t>
  </si>
  <si>
    <t>C163416</t>
  </si>
  <si>
    <t>C43820</t>
  </si>
  <si>
    <t>C53489</t>
  </si>
  <si>
    <t>C163417</t>
  </si>
  <si>
    <t>C154331</t>
  </si>
  <si>
    <t>C49468</t>
  </si>
  <si>
    <t>C49475</t>
  </si>
  <si>
    <t>CDISC Controlled Terminology; Clinical Data Interchange Standards Consortium Controlled Terminology</t>
  </si>
  <si>
    <t>A standard terminology developed and maintained by Clinical Data Interchange Standards Consortium (CDISC) and the National Cancer Institute Enterprise Vocabulary Services (NCI-EVS) to support CDISC models, domains and specifications for data representation in regulated research.</t>
  </si>
  <si>
    <t>Clinical Data Interchange Standards Consortium Controlled Terminology</t>
  </si>
  <si>
    <t>Coding Symbols for a Thesaurus of Adverse Reaction Terms</t>
  </si>
  <si>
    <t>A terminology developed and used by the Food and Drug Administration (FDA) for the coding, filing and retrieving of post marketing adverse reaction reports. (NCI)</t>
  </si>
  <si>
    <t>Thesaurus of Adverse Reaction Term Coding Symbols</t>
  </si>
  <si>
    <t>Common Terminology Criteria for Adverse Events</t>
  </si>
  <si>
    <t>A standard terminology developed and maintained by the National Cancer Institute to report adverse events occurring in cancer clinical trials. The CTCAE contains a grading scale for each adverse event term representing the severity of the event.</t>
  </si>
  <si>
    <t>Data Universal Number System; DUNS Numbers</t>
  </si>
  <si>
    <t>A proprietary system developed and regulated by Dun &amp; Bradstreet that assigns a unique nine digit numeric identifier to a single business entity location.</t>
  </si>
  <si>
    <t>Data Universal Numbering System</t>
  </si>
  <si>
    <t>International Classification of Diseases</t>
  </si>
  <si>
    <t>A system of categories to which morbid entries are assigned according to established criteria. Included is the entire range of conditions in a manageable number of categories, grouped to facilitate mortality reporting. It is produced by the World Health Organization (from ICD-10, p1). The Clinical Modifications, produced by the United States Dept. of Health and Human Services, are larger extensions used for morbidity and general epidemiological purposes, primarily in the U.S. (MSH2005_2004_10_12)</t>
  </si>
  <si>
    <t>International Classification of Diseases for Oncology</t>
  </si>
  <si>
    <t>A World Health Organization (WHO) multi-axial classification of the site, morphology, behaviour, and grading of neoplasms.</t>
  </si>
  <si>
    <t>Logical Observation Identifiers Names and Codes</t>
  </si>
  <si>
    <t>Published by The Regenstrief Institute, the Logical Observation Identifiers Names and Codes covers clinical and clinical laboratory terminology. (NCI)</t>
  </si>
  <si>
    <t>Medication Reference Terminology; NDF-RT</t>
  </si>
  <si>
    <t>A standard terminology developed and maintained by the Veterans Health Administration (VHA) that includes terminology to support the mechanism of action, physiologic effect, and asserted pharmacologic classification relationships of medications. MED-RT incorporates terminology from RxNORM, MeSH, and SNOMED CT.</t>
  </si>
  <si>
    <t>Medication Reference Terminology</t>
  </si>
  <si>
    <t>Medical Dictionary for Regulatory Activities</t>
  </si>
  <si>
    <t>MedDRA is an international medical terminology designed to support the classification, retrieval, presentation, and communication of medical information throughout the medical product regulatory cycle. MedDRA was developed under the auspices of the International Conference on Harmonisation of Technical Requirements for Registration of Pharmaceuticals for Human Use (ICH). The MedDRA Maintenance and Support Services Organization (MSSO) holds a contract with the International Federation of Pharmaceutical Manufacturers Associations (IFPMA) to maintain and support the implementation of the terminology. (NCI)</t>
  </si>
  <si>
    <t>Systematized Nomenclature of Medicine</t>
  </si>
  <si>
    <t>A multiaxial, hierarchical classification system for diseases in man developed by the College of American Pathologists. (NCI)</t>
  </si>
  <si>
    <t>SRS-UNII; Substance Registration System-Unique Ingredient Identifier</t>
  </si>
  <si>
    <t>A standard terminology developed and maintained by the Department of Veterans Affairs/Veterans Health Administration designated federal collaborative Structured Product Labeling Interagency Expert Panel (SPLIEP). It contains terminology to support the mechanism of action, physiologic effect, and asserted pharmacologic classification relationships of drug ingredients and food allergens.</t>
  </si>
  <si>
    <t>Substance Registration System-Unique Ingredient Identifier</t>
  </si>
  <si>
    <t>Anatomical Therapeutic Chemical Classification System</t>
  </si>
  <si>
    <t>A World Health Organization (WHO) classification system, developed and maintained by the WHO Collaborating Centre for Drug Statistics Methodology, for medicinal substances where active substances are divided into different groups according to the organ or system on which they act and their therapeutic, pharmacological, and chemical properties.</t>
  </si>
  <si>
    <t>World Health Organization Adverse Reaction Terms</t>
  </si>
  <si>
    <t>A terminology implemented by the World Health Organization to describe adverse reactions to a prescribed medication or treatment regimen. (NCI)</t>
  </si>
  <si>
    <t>World Health Organization Adverse Reaction Terminology</t>
  </si>
  <si>
    <t>WHODrug Global; World Health Organization Drug Dictionary</t>
  </si>
  <si>
    <t>A reference source of drugs and drug associated information maintained by the World Health Organization. (NCI)</t>
  </si>
  <si>
    <t>World Health Organization Drug Dictionary</t>
  </si>
  <si>
    <t>C66788</t>
  </si>
  <si>
    <t>First release: 27-Feb-2023 - Last modification: 01-Mar-2023</t>
  </si>
  <si>
    <t>https://www.cdisc.org/system/files/members/standard/foundational/SDTMIG%20v3.4-FINAL_2022-07-21.pdf#page=417</t>
  </si>
  <si>
    <t>Special Purpose</t>
  </si>
  <si>
    <t>One record per comment per subject</t>
  </si>
  <si>
    <t>STUDYID, TSPARMCD, TSSEQ</t>
  </si>
  <si>
    <t>STUDYID, USUBJID, IDVAR, COREF, CODTC</t>
  </si>
  <si>
    <t>co.xpt</t>
  </si>
  <si>
    <t>CO</t>
  </si>
  <si>
    <t>https://www.cdisc.org/system/files/members/standard/foundational/SDTMIG%20v3.4-FINAL_2022-07-21.pdf#page=60</t>
  </si>
  <si>
    <t>AE</t>
  </si>
  <si>
    <t>AG</t>
  </si>
  <si>
    <t>BE</t>
  </si>
  <si>
    <t>BS</t>
  </si>
  <si>
    <t>CE</t>
  </si>
  <si>
    <t>CM</t>
  </si>
  <si>
    <t>CP</t>
  </si>
  <si>
    <t>CV</t>
  </si>
  <si>
    <t>DA</t>
  </si>
  <si>
    <t>DD</t>
  </si>
  <si>
    <t>DE</t>
  </si>
  <si>
    <t>DI</t>
  </si>
  <si>
    <t>DM</t>
  </si>
  <si>
    <t>DO</t>
  </si>
  <si>
    <t>DR</t>
  </si>
  <si>
    <t>DS</t>
  </si>
  <si>
    <t>DT</t>
  </si>
  <si>
    <t>DU</t>
  </si>
  <si>
    <t>DV</t>
  </si>
  <si>
    <t>DX</t>
  </si>
  <si>
    <t>EC</t>
  </si>
  <si>
    <t>ED</t>
  </si>
  <si>
    <t>EG</t>
  </si>
  <si>
    <t>EX</t>
  </si>
  <si>
    <t>FA</t>
  </si>
  <si>
    <t>FT</t>
  </si>
  <si>
    <t>GF</t>
  </si>
  <si>
    <t>GI</t>
  </si>
  <si>
    <t>HM</t>
  </si>
  <si>
    <t>HO</t>
  </si>
  <si>
    <t>IE</t>
  </si>
  <si>
    <t>IG</t>
  </si>
  <si>
    <t>IS</t>
  </si>
  <si>
    <t>LB</t>
  </si>
  <si>
    <t>MB</t>
  </si>
  <si>
    <t>MH</t>
  </si>
  <si>
    <t>MI</t>
  </si>
  <si>
    <t>MK</t>
  </si>
  <si>
    <t>ML</t>
  </si>
  <si>
    <t>MS</t>
  </si>
  <si>
    <t>NV</t>
  </si>
  <si>
    <t>OE</t>
  </si>
  <si>
    <t>OI</t>
  </si>
  <si>
    <t>PC</t>
  </si>
  <si>
    <t>PE</t>
  </si>
  <si>
    <t>POOLDEF</t>
  </si>
  <si>
    <t>PP</t>
  </si>
  <si>
    <t>PR</t>
  </si>
  <si>
    <t>QS</t>
  </si>
  <si>
    <t>RE</t>
  </si>
  <si>
    <t>RELREC</t>
  </si>
  <si>
    <t>RELSPEC</t>
  </si>
  <si>
    <t>RELSUB</t>
  </si>
  <si>
    <t>RP</t>
  </si>
  <si>
    <t>RS</t>
  </si>
  <si>
    <t>SA</t>
  </si>
  <si>
    <t>SC</t>
  </si>
  <si>
    <t>SE</t>
  </si>
  <si>
    <t>SM</t>
  </si>
  <si>
    <t>SR</t>
  </si>
  <si>
    <t>SS</t>
  </si>
  <si>
    <t>SU</t>
  </si>
  <si>
    <t>SV</t>
  </si>
  <si>
    <t>TR</t>
  </si>
  <si>
    <t>TU</t>
  </si>
  <si>
    <t>UR</t>
  </si>
  <si>
    <t>VS</t>
  </si>
  <si>
    <t>C49562</t>
  </si>
  <si>
    <t>C117755</t>
  </si>
  <si>
    <t>C111138</t>
  </si>
  <si>
    <t>C111137</t>
  </si>
  <si>
    <t>C85441</t>
  </si>
  <si>
    <t>C49568</t>
  </si>
  <si>
    <t>C49569</t>
  </si>
  <si>
    <t>C181319</t>
  </si>
  <si>
    <t>C102605</t>
  </si>
  <si>
    <t>C49578</t>
  </si>
  <si>
    <t>C95087</t>
  </si>
  <si>
    <t>C102616</t>
  </si>
  <si>
    <t>C102618</t>
  </si>
  <si>
    <t>C49572</t>
  </si>
  <si>
    <t>C102619</t>
  </si>
  <si>
    <t>C102620</t>
  </si>
  <si>
    <t>C49576</t>
  </si>
  <si>
    <t>C102621</t>
  </si>
  <si>
    <t>C102622</t>
  </si>
  <si>
    <t>C49585</t>
  </si>
  <si>
    <t>C102617</t>
  </si>
  <si>
    <t>C117466</t>
  </si>
  <si>
    <t>C102630</t>
  </si>
  <si>
    <t>C49626</t>
  </si>
  <si>
    <t>C49587</t>
  </si>
  <si>
    <t>C85442</t>
  </si>
  <si>
    <t>C117756</t>
  </si>
  <si>
    <t>C181320</t>
  </si>
  <si>
    <t>C102640</t>
  </si>
  <si>
    <t>C102641</t>
  </si>
  <si>
    <t>C117757</t>
  </si>
  <si>
    <t>C61536</t>
  </si>
  <si>
    <t>C102651</t>
  </si>
  <si>
    <t>C112320</t>
  </si>
  <si>
    <t>C49592</t>
  </si>
  <si>
    <t>C49602</t>
  </si>
  <si>
    <t>C49603</t>
  </si>
  <si>
    <t>C95095</t>
  </si>
  <si>
    <t>C102674</t>
  </si>
  <si>
    <t>C49604</t>
  </si>
  <si>
    <t>C61531</t>
  </si>
  <si>
    <t>C102677</t>
  </si>
  <si>
    <t>C147180</t>
  </si>
  <si>
    <t>C161329</t>
  </si>
  <si>
    <t>C49606</t>
  </si>
  <si>
    <t>C49608</t>
  </si>
  <si>
    <t>C147181</t>
  </si>
  <si>
    <t>C49607</t>
  </si>
  <si>
    <t>C102700</t>
  </si>
  <si>
    <t>C49609</t>
  </si>
  <si>
    <t>C95098</t>
  </si>
  <si>
    <t>C147182</t>
  </si>
  <si>
    <t>C181321</t>
  </si>
  <si>
    <t>C147183</t>
  </si>
  <si>
    <t>C102707</t>
  </si>
  <si>
    <t>C107097</t>
  </si>
  <si>
    <t>C177945</t>
  </si>
  <si>
    <t>C49610</t>
  </si>
  <si>
    <t>C49616</t>
  </si>
  <si>
    <t>C147184</t>
  </si>
  <si>
    <t>C112420</t>
  </si>
  <si>
    <t>C117655</t>
  </si>
  <si>
    <t>C49615</t>
  </si>
  <si>
    <t>C49617</t>
  </si>
  <si>
    <t>C106578</t>
  </si>
  <si>
    <t>C106577</t>
  </si>
  <si>
    <t>C102726</t>
  </si>
  <si>
    <t>C49622</t>
  </si>
  <si>
    <t>Adverse Events</t>
  </si>
  <si>
    <t>An events domain that contains data describing untoward medical occurrences in a patient or subjects that are administered a pharmaceutical product and which may not necessarily have a causal relationship with the treatment.</t>
  </si>
  <si>
    <t>Adverse Event Domain</t>
  </si>
  <si>
    <t>Procedure Agents</t>
  </si>
  <si>
    <t>An interventions domain that contains the agents administered to the subject as part of a procedure or assessment, as opposed to drugs, medications and therapies administered with therapeutic intent.</t>
  </si>
  <si>
    <t>Procedure Agents Domain</t>
  </si>
  <si>
    <t>Biospecimen Events</t>
  </si>
  <si>
    <t>An events domain that documents actions taken that affect or may affect a specimen (e.g., specimen collection, freezing and thawing, aliquoting, transportation).</t>
  </si>
  <si>
    <t>Biospecimen Events Domain</t>
  </si>
  <si>
    <t>Biospecimen Findings</t>
  </si>
  <si>
    <t>A findings domain that contains data related to biospecimen characteristics.</t>
  </si>
  <si>
    <t>Biospecimen Domain</t>
  </si>
  <si>
    <t>Clinical Events</t>
  </si>
  <si>
    <t>An events domain that contains clinical events of interest that would not be classified as adverse events.</t>
  </si>
  <si>
    <t>Clinical Events Domain</t>
  </si>
  <si>
    <t>Concomitant/Prior Medications</t>
  </si>
  <si>
    <t>An interventions domain that contains concomitant and prior medications used by the subject, such as those given on an as needed basis or condition-appropriate medications.</t>
  </si>
  <si>
    <t>Concomitant Medication Domain</t>
  </si>
  <si>
    <t>A special-purpose domain that contains comments that may be collected alongside other data.</t>
  </si>
  <si>
    <t>Comment Domain</t>
  </si>
  <si>
    <t>Cell Phenotype Findings</t>
  </si>
  <si>
    <t>A findings domain that contains data related to the characterization of cell phenotype, lineage, and function based on expression of specific markers in single cell or particle suspensions.</t>
  </si>
  <si>
    <t>Cell Phenotype Findings Domain</t>
  </si>
  <si>
    <t>Cardiovascular System Findings</t>
  </si>
  <si>
    <t>A findings domain that contains physiological and morphological findings related to the cardiovascular system, including the heart, blood vessels and lymphatic vessels.</t>
  </si>
  <si>
    <t>Cardiovascular System Findings Domain</t>
  </si>
  <si>
    <t>Product Accountability</t>
  </si>
  <si>
    <t>A findings domain that contains the accountability of study product, such as information on the receipt, dispensing, return, and packaging.</t>
  </si>
  <si>
    <t>Product Accountability Domain</t>
  </si>
  <si>
    <t>Death Details; Death Diagnosis and Details</t>
  </si>
  <si>
    <t>A findings domain that contains the diagnosis of the cause of death for a subject.</t>
  </si>
  <si>
    <t>Death Diagnosis Domain</t>
  </si>
  <si>
    <t>Device Events</t>
  </si>
  <si>
    <t>An events domain that contains data for device-related events.</t>
  </si>
  <si>
    <t>Device Events Domain</t>
  </si>
  <si>
    <t>Device Identifiers</t>
  </si>
  <si>
    <t>A special-purpose domain containing information that identifies a specific device unit.</t>
  </si>
  <si>
    <t>Device Identifiers Domain</t>
  </si>
  <si>
    <t>Demographics</t>
  </si>
  <si>
    <t>A special-purpose domain that includes a set of essential standard variables that describe each subject in a clinical study. It is the parent domain for all other observations for human clinical subjects.</t>
  </si>
  <si>
    <t>Demographics Domain</t>
  </si>
  <si>
    <t>Device Properties</t>
  </si>
  <si>
    <t>A findings domain that contains the device characteristics that do not vary over the course of the study.</t>
  </si>
  <si>
    <t>Device Properties Domain</t>
  </si>
  <si>
    <t>Device-Subject Relationships</t>
  </si>
  <si>
    <t>A special-purpose domain that contains the linkage of each subject to the device(s) to which they may have been exposed during the study.</t>
  </si>
  <si>
    <t>Device to Subject Relationship Domain</t>
  </si>
  <si>
    <t>Disposition</t>
  </si>
  <si>
    <t>An events domain that contains information encompassing and representing data related to subject disposition.</t>
  </si>
  <si>
    <t>Disposition Domain</t>
  </si>
  <si>
    <t>Device Tracking and Disposition</t>
  </si>
  <si>
    <t>A events domain that contains the logistics and disposition information specific to a given device.</t>
  </si>
  <si>
    <t>Device Tracking and Disposition Domain</t>
  </si>
  <si>
    <t>Device In-Use</t>
  </si>
  <si>
    <t>A findings domain that contains the measurements and settings that are intentionally set on a device when it is in use. These are characteristics that exist for the device, and have a specific setting for a use instance.</t>
  </si>
  <si>
    <t>Device-In-Use Domain</t>
  </si>
  <si>
    <t>Protocol Deviations</t>
  </si>
  <si>
    <t>An events domain that contains protocol violations and deviations during the course of the study.</t>
  </si>
  <si>
    <t>Protocol Deviations Domain</t>
  </si>
  <si>
    <t>Device Exposure</t>
  </si>
  <si>
    <t>An interventions domain that contains a subject's exposure to a medical device under study.</t>
  </si>
  <si>
    <t>Device Exposure Domain</t>
  </si>
  <si>
    <t>Exposure as Collected</t>
  </si>
  <si>
    <t>An interventions domain that contains information about protocol-specified study treatment administrations, as collected.</t>
  </si>
  <si>
    <t>Exposure as Collected Domain</t>
  </si>
  <si>
    <t>Endocrine System Findings</t>
  </si>
  <si>
    <t>A findings domain that contains physiological and morphological findings related to the endocrine system, including the glands and cells that make hormones that are released directly into the blood and travel to tissues and organs all over the body.</t>
  </si>
  <si>
    <t>Endocrine System Findings Domain</t>
  </si>
  <si>
    <t>ECG Test Results</t>
  </si>
  <si>
    <t>A findings domain that contains ECG data, including position of the subject, method of evaluation, all cycle measurements and all findings from the ECG including an overall interpretation if collected or derived.</t>
  </si>
  <si>
    <t>Electrocardiogram Domain</t>
  </si>
  <si>
    <t>Exposure</t>
  </si>
  <si>
    <t>An interventions domain that contains the details of a subject's exposure to protocol-specified study treatment. Study treatment may be any intervention that is prospectively defined as a test material within a study, and is typically but not always supplied to the subject.</t>
  </si>
  <si>
    <t>Exposure Domain</t>
  </si>
  <si>
    <t>Findings About Events or Interventions</t>
  </si>
  <si>
    <t>A findings domain that contains the findings about an event or intervention that cannot be represented within an events or interventions domain record or as a supplemental qualifier.</t>
  </si>
  <si>
    <t>Findings About Events or Interventions Domain</t>
  </si>
  <si>
    <t>Functional Tests</t>
  </si>
  <si>
    <t>A findings domain that contains data for named, stand-alone, task-based evaluations designed to provide an assessment of mobility, dexterity, or cognitive ability.</t>
  </si>
  <si>
    <t>Functional Tests Domain</t>
  </si>
  <si>
    <t>Genomics Findings</t>
  </si>
  <si>
    <t>A findings domain that contains data related to the structure, function, evolution, mapping, and editing of subject and non-host organism genomic material of interest. This domain includes but is not limited to assessments and results for genetic variation and transcription, and summary measures derived from these assessments. The GF domain is used for findings from characteristics assessed from nucleic acids and may include subsequent inferences and/or predictions about related proteins/amino acids.</t>
  </si>
  <si>
    <t>Genomics Findings Domain</t>
  </si>
  <si>
    <t>Gastrointestinal System Findings</t>
  </si>
  <si>
    <t>A findings domain that contains physiological and morphological findings related to the gastrointestinal system, including the esophagus, stomach, small and large intestine, anus, liver, biliary tract and pancreas.</t>
  </si>
  <si>
    <t>Digestive System Findings Domain</t>
  </si>
  <si>
    <t>Hematopoietic System Findings</t>
  </si>
  <si>
    <t>A findings domain that contains physiological and morphological findings related to the hematopoietic system, including the bone marrow and lymph nodes involved in the production of blood.</t>
  </si>
  <si>
    <t>Hematopoietic System Findings Domain</t>
  </si>
  <si>
    <t>Healthcare Encounters</t>
  </si>
  <si>
    <t>A events domain that contains data for inpatient and outpatient healthcare events (e.g., hospitalization, nursing home stay, rehabilitation facility stay, ambulatory surgery).</t>
  </si>
  <si>
    <t>Healthcare Encounters Domain</t>
  </si>
  <si>
    <t>Inclusion/Exclusion Criteria Not Met</t>
  </si>
  <si>
    <t>A findings domain that contains those criteria that cause the subject to be in violation of the inclusion/exclusion criteria.</t>
  </si>
  <si>
    <t>Inclusion Exclusion Criteria Not Met Domain</t>
  </si>
  <si>
    <t>Integumentary System Findings</t>
  </si>
  <si>
    <t>A findings domain that contains physiological and morphological findings related to the integumentary system, including the epidermis, dermis, and all of their derivatives including hairs, nails, sudoriferous glands, and sebaceous glands.</t>
  </si>
  <si>
    <t>Integumentary System Findings Domain</t>
  </si>
  <si>
    <t>Immunogenicity Specimen Assessments</t>
  </si>
  <si>
    <t>A findings domain for assessments of antigen induced humoral or cell-mediated immune response in the subject.</t>
  </si>
  <si>
    <t>Immunogenicity Specimen Assessments Domain</t>
  </si>
  <si>
    <t>Laboratory Test Results</t>
  </si>
  <si>
    <t>A findings domain that contains laboratory test data such as hematology, clinical chemistry and urinalysis. This domain does not include microbiology or pharmacokinetic data, which are stored in separate domains.</t>
  </si>
  <si>
    <t>Laboratory Data Domain</t>
  </si>
  <si>
    <t>Microbiology Specimen</t>
  </si>
  <si>
    <t>A findings domain that represents non-host organisms identified including bacteria, viruses, parasites, protozoa and fungi.</t>
  </si>
  <si>
    <t>Microbiology Specimen Domain</t>
  </si>
  <si>
    <t>Medical History</t>
  </si>
  <si>
    <t>An events domain that contains data that includes the subject's prior medical history at the start of the trial.</t>
  </si>
  <si>
    <t>Medical History Domain</t>
  </si>
  <si>
    <t>Microscopic Findings</t>
  </si>
  <si>
    <t>A findings domain that contains histopathology findings and microscopic evaluations.</t>
  </si>
  <si>
    <t>Microscopic Findings Domain</t>
  </si>
  <si>
    <t>Musculoskeletal System Findings</t>
  </si>
  <si>
    <t>A findings domain that contains physiological and morphological findings related to the system of muscles, tendons, ligaments, bones, joints, and associated tissues.</t>
  </si>
  <si>
    <t>Musculoskeletal Findings, Connective and Soft Tissue Findings Domain</t>
  </si>
  <si>
    <t>Meal Data</t>
  </si>
  <si>
    <t>An interventions domain that contains information describing a subject's food product consumption.</t>
  </si>
  <si>
    <t>Meal Data Domain</t>
  </si>
  <si>
    <t>Microbiology Susceptibility</t>
  </si>
  <si>
    <t>A findings domain that represents drug susceptibility testing results only. This includes phenotypic testing (where drug is added directly to a culture of organisms) and genotypic tests that provide results in terms of susceptible or resistant. Drug susceptibility testing may occur on a wide variety of non-host organisms, including bacteria, viruses, fungi, protozoa and parasites.</t>
  </si>
  <si>
    <t>Microbiology Susceptibility Domain</t>
  </si>
  <si>
    <t>Nervous System Findings</t>
  </si>
  <si>
    <t>A findings domain that contains physiological and morphological findings related to the nervous system, including the brain, spinal cord, the cranial and spinal nerves, autonomic ganglia and plexuses.</t>
  </si>
  <si>
    <t>Nervous System Findings Domain</t>
  </si>
  <si>
    <t>Ophthalmic Examinations</t>
  </si>
  <si>
    <t>A findings domain that contains tests that measure a person's ocular health and visual status, to detect abnormalities in the components of the visual system, and to determine how well the person can see.</t>
  </si>
  <si>
    <t>Ophthalmic Examinations Domain</t>
  </si>
  <si>
    <t>Non-host Organism Identifiers</t>
  </si>
  <si>
    <t>A special-purpose domain containing information that identifies levels of taxonomic nomenclature of microbes or parasites that have been either experimentally determined in the course of a study or are previously known, as in the case of lab strains used as reference in the study.</t>
  </si>
  <si>
    <t>Non-host Organism Identifiers Domain</t>
  </si>
  <si>
    <t>Pharmacokinetics Concentrations</t>
  </si>
  <si>
    <t>A findings domain that contains concentrations of drugs or metabolites in fluids or tissues as a function of time.</t>
  </si>
  <si>
    <t>Pharmacokinetic Concentration Domain</t>
  </si>
  <si>
    <t>Physical Examination</t>
  </si>
  <si>
    <t>A findings domain that contains findings observed during a physical examination where the body is evaluated by inspection, palpation, percussion, and auscultation.</t>
  </si>
  <si>
    <t>Physical Exam Domain</t>
  </si>
  <si>
    <t>Pool Definition</t>
  </si>
  <si>
    <t>A dataset that identifies individual subjects included in a pool of subjects for which a single observation record (pool level) is captured.</t>
  </si>
  <si>
    <t>Pool Definition Dataset</t>
  </si>
  <si>
    <t>Pharmacokinetics Parameters</t>
  </si>
  <si>
    <t>A findings domain that contains pharmacokinetic parameters derived from pharmacokinetic concentration-time (PC) data.</t>
  </si>
  <si>
    <t>Pharmacokinetic Parameters Domain</t>
  </si>
  <si>
    <t>Procedures</t>
  </si>
  <si>
    <t>An interventions domain that contains interventional activity intended to have diagnostic, preventive, therapeutic, or palliative effects.</t>
  </si>
  <si>
    <t>Procedure Domain</t>
  </si>
  <si>
    <t>Questionnaires</t>
  </si>
  <si>
    <t>A findings domain that contains data for named, stand-alone instruments designed to provide an assessment of a concept. Questionnaires have a defined standard structure, format, and content; consist of conceptually related items that are typically scored; and have documented methods for administration and analysis.</t>
  </si>
  <si>
    <t>Questionnaire Domain</t>
  </si>
  <si>
    <t>Respiratory System Findings</t>
  </si>
  <si>
    <t>A findings domain that contains physiological and morphological findings related to the respiratory system, including the organs that are involved in breathing such as the nose, throat, larynx, trachea, bronchi and lungs.</t>
  </si>
  <si>
    <t>Respiratory Domain</t>
  </si>
  <si>
    <t>Related Records</t>
  </si>
  <si>
    <t>A dataset used to describe relationships between records for a subject within or across domains, and relationships of records across datasets.</t>
  </si>
  <si>
    <t>Related Records Dataset</t>
  </si>
  <si>
    <t>Related Specimens</t>
  </si>
  <si>
    <t>A dataset used to represent relationships between specimens.</t>
  </si>
  <si>
    <t>Related Specimens Dataset</t>
  </si>
  <si>
    <t>Related Subjects</t>
  </si>
  <si>
    <t>A dataset used to represent relationships between study subjects.</t>
  </si>
  <si>
    <t>Related Subjects Dataset</t>
  </si>
  <si>
    <t>Reproductive System Findings</t>
  </si>
  <si>
    <t>A findings domain that contains physiological and morphological findings related to the male and female reproductive systems.</t>
  </si>
  <si>
    <t>Reproductive System Findings Domain</t>
  </si>
  <si>
    <t>Disease Response and Clin Classification</t>
  </si>
  <si>
    <t>A findings domain for the assessment of disease response to therapy, or clinical classification based on published criteria.</t>
  </si>
  <si>
    <t>Disease Response Domain</t>
  </si>
  <si>
    <t>Serious Adverse Events</t>
  </si>
  <si>
    <t>An events domain that contains data describing untoward medical occurrences considered serious (SAE) in a patient or subjects that are administered a pharmaceutical product and which may not necessarily have a causal relationship with the treatment.</t>
  </si>
  <si>
    <t>Serious Adverse Events Domain</t>
  </si>
  <si>
    <t>Subject Characteristics</t>
  </si>
  <si>
    <t>A findings domain that contains subject-related data not collected in other domains.</t>
  </si>
  <si>
    <t>Subject Characteristics Domain</t>
  </si>
  <si>
    <t>Subject Elements</t>
  </si>
  <si>
    <t>A special-purpose domain that contains the actual order of elements followed by the subject, together with the start date/time and end date/time for each element.</t>
  </si>
  <si>
    <t>Subject Element Domain</t>
  </si>
  <si>
    <t>Subject Disease Milestones</t>
  </si>
  <si>
    <t>A special-purpose domain that is designed to record the timing, for each subject, of disease milestones that have been defined in the Trial Disease Milestones (TM) domain.</t>
  </si>
  <si>
    <t>Subject Disease Milestones Domain</t>
  </si>
  <si>
    <t>Skin Response</t>
  </si>
  <si>
    <t>A findings about domain for submitting dermal responses to antigens.</t>
  </si>
  <si>
    <t>Skin Response Domain</t>
  </si>
  <si>
    <t>Subject Status</t>
  </si>
  <si>
    <t>A findings domain that contains the subject's status that is evaluated periodically to determine if it has changed.</t>
  </si>
  <si>
    <t>Subject Status Domain</t>
  </si>
  <si>
    <t>Substance Use</t>
  </si>
  <si>
    <t>An interventions domain that contains substance use information that may be used to assess the efficacy and/or safety of therapies that look to mitigate the effects of chronic substance use.</t>
  </si>
  <si>
    <t>Substance Use Domain</t>
  </si>
  <si>
    <t>Subject Visits</t>
  </si>
  <si>
    <t>A special-purpose domain that contains information for each subject's actual and planned visits and contact events.</t>
  </si>
  <si>
    <t>Subject Visits Domain</t>
  </si>
  <si>
    <t>Tumor/Lesion Results</t>
  </si>
  <si>
    <t>A findings domain that represents quantitative measurements and/or qualitative assessments of the tumors, lesions, or locations of interest identified in the Tumor/Lesion Identification (TU) domain.</t>
  </si>
  <si>
    <t>Tumor Results Domain</t>
  </si>
  <si>
    <t>Tumor/Lesion Identification</t>
  </si>
  <si>
    <t>A findings domain that represents data that uniquely identifies tumors, lesions, or locations of interest under study.</t>
  </si>
  <si>
    <t>Tumor Identifier Domain</t>
  </si>
  <si>
    <t>Urinary System Findings</t>
  </si>
  <si>
    <t>A findings domain that contains physiological and morphological findings related to the urinary tract, including the organs involved in the creation and excretion of urine such as the kidneys, ureters, bladder and urethra.</t>
  </si>
  <si>
    <t>Urinary System Findings Domain</t>
  </si>
  <si>
    <t>Vital Signs</t>
  </si>
  <si>
    <t>A findings domain that contains measurements including but not limited to blood pressure, temperature, respiration, body surface area, body mass index, height and weight.</t>
  </si>
  <si>
    <t>Vital Signs Domain</t>
  </si>
  <si>
    <t>DOMAIN="CO"</t>
  </si>
  <si>
    <t>RDOMAIN</t>
  </si>
  <si>
    <t>USUBJID</t>
  </si>
  <si>
    <t>COSEQ</t>
  </si>
  <si>
    <t>IDVAR</t>
  </si>
  <si>
    <t>IDVARVAL</t>
  </si>
  <si>
    <t>COREF</t>
  </si>
  <si>
    <t>COVAL</t>
  </si>
  <si>
    <t>COEVAL</t>
  </si>
  <si>
    <t>COEVALID</t>
  </si>
  <si>
    <t>CODTC</t>
  </si>
  <si>
    <t>CODY</t>
  </si>
  <si>
    <t>Related Domain Abbreviation</t>
  </si>
  <si>
    <t>Unique Subject Identifier</t>
  </si>
  <si>
    <t>Identifying Variable</t>
  </si>
  <si>
    <t>Identifying Variable Value</t>
  </si>
  <si>
    <t>Comment Reference</t>
  </si>
  <si>
    <t>Comment</t>
  </si>
  <si>
    <t>Evaluator</t>
  </si>
  <si>
    <t>Evaluator Identifier</t>
  </si>
  <si>
    <t>Date/Time of Comment</t>
  </si>
  <si>
    <t>Study Day of Comment</t>
  </si>
  <si>
    <t>Two-character abbreviation for the domain of the parent record(s). Null for comments collected on a general comments or additional information CRF page.</t>
  </si>
  <si>
    <t>Identifier used to uniquely identify a subject across all studies for all applications or submissions involving the product.</t>
  </si>
  <si>
    <t>Sequence Number given to ensure uniqueness of subject records within a domain. May be any valid number.</t>
  </si>
  <si>
    <t>Identifying variable in the parent dataset that identifies the record(s) to which the comment applies. Examples AESEQ or CMGRPID. Used only when individual comments are related to domain records. Null for comments collected on separate CRFs.</t>
  </si>
  <si>
    <t>Value of identifying variable of the parent record(s). Used only when individual comments are related to domain records. Null for comments collected on separate CRFs.</t>
  </si>
  <si>
    <t>Sponsor-defined reference associated with the comment. May be the CRF page number (e.g., 650), or a module name (e.g., DEMOG), or a combination of information that identifies the reference (e.g. 650-VITALS-VISIT 2).</t>
  </si>
  <si>
    <t>The text of the comment. Text over 200 characters can be added to additional columns COVAL1-COVALn. See Assumption 3.</t>
  </si>
  <si>
    <t>Role of the person who provided the evaluation. Used only for results that are subjective (e.g., assigned by a person or a group). Example: "INVESTIGATOR".</t>
  </si>
  <si>
    <t>Used to distinguish multiple evaluators with the same role recorded in --EVAL. Examples: "RADIOLOGIST", "RADIOLOGIST 1", "RADIOLOGIST 2".</t>
  </si>
  <si>
    <t>Date/time of comment on dedicated comment form. Should be null if this is a child record of another domain or if comment date was not collected.</t>
  </si>
  <si>
    <t>Study day of the comment, in integer days. The algorithm for calculations must be relative to the sponsor-defined RFSTDTC variable in the Demographics (DM) domain.</t>
  </si>
  <si>
    <t>CL.C78735.EVAL</t>
  </si>
  <si>
    <t>EVAL</t>
  </si>
  <si>
    <t>C78735</t>
  </si>
  <si>
    <t>The role that the individual or entity plays with respect to a specific situation or person.</t>
  </si>
  <si>
    <t>CDISC SDTM Evaluator Terminology</t>
  </si>
  <si>
    <t>ADJUDICATION COMMITTEE</t>
  </si>
  <si>
    <t>ADJUDICATOR</t>
  </si>
  <si>
    <t>CARDIOLOGIST</t>
  </si>
  <si>
    <t>CAREGIVER</t>
  </si>
  <si>
    <t>CERTIFIED ASSESSOR</t>
  </si>
  <si>
    <t>CHILD</t>
  </si>
  <si>
    <t>CLINICAL PATHOLOGIST</t>
  </si>
  <si>
    <t>CLINICAL RESEARCH ASSOCIATE</t>
  </si>
  <si>
    <t>CLINICAL RESEARCH COORDINATOR</t>
  </si>
  <si>
    <t>CLINICAL STUDY SPONSOR</t>
  </si>
  <si>
    <t>DERMATOLOGIST</t>
  </si>
  <si>
    <t>DEVELOPMENTAL BEHAVIORAL PEDIATRICIAN</t>
  </si>
  <si>
    <t>DEVELOPMENTAL PSYCHOLOGIST</t>
  </si>
  <si>
    <t>DOMESTIC PARTNER</t>
  </si>
  <si>
    <t>ENDOCRINOLOGIST</t>
  </si>
  <si>
    <t>FAMILY MEMBER</t>
  </si>
  <si>
    <t>FORENSIC PATHOLOGIST</t>
  </si>
  <si>
    <t>FRIEND</t>
  </si>
  <si>
    <t>GUARDIAN</t>
  </si>
  <si>
    <t>GYNECOLOGIST</t>
  </si>
  <si>
    <t>HEALTH CARE PROFESSIONAL</t>
  </si>
  <si>
    <t>HEMATOLOGIST</t>
  </si>
  <si>
    <t>INDEPENDENT ASSESSOR</t>
  </si>
  <si>
    <t>INTERNIST</t>
  </si>
  <si>
    <t>INTERVIEWER</t>
  </si>
  <si>
    <t>INVESTIGATOR</t>
  </si>
  <si>
    <t>MICROSCOPIST</t>
  </si>
  <si>
    <t>MIDWIFE</t>
  </si>
  <si>
    <t>NEUROLOGIST</t>
  </si>
  <si>
    <t>NEUROONCOLOGIST</t>
  </si>
  <si>
    <t>NEURORADIOLOGIST</t>
  </si>
  <si>
    <t>NON-HEALTH CARE PROFESSIONAL</t>
  </si>
  <si>
    <t>NUCLEAR MEDICINE PHYSICIAN</t>
  </si>
  <si>
    <t>OBSTETRICIAN</t>
  </si>
  <si>
    <t>ONCOLOGIST</t>
  </si>
  <si>
    <t>OPHTHALMOLOGIST</t>
  </si>
  <si>
    <t>OPTOMETRIST</t>
  </si>
  <si>
    <t>OTOLARYNGOLOGIST</t>
  </si>
  <si>
    <t>PARENT</t>
  </si>
  <si>
    <t>PATHOLOGIST</t>
  </si>
  <si>
    <t>PEDIATRIC CARDIOLOGIST</t>
  </si>
  <si>
    <t>PEDIATRIC NEUROLOGIST</t>
  </si>
  <si>
    <t>PHARMACOKINETICIST</t>
  </si>
  <si>
    <t>PHYSIOTHERAPIST</t>
  </si>
  <si>
    <t>PRINCIPAL INVESTIGATOR</t>
  </si>
  <si>
    <t>PROXY</t>
  </si>
  <si>
    <t>RADIOLOGIST</t>
  </si>
  <si>
    <t>RATER</t>
  </si>
  <si>
    <t>READER</t>
  </si>
  <si>
    <t>SIBLING</t>
  </si>
  <si>
    <t>SIGNIFICANT OTHER</t>
  </si>
  <si>
    <t>SONOGRAPHER</t>
  </si>
  <si>
    <t>SPOUSE</t>
  </si>
  <si>
    <t>STUDY SUBJECT</t>
  </si>
  <si>
    <t>SUBINVESTIGATOR</t>
  </si>
  <si>
    <t>UROLOGIST</t>
  </si>
  <si>
    <t>VENDOR</t>
  </si>
  <si>
    <t>C78726</t>
  </si>
  <si>
    <t>C96561</t>
  </si>
  <si>
    <t>C125951</t>
  </si>
  <si>
    <t>C17445</t>
  </si>
  <si>
    <t>C189311</t>
  </si>
  <si>
    <t>C150886</t>
  </si>
  <si>
    <t>C142332</t>
  </si>
  <si>
    <t>C25465</t>
  </si>
  <si>
    <t>C51811</t>
  </si>
  <si>
    <t>C17816</t>
  </si>
  <si>
    <t>C147461</t>
  </si>
  <si>
    <t>C147462</t>
  </si>
  <si>
    <t>C53262</t>
  </si>
  <si>
    <t>C17817</t>
  </si>
  <si>
    <t>C41256</t>
  </si>
  <si>
    <t>C142333</t>
  </si>
  <si>
    <t>C72884</t>
  </si>
  <si>
    <t>C51828</t>
  </si>
  <si>
    <t>C17720</t>
  </si>
  <si>
    <t>C53287</t>
  </si>
  <si>
    <t>C17831</t>
  </si>
  <si>
    <t>C78720</t>
  </si>
  <si>
    <t>C17832</t>
  </si>
  <si>
    <t>C63759</t>
  </si>
  <si>
    <t>C25936</t>
  </si>
  <si>
    <t>C132303</t>
  </si>
  <si>
    <t>C191271</t>
  </si>
  <si>
    <t>C17721</t>
  </si>
  <si>
    <t>C93061</t>
  </si>
  <si>
    <t>C93058</t>
  </si>
  <si>
    <t>C134833</t>
  </si>
  <si>
    <t>C189312</t>
  </si>
  <si>
    <t>C191272</t>
  </si>
  <si>
    <t>C17821</t>
  </si>
  <si>
    <t>C17822</t>
  </si>
  <si>
    <t>C132424</t>
  </si>
  <si>
    <t>C17823</t>
  </si>
  <si>
    <t>C42709</t>
  </si>
  <si>
    <t>C17723</t>
  </si>
  <si>
    <t>C191273</t>
  </si>
  <si>
    <t>C147463</t>
  </si>
  <si>
    <t>C189313</t>
  </si>
  <si>
    <t>C53422</t>
  </si>
  <si>
    <t>C19924</t>
  </si>
  <si>
    <t>C119264</t>
  </si>
  <si>
    <t>C17824</t>
  </si>
  <si>
    <t>C132304</t>
  </si>
  <si>
    <t>C28747</t>
  </si>
  <si>
    <t>C25204</t>
  </si>
  <si>
    <t>C119265</t>
  </si>
  <si>
    <t>C191274</t>
  </si>
  <si>
    <t>C62649</t>
  </si>
  <si>
    <t>C41189</t>
  </si>
  <si>
    <t>C54622</t>
  </si>
  <si>
    <t>C17826</t>
  </si>
  <si>
    <t>C68608</t>
  </si>
  <si>
    <t>An external committee whose purpose is to evaluate study data and decide whether a study endpoint or other criterion has been met. (NCI)</t>
  </si>
  <si>
    <t>Adjudication Committee</t>
  </si>
  <si>
    <t>An individual that presides over and arbitrates between individuals or organizations.</t>
  </si>
  <si>
    <t>Adjudicator</t>
  </si>
  <si>
    <t>A physician who specializes in the diagnosis and treatment of heart disorders.</t>
  </si>
  <si>
    <t>Cardiologist</t>
  </si>
  <si>
    <t>Caregiver; Caretaker</t>
  </si>
  <si>
    <t>The primary person in charge of the care of a patient, usually a family member or a designated health care professional. (NCI)</t>
  </si>
  <si>
    <t>Caregiver</t>
  </si>
  <si>
    <t>A person authorized through certification to perform an evaluation or assessment.</t>
  </si>
  <si>
    <t>Certified Assessor</t>
  </si>
  <si>
    <t>A biological or non-biological first generation offspring, including but not limited to biological children (including those born outside of marriage), adopted children, step children, and foster children. (NCI)</t>
  </si>
  <si>
    <t>Child Relation</t>
  </si>
  <si>
    <t>A physician specializing in medical diagnosis based on laboratory analysis and the macroscopic and the microscopic changes to tissues and organs caused by disease.</t>
  </si>
  <si>
    <t>Clinical Pathologist</t>
  </si>
  <si>
    <t>Research Associate</t>
  </si>
  <si>
    <t>A person who is employed by a study sponsor or by a contract research organization (CRO), operates independently from the clinical study site and functions as a monitor, and/or auditor, and/or a project director within a particular trial or institution. (NCI)</t>
  </si>
  <si>
    <t>Clinical Research Associate</t>
  </si>
  <si>
    <t>CRC</t>
  </si>
  <si>
    <t>A person to whom a clinical investigator delegates routine administrative requirements of a protocol. The duties and responsibilities of a clinical research coordinator may vary across different infrastructures. Generally, the coordinator manages the subject's clinical trial participation and provides a vital linkage between the subject, the investigator, and the sponsor. (NCI)</t>
  </si>
  <si>
    <t>Clinical Coordinator</t>
  </si>
  <si>
    <t>A doctor who specializes in diagnosis and treatment of skin conditions.</t>
  </si>
  <si>
    <t>Dermatologist</t>
  </si>
  <si>
    <t>A pediatrician who specializes in diagnosing and treating developmental and behavioral disorders in children.</t>
  </si>
  <si>
    <t>Developmental Behavioral Pediatrician</t>
  </si>
  <si>
    <t>A psychologist who specializes in diagnosing and treating emotional and behavioral problems associated with developmental delay or disability.</t>
  </si>
  <si>
    <t>Developmental Psychologist</t>
  </si>
  <si>
    <t>Domestic Partner</t>
  </si>
  <si>
    <t>Person declares that a domestic partnership relationship exists. (HL7)</t>
  </si>
  <si>
    <t>Domestic Partnership</t>
  </si>
  <si>
    <t>A physician who specializes in diagnosing and treating conditions affecting the endocrine system.</t>
  </si>
  <si>
    <t>Endocrinologist</t>
  </si>
  <si>
    <t>Family Member</t>
  </si>
  <si>
    <t>Any of the individuals who are descended from a common progenitor, related by marriage or other legal tie.</t>
  </si>
  <si>
    <t>A physician specializing in the diagnosis of both the cause of death and the manner of death of another human being.</t>
  </si>
  <si>
    <t>Forensic Pathologist</t>
  </si>
  <si>
    <t>A person whom an individual knows, likes, and trusts. (NCI)</t>
  </si>
  <si>
    <t>Friend</t>
  </si>
  <si>
    <t>An individual who is authorized under applicable State or local law to consent on behalf of a child or incapable person to general medical care including participation in clinical research. (NCI)</t>
  </si>
  <si>
    <t>Guardian</t>
  </si>
  <si>
    <t>A physician who specializes in women's healthcare, including diagnosing and treating diseases and disorders of the female reproductive organs.</t>
  </si>
  <si>
    <t>Gynecologist</t>
  </si>
  <si>
    <t>A person qualified to be engaged in activity directed at preservation of mental and physical health by diseases prevention and treatment as a source of livelihood. (NCI)</t>
  </si>
  <si>
    <t>Health Care Professional</t>
  </si>
  <si>
    <t>A doctor who specializes in diagnosing and treating diseases and disorders of the blood and blood-forming organs. (NCI)</t>
  </si>
  <si>
    <t>Hematologist</t>
  </si>
  <si>
    <t>An individual qualified to perform an evaluation who is masked from a subject's data in order to minimize bias or maximize consistency and quality. (NCI)</t>
  </si>
  <si>
    <t>Independent Rater</t>
  </si>
  <si>
    <t>A physician who specializes in internal medicine.</t>
  </si>
  <si>
    <t>Internist</t>
  </si>
  <si>
    <t>The person who manages an interview and asks the questions.</t>
  </si>
  <si>
    <t>Interviewer</t>
  </si>
  <si>
    <t>A person responsible for the conduct of the clinical trial at a trial site. If a trial is conducted by a team of individuals at the trial site, the investigator is the responsible leader of the team and may be called the principal investigator.</t>
  </si>
  <si>
    <t>Investigator</t>
  </si>
  <si>
    <t>A health care professional trained in the visualization of structures too small to be seen by the naked eye, using various microscopic techniques.</t>
  </si>
  <si>
    <t>Microscopist</t>
  </si>
  <si>
    <t>A health professional educated in the discipline of midwifery, including care of women during pregnancy, child birth, and post-partum care.</t>
  </si>
  <si>
    <t>Midwife</t>
  </si>
  <si>
    <t>A physician who specializes in diagnosing and treating diseases and disorders of the nervous system.</t>
  </si>
  <si>
    <t>Neurologist</t>
  </si>
  <si>
    <t>A physician trained in oncology who specializes in tumors of the central nervous system.</t>
  </si>
  <si>
    <t>Neuro-oncologist</t>
  </si>
  <si>
    <t>A radiologist who specializes in diagnosing and treating conditions affecting the nervous system.</t>
  </si>
  <si>
    <t>Neuroradiologist</t>
  </si>
  <si>
    <t>Any individual other than a health care professional.</t>
  </si>
  <si>
    <t>Non-Healthcare Professional</t>
  </si>
  <si>
    <t>A type of radiologist who specializes in procedures using radioactive materials to diagnose and/or treat patients.</t>
  </si>
  <si>
    <t>Nuclear Medicine Physician</t>
  </si>
  <si>
    <t>A physician who specializes in the treatment of women as it relates to pregnancy, child birth, and post-partum care.</t>
  </si>
  <si>
    <t>Obstetrician</t>
  </si>
  <si>
    <t>A physician who specializes in diagnosing and treating cancer. (NCI)</t>
  </si>
  <si>
    <t>Oncologist</t>
  </si>
  <si>
    <t>A physician with a Doctor of Medicine or Doctor of Osteopathic Medicine degree (or analogous) who specializes in diagnosing and treating eye disorders, including more complex disorders that require surgery. (NCI)</t>
  </si>
  <si>
    <t>Ophthalmologist</t>
  </si>
  <si>
    <t>A physician with a Doctor of Optometry degree (or analogous) who specializes in the diagnosis and treatment of eye disorders.</t>
  </si>
  <si>
    <t>Optometrist</t>
  </si>
  <si>
    <t>Ear, Nose, and Throat Doctor; ENT Doctor; ENT Specialist; Otorhinolaryngologist</t>
  </si>
  <si>
    <t>A doctor who specializes in treating diseases of the ear, nose, and throat. (NCI)</t>
  </si>
  <si>
    <t>Otolaryngologist</t>
  </si>
  <si>
    <t>A mother or a father.</t>
  </si>
  <si>
    <t>Parent</t>
  </si>
  <si>
    <t>A physician who specializes in the science of pathology.</t>
  </si>
  <si>
    <t>Pathologist</t>
  </si>
  <si>
    <t>A pediatrician who specializes in the diagnosis and treatment of heart disorders in children.</t>
  </si>
  <si>
    <t>Pediatric Cardiologist</t>
  </si>
  <si>
    <t>A pediatrician who specializes in the diagnosis and treatment of nervous system disorders in children.</t>
  </si>
  <si>
    <t>Pediatric Neurologist</t>
  </si>
  <si>
    <t>A scientist who studies and/or works in the field of pharmacokinetics.</t>
  </si>
  <si>
    <t>Pharmacokineticist</t>
  </si>
  <si>
    <t>Physical Therapist</t>
  </si>
  <si>
    <t>A healthcare professional trained and certified to apply knowledge of the concepts, principles, and practices of physical therapy for the treatment or prevention of physical disability or disease.</t>
  </si>
  <si>
    <t>A person who has the primary responsibility for the conduct of a clinical study and study-related personnel at a study site. While a single-center study would not include a coordinating investigator, the investigator at the site would fulfill the same responsibilities as a principal investigator.</t>
  </si>
  <si>
    <t>Principal Investigator</t>
  </si>
  <si>
    <t>A type of directive that gives a person the authority to make decisions for or provide responses on behalf of another individual.</t>
  </si>
  <si>
    <t>Proxy</t>
  </si>
  <si>
    <t>A physician who specializes in the diagnostic and/or therapeutic uses of radiation. (NCI)</t>
  </si>
  <si>
    <t>Radiologist</t>
  </si>
  <si>
    <t>An individual qualified to perform an assessment.</t>
  </si>
  <si>
    <t>Rater</t>
  </si>
  <si>
    <t>An individual who takes non-quantifiable data and provides quantifiable assessments for that data.</t>
  </si>
  <si>
    <t>Reader</t>
  </si>
  <si>
    <t>A person's brother or sister.</t>
  </si>
  <si>
    <t>Sibling</t>
  </si>
  <si>
    <t>A gender-neutral term for a person's partner in an intimate or romantic relationship without disclosing or presuming marital status or sexual orientation.</t>
  </si>
  <si>
    <t>Significant Other</t>
  </si>
  <si>
    <t>A health professional educated in the discipline of ultrasonography.</t>
  </si>
  <si>
    <t>Sonographer</t>
  </si>
  <si>
    <t>Spouse</t>
  </si>
  <si>
    <t>A person's partner in marriage. (NCI)</t>
  </si>
  <si>
    <t>An individual who is observed, analyzed, examined, investigated, experimented upon, or/and treated in the course of a particular study.</t>
  </si>
  <si>
    <t>Study Subject</t>
  </si>
  <si>
    <t>Any member of the clinical trial team designated and supervised by the investigator at a trial site to perform critical trial-related procedures and/or to make important trial-related decisions (e.g., associates, residents, research fellows). (ICH)</t>
  </si>
  <si>
    <t>Subinvestigator</t>
  </si>
  <si>
    <t>A doctor who specializes in diseases of the urinary organs in females and the genitourinary organs in males.</t>
  </si>
  <si>
    <t>Urologist</t>
  </si>
  <si>
    <t>A person or agency that promotes or exchanges goods or services for money. (NCI)</t>
  </si>
  <si>
    <t>Vendor</t>
  </si>
  <si>
    <t>C96777</t>
  </si>
  <si>
    <t>MEDEVAL</t>
  </si>
  <si>
    <t>CL.C96777.MEDEVAL</t>
  </si>
  <si>
    <t>Medical Evaluator Identifier</t>
  </si>
  <si>
    <t>A terminology codelist containing identifiers used to uniquely distinguish multiple evaluators with the same role.</t>
  </si>
  <si>
    <t>CDISC SDTM Medical Evaluator Identifier Terminology</t>
  </si>
  <si>
    <t>C150867</t>
  </si>
  <si>
    <t>C150868</t>
  </si>
  <si>
    <t>C150869</t>
  </si>
  <si>
    <t>C187876</t>
  </si>
  <si>
    <t>C189588</t>
  </si>
  <si>
    <t>C189587</t>
  </si>
  <si>
    <t>C187877</t>
  </si>
  <si>
    <t>C189589</t>
  </si>
  <si>
    <t>C187878</t>
  </si>
  <si>
    <t>C189590</t>
  </si>
  <si>
    <t>C187879</t>
  </si>
  <si>
    <t>C189591</t>
  </si>
  <si>
    <t>C187880</t>
  </si>
  <si>
    <t>C189592</t>
  </si>
  <si>
    <t>C187881</t>
  </si>
  <si>
    <t>C189593</t>
  </si>
  <si>
    <t>C187882</t>
  </si>
  <si>
    <t>C189594</t>
  </si>
  <si>
    <t>C187883</t>
  </si>
  <si>
    <t>C189595</t>
  </si>
  <si>
    <t>C187884</t>
  </si>
  <si>
    <t>C189596</t>
  </si>
  <si>
    <t>C132421</t>
  </si>
  <si>
    <t>C132422</t>
  </si>
  <si>
    <t>C132423</t>
  </si>
  <si>
    <t>C96692</t>
  </si>
  <si>
    <t>C96606</t>
  </si>
  <si>
    <t>C189584</t>
  </si>
  <si>
    <t>C184676</t>
  </si>
  <si>
    <t>C184677</t>
  </si>
  <si>
    <t>C189585</t>
  </si>
  <si>
    <t>C96611</t>
  </si>
  <si>
    <t>C96612</t>
  </si>
  <si>
    <t>C187885</t>
  </si>
  <si>
    <t>C189597</t>
  </si>
  <si>
    <t>C187886</t>
  </si>
  <si>
    <t>C189598</t>
  </si>
  <si>
    <t>C187887</t>
  </si>
  <si>
    <t>C189599</t>
  </si>
  <si>
    <t>C154836</t>
  </si>
  <si>
    <t>C154837</t>
  </si>
  <si>
    <t>C187888</t>
  </si>
  <si>
    <t>C189600</t>
  </si>
  <si>
    <t>C189586</t>
  </si>
  <si>
    <t>C187889</t>
  </si>
  <si>
    <t>C189601</t>
  </si>
  <si>
    <t>C94530</t>
  </si>
  <si>
    <t>C94531</t>
  </si>
  <si>
    <t>C187890</t>
  </si>
  <si>
    <t>C132425</t>
  </si>
  <si>
    <t>C132426</t>
  </si>
  <si>
    <t>C94532</t>
  </si>
  <si>
    <t>C94533</t>
  </si>
  <si>
    <t>C139209</t>
  </si>
  <si>
    <t>C187891</t>
  </si>
  <si>
    <t>C189602</t>
  </si>
  <si>
    <t>ADJUDICATOR 1</t>
  </si>
  <si>
    <t>ADJUDICATOR 2</t>
  </si>
  <si>
    <t>ADJUDICATOR 3</t>
  </si>
  <si>
    <t>CARDIOLOGIST 1</t>
  </si>
  <si>
    <t>CARDIOLOGIST 2</t>
  </si>
  <si>
    <t>CERTIFIED ASSESSOR 1</t>
  </si>
  <si>
    <t>CLINICAL PATHOLOGIST 1</t>
  </si>
  <si>
    <t>CLINICAL PATHOLOGIST 2</t>
  </si>
  <si>
    <t>DERMATOLOGIST 1</t>
  </si>
  <si>
    <t>DERMATOLOGIST 2</t>
  </si>
  <si>
    <t>DEVELOPMENTAL BEHAVIORAL PEDIATRICIAN 1</t>
  </si>
  <si>
    <t>DEVELOPMENTAL BEHAVIORAL PEDIATRICIAN 2</t>
  </si>
  <si>
    <t>DEVELOPMENTAL PSYCHOLOGIST 1</t>
  </si>
  <si>
    <t>DEVELOPMENTAL PSYCHOLOGIST 2</t>
  </si>
  <si>
    <t>ENDOCRINOLOGIST 1</t>
  </si>
  <si>
    <t>ENDOCRINOLOGIST 2</t>
  </si>
  <si>
    <t>FORENSIC PATHOLOGIST 1</t>
  </si>
  <si>
    <t>FORENSIC PATHOLOGIST 2</t>
  </si>
  <si>
    <t>HEMATOLOGIST 1</t>
  </si>
  <si>
    <t>HEMATOLOGIST 2</t>
  </si>
  <si>
    <t>INTERNIST 1</t>
  </si>
  <si>
    <t>INTERNIST 2</t>
  </si>
  <si>
    <t>MICROSCOPIST 1</t>
  </si>
  <si>
    <t>MICROSCOPIST 2</t>
  </si>
  <si>
    <t>MICROSCOPIST 3</t>
  </si>
  <si>
    <t>NEUROLOGIST 1</t>
  </si>
  <si>
    <t>NEUROLOGIST 2</t>
  </si>
  <si>
    <t>NEUROONCOLOGIST 1</t>
  </si>
  <si>
    <t>NEURORADIOLOGIST 1</t>
  </si>
  <si>
    <t>NEURORADIOLOGIST 2</t>
  </si>
  <si>
    <t>NUCLEAR MEDICINE PHYSICIAN 1</t>
  </si>
  <si>
    <t>ONCOLOGIST 1</t>
  </si>
  <si>
    <t>ONCOLOGIST 2</t>
  </si>
  <si>
    <t>OPHTHALMOLOGIST 1</t>
  </si>
  <si>
    <t>OPHTHALMOLOGIST 2</t>
  </si>
  <si>
    <t>OPTOMETRIST 1</t>
  </si>
  <si>
    <t>OPTOMETRIST 2</t>
  </si>
  <si>
    <t>OTOLARYNGOLOGIST 1</t>
  </si>
  <si>
    <t>OTOLARYNGOLOGIST 2</t>
  </si>
  <si>
    <t>PATHOLOGIST 1</t>
  </si>
  <si>
    <t>PATHOLOGIST 2</t>
  </si>
  <si>
    <t>PEDIATRIC NEUROLOGIST 1</t>
  </si>
  <si>
    <t>PEDIATRIC NEUROLOGIST 2</t>
  </si>
  <si>
    <t>PHARMACOKINETICIST 1</t>
  </si>
  <si>
    <t>PHYSIOTHERAPIST 1</t>
  </si>
  <si>
    <t>PHYSIOTHERAPIST 2</t>
  </si>
  <si>
    <t>RADIOLOGIST 1</t>
  </si>
  <si>
    <t>RADIOLOGIST 2</t>
  </si>
  <si>
    <t>RADIOLOGIST 3</t>
  </si>
  <si>
    <t>RATER 1</t>
  </si>
  <si>
    <t>RATER 2</t>
  </si>
  <si>
    <t>READER 1</t>
  </si>
  <si>
    <t>READER 2</t>
  </si>
  <si>
    <t>READER 3</t>
  </si>
  <si>
    <t>UROLOGIST 1</t>
  </si>
  <si>
    <t>UROLOGIST 2</t>
  </si>
  <si>
    <t>An adjudicator performing the assessment who is given the designation of one.</t>
  </si>
  <si>
    <t>Adjudicator 1</t>
  </si>
  <si>
    <t>An adjudicator performing the assessment who is given the designation of two.</t>
  </si>
  <si>
    <t>Adjudicator 2</t>
  </si>
  <si>
    <t>An adjudicator performing the assessment who is given the designation of three.</t>
  </si>
  <si>
    <t>Adjudicator 3</t>
  </si>
  <si>
    <t>A cardiologist performing the assessment who is given the designation of one.</t>
  </si>
  <si>
    <t>Cardiologist 1</t>
  </si>
  <si>
    <t>A cardiologist performing the assessment who is given the designation of two.</t>
  </si>
  <si>
    <t>Cardiologist 2</t>
  </si>
  <si>
    <t>A certified assessor performing the assessment who is given the designation of one.</t>
  </si>
  <si>
    <t>Certified Assessor 1</t>
  </si>
  <si>
    <t>A clinical pathologist performing the assessment who is given the designation of one.</t>
  </si>
  <si>
    <t>Clinical Pathologist 1</t>
  </si>
  <si>
    <t>A clinical pathologist performing the assessment who is given the designation of two.</t>
  </si>
  <si>
    <t>Clinical Pathologist 2</t>
  </si>
  <si>
    <t>A dermatologist performing the assessment who is given the designation of one.</t>
  </si>
  <si>
    <t>Dermatologist 1</t>
  </si>
  <si>
    <t>A dermatologist performing the assessment who is given the designation of two.</t>
  </si>
  <si>
    <t>Dermatologist 2</t>
  </si>
  <si>
    <t>A developmental behavioral pediatrician performing the assessment who is given the designation of one.</t>
  </si>
  <si>
    <t>Developmental Behavioral Pediatrician 1</t>
  </si>
  <si>
    <t>A developmental behavioral pediatrician performing the assessment who is given the designation of two.</t>
  </si>
  <si>
    <t>Developmental Behavioral Pediatrician 2</t>
  </si>
  <si>
    <t>A developmental psychologist performing the assessment who is given the designation of one.</t>
  </si>
  <si>
    <t>Developmental Psychologist 1</t>
  </si>
  <si>
    <t>A developmental psychologist performing the assessment who is given the designation of two.</t>
  </si>
  <si>
    <t>Developmental Psychologist 2</t>
  </si>
  <si>
    <t>An endocrinologist performing the assessment who is given the designation of one.</t>
  </si>
  <si>
    <t>Endocrinologist 1</t>
  </si>
  <si>
    <t>An endocrinologist performing the assessment who is given the designation of two.</t>
  </si>
  <si>
    <t>Endocrinologist 2</t>
  </si>
  <si>
    <t>A forensic pathologist performing the assessment who is given the designation of one.</t>
  </si>
  <si>
    <t>Forensic Pathologist 1</t>
  </si>
  <si>
    <t>A forensic pathologist performing the assessment who is given the designation of two.</t>
  </si>
  <si>
    <t>Forensic Pathologist 2</t>
  </si>
  <si>
    <t>A hematologist performing the assessment who is given the designation of one.</t>
  </si>
  <si>
    <t>Hematologist 1</t>
  </si>
  <si>
    <t>A hematologist performing the assessment who is given the designation of two.</t>
  </si>
  <si>
    <t>Hematologist 2</t>
  </si>
  <si>
    <t>An internist performing the assessment who is given the designation of one.</t>
  </si>
  <si>
    <t>Internist 1</t>
  </si>
  <si>
    <t>An internist performing the assessment who is given the designation of two.</t>
  </si>
  <si>
    <t>Internist 2</t>
  </si>
  <si>
    <t>A microscopist performing the assessment who is given the designation of one.</t>
  </si>
  <si>
    <t>Microscopist 1</t>
  </si>
  <si>
    <t>A microscopist performing the assessment who is given the designation of two.</t>
  </si>
  <si>
    <t>Microscopist 2</t>
  </si>
  <si>
    <t>A microscopist performing the assessment who is given the designation of three.</t>
  </si>
  <si>
    <t>Microscopist 3</t>
  </si>
  <si>
    <t>A neurologist performing the assessment who is given the designation of one.</t>
  </si>
  <si>
    <t>Neurologist 1</t>
  </si>
  <si>
    <t>A neurologist performing the assessment who is given the designation of two.</t>
  </si>
  <si>
    <t>Neurologist 2</t>
  </si>
  <si>
    <t>A neurooncologist performing the assessment who is given the designation of one.</t>
  </si>
  <si>
    <t>Neuro-oncologist 1</t>
  </si>
  <si>
    <t>A neuroradiologist performing the assessment who is given the designation of one.</t>
  </si>
  <si>
    <t>Neuroradiologist 1</t>
  </si>
  <si>
    <t>A neuroradiologist performing the assessment who is given the designation of two.</t>
  </si>
  <si>
    <t>Neuroradiologist 2</t>
  </si>
  <si>
    <t>A nuclear medicine physician performing the assessment who is given the designation of one.</t>
  </si>
  <si>
    <t>Nuclear Medicine Physician 1</t>
  </si>
  <si>
    <t>An oncologist performing the assessment who is given the designation of one.</t>
  </si>
  <si>
    <t>Oncologist 1</t>
  </si>
  <si>
    <t>An oncologist performing the assessment who is given the designation of two.</t>
  </si>
  <si>
    <t>Oncologist 2</t>
  </si>
  <si>
    <t>An ophthalmologist performing the assessment who is given the designation of one.</t>
  </si>
  <si>
    <t>Ophthalmologist 1</t>
  </si>
  <si>
    <t>An ophthalmologist performing the assessment who is given the designation of two.</t>
  </si>
  <si>
    <t>Ophthalmologist 2</t>
  </si>
  <si>
    <t>An optometrist performing the assessment who is given the designation of one.</t>
  </si>
  <si>
    <t>Optometrist 1</t>
  </si>
  <si>
    <t>An optometrist performing the assessment who is given the designation of two.</t>
  </si>
  <si>
    <t>Optometrist 2</t>
  </si>
  <si>
    <t>A otolaryngologist performing the assessment who is given the designation of one.</t>
  </si>
  <si>
    <t>Otolaryngologist 1</t>
  </si>
  <si>
    <t>A otolaryngologist performing the assessment who is given the designation of two.</t>
  </si>
  <si>
    <t>Otolaryngologist 2</t>
  </si>
  <si>
    <t>A pathologist performing the assessment who is given the designation of one.</t>
  </si>
  <si>
    <t>Pathologist 1</t>
  </si>
  <si>
    <t>A pathologist performing the assessment who is given the designation of two.</t>
  </si>
  <si>
    <t>Pathologist 2</t>
  </si>
  <si>
    <t>A pediatric neurologist performing the assessment who is given the designation of one.</t>
  </si>
  <si>
    <t>Pediatric Neurologist 1</t>
  </si>
  <si>
    <t>A pediatric neurologist performing the assessment who is given the designation of two.</t>
  </si>
  <si>
    <t>Pediatric Neurologist 2</t>
  </si>
  <si>
    <t>A pharmacokineticist performing the assessment who is given the designation of one.</t>
  </si>
  <si>
    <t>Pharmacokineticist 1</t>
  </si>
  <si>
    <t>A physiotherapist performing the assessment who is given the designation of one.</t>
  </si>
  <si>
    <t>Physiotherapist 1</t>
  </si>
  <si>
    <t>A physiotherapist performing the assessment who is given the designation of two.</t>
  </si>
  <si>
    <t>Physiotherapist 2</t>
  </si>
  <si>
    <t>A radiologist performing the assessment who is given the designation of one.</t>
  </si>
  <si>
    <t>Radiologist 1</t>
  </si>
  <si>
    <t>A radiologist performing the assessment who is given the designation of two.</t>
  </si>
  <si>
    <t>Radiologist 2</t>
  </si>
  <si>
    <t>A radiologist performing the assessment who is given the designation of three.</t>
  </si>
  <si>
    <t>Radiologist 3</t>
  </si>
  <si>
    <t>A rater performing the assessment who is given the designation of one.</t>
  </si>
  <si>
    <t>Rater 1</t>
  </si>
  <si>
    <t>A rater performing the assessment who is given the designation of two.</t>
  </si>
  <si>
    <t>Rater 2</t>
  </si>
  <si>
    <t>A reader performing the assessment who is given the designation of one.</t>
  </si>
  <si>
    <t>Reader 1</t>
  </si>
  <si>
    <t>A reader performing the assessment who is given the designation of two.</t>
  </si>
  <si>
    <t>Reader 2</t>
  </si>
  <si>
    <t>A reader performing the assessment who is given the designation of three.</t>
  </si>
  <si>
    <t>Reader 3</t>
  </si>
  <si>
    <t>An urologist performing the assessment who is given the designation of one.</t>
  </si>
  <si>
    <t>Urologist 1</t>
  </si>
  <si>
    <t>An urologist performing the assessment who is given the designation of two.</t>
  </si>
  <si>
    <t>Urologist 2</t>
  </si>
  <si>
    <t>Description available under https://www.cdisc.org/system/files/members/standard/foundational/SDTMIG%20v3.4-FINAL_2022-07-21.pdf#page=38</t>
  </si>
  <si>
    <t>One record per subject</t>
  </si>
  <si>
    <t>STUDYID, USUBJID</t>
  </si>
  <si>
    <t>dm.xpt</t>
  </si>
  <si>
    <t>https://www.cdisc.org/system/files/members/standard/foundational/SDTMIG%20v3.4-FINAL_2022-07-21.pdf#page=62</t>
  </si>
  <si>
    <t>SUBJID</t>
  </si>
  <si>
    <t>RFSTDTC</t>
  </si>
  <si>
    <t>RFENDTC</t>
  </si>
  <si>
    <t>RFXSTDTC</t>
  </si>
  <si>
    <t>RFXENDTC</t>
  </si>
  <si>
    <t>RFCSTDTC</t>
  </si>
  <si>
    <t>RFCENDTC</t>
  </si>
  <si>
    <t>RFICDTC</t>
  </si>
  <si>
    <t>RFPENDTC</t>
  </si>
  <si>
    <t>DTHDTC</t>
  </si>
  <si>
    <t>DTHFL</t>
  </si>
  <si>
    <t>SITEID</t>
  </si>
  <si>
    <t>INVID</t>
  </si>
  <si>
    <t>INVNAM</t>
  </si>
  <si>
    <t>BRTHDTC</t>
  </si>
  <si>
    <t>AGE</t>
  </si>
  <si>
    <t>AGEU</t>
  </si>
  <si>
    <t>SEX</t>
  </si>
  <si>
    <t>RACE</t>
  </si>
  <si>
    <t>ETHNIC</t>
  </si>
  <si>
    <t>ACTARMCD</t>
  </si>
  <si>
    <t>ACTARM</t>
  </si>
  <si>
    <t>ARMNRS</t>
  </si>
  <si>
    <t>ACTARMUD</t>
  </si>
  <si>
    <t>COUNTRY</t>
  </si>
  <si>
    <t>DMDTC</t>
  </si>
  <si>
    <t>DMDY</t>
  </si>
  <si>
    <t>Subject Identifier for the Study</t>
  </si>
  <si>
    <t>Subject Reference Start Date/Time</t>
  </si>
  <si>
    <t>Subject Reference End Date/Time</t>
  </si>
  <si>
    <t>Date/Time of First Study Treatment</t>
  </si>
  <si>
    <t>Date/Time of Last Study Treatment</t>
  </si>
  <si>
    <t>Date/Time of First Challenge Agent Admin</t>
  </si>
  <si>
    <t>Date/Time of Last Challenge Agent Admin</t>
  </si>
  <si>
    <t>Date/Time of Informed Consent</t>
  </si>
  <si>
    <t>Date/Time of End of Participation</t>
  </si>
  <si>
    <t>Date/Time of Death</t>
  </si>
  <si>
    <t>Subject Death Flag</t>
  </si>
  <si>
    <t>Study Site Identifier</t>
  </si>
  <si>
    <t>Investigator Identifier</t>
  </si>
  <si>
    <t>Investigator Name</t>
  </si>
  <si>
    <t>Date/Time of Birth</t>
  </si>
  <si>
    <t>Age</t>
  </si>
  <si>
    <t>Age Units</t>
  </si>
  <si>
    <t>Sex</t>
  </si>
  <si>
    <t>Race</t>
  </si>
  <si>
    <t>Ethnicity</t>
  </si>
  <si>
    <t>Actual Arm Code</t>
  </si>
  <si>
    <t>Description of Actual Arm</t>
  </si>
  <si>
    <t>Reason Arm and/or Actual Arm is Null</t>
  </si>
  <si>
    <t>Description of Unplanned Actual Arm</t>
  </si>
  <si>
    <t>Country</t>
  </si>
  <si>
    <t>Date/Time of Collection</t>
  </si>
  <si>
    <t>Study Day of Collection</t>
  </si>
  <si>
    <t>Identifier used to uniquely identify a subject across all studies for all applications or submissions involving the product. This must be a unique value, and could be a compound identifier formed by concatenating STUDYID-SITEID-SUBJID.</t>
  </si>
  <si>
    <t>Subject identifier, which must be unique within the study. Often the ID of the subject as recorded on a CRF.</t>
  </si>
  <si>
    <t>Reference start date/time for the subject in ISO 8601 character format. Usually equivalent to date/time when subject was first exposed to study treatment. See assumption 9 for additional detail on when RFSTDTC may be null.</t>
  </si>
  <si>
    <t>Reference end date/time for the subject in ISO 8601 character format. Usually equivalent to the date/time when subject was determined to have ended the trial, and often equivalent to date/time of last exposure to study treatment. Required for all randomized subjects; null for screen failures or unassigned subjects.</t>
  </si>
  <si>
    <t>First date/time of exposure to any protocol-specified treatment or therapy, equal to the earliest value of EXSTDTC.</t>
  </si>
  <si>
    <t>Last date/time of exposure to any protocol-specified treatment or therapy, equal to the latest value of EXENDTC (or the latest value of EXSTDTC if EXENDTC was not collected or is missing).</t>
  </si>
  <si>
    <t>Used only when protocol specifies a challenge agent to induce a condition that the investigational treatment is intended to cure, mitigate, treat, or prevent. Equal to the earliest value of AGSTDTC for the challenge agent.</t>
  </si>
  <si>
    <t>Used only when protocol specifies a challenge agent to induce a condition that the investigational treatment is intended to cure, mitigate, treat, or prevent. Equal to the latest value of AGENDTC for the challenge agent (or the latest value of AGSTDTC if AGENDTC was not collected or is missing).</t>
  </si>
  <si>
    <t>Date/time of informed consent in ISO 8601 character format. This will be the same as the date of informed consent in the Disposition domain, if that protocol milestone is documented. Would be null only in studies not collecting the date of informed consent.</t>
  </si>
  <si>
    <t>Date/time when subject ended participation or follow-up in a trial, as defined in the protocol, in ISO 8601 character format. Should correspond to the last known date of contact. Examples include completion date, withdrawal date, last follow-up, date recorded for lost to follow up, and death date.</t>
  </si>
  <si>
    <t>Date/time of death for any subject who died, in ISO 8601 format. Should represent the date/time that is captured in the clinical-trial database.</t>
  </si>
  <si>
    <t>Indicates the subject died. Should be "Y" or null. Should be populated even when the death date is unknown.</t>
  </si>
  <si>
    <t>Unique identifier for a site within a study.</t>
  </si>
  <si>
    <t>An identifier to describe the Investigator for the study. May be used in addition to SITEID. Not needed if SITEID is equivalent to INVID.</t>
  </si>
  <si>
    <t>Name of the investigator for a site.</t>
  </si>
  <si>
    <t>Date/time of birth of the subject.</t>
  </si>
  <si>
    <t>Age expressed in AGEU. May be derived from RFSTDTC and BRTHDTC, but BRTHDTC may not be available in all cases (due to subject privacy concerns).</t>
  </si>
  <si>
    <t>Units associated with AGE.</t>
  </si>
  <si>
    <t>Sex of the subject.</t>
  </si>
  <si>
    <t>ARMCD is limited to 20 characters. It is not subject to the character restrictions that apply to TESTCD. The maximum length of ARMCD is longer than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 If the subject was not assigned to a trial arm, ARMCD is null and ARMNRS is populated. \n With the exception of studies which use multistage arm assignments, must be a value of ARMCD in the Trial Arms dataset.</t>
  </si>
  <si>
    <t>Name of the arm to which the subject was assigned. If the subject was not assigned to an arm, ARM is null and ARMNRS is populated. \n With the exception of studies which use multistage arm assignments, must be a value of ARM in the Trial Arms dataset.</t>
  </si>
  <si>
    <t>Code of actual arm. ACTARMCD is limited to 20 characters. It is not subject to the character restrictions that apply to TESTCD. The maximum length of ACTARMCD is longer than for other short variables to accommodate the kind of values that are likely to be needed for crossover trials. \n With the exception of studies which use multistage arm assignments, must be a value of ARMCD in the Trial Arms dataset. \n If the subject was not assigned to an arm or followed a course not described by any planned arm, ACTARMCD is null and ARMNRS is populated.</t>
  </si>
  <si>
    <t>Description of actual arm. \n With the exception of studies which use multistage arm assignments, must be a value of ARM in the Trial Arms dataset. \n If the subject was not assigned to an arm or followed a course not described by any planned arm, ACTARM is null and ARMNRS is populated.</t>
  </si>
  <si>
    <t>A coded reason that arm variables (ARM and ARMCD) and/or actual arm variables (ACTARM and ACTARMCD) are null. Examples: "SCREEN FAILURE", "NOT ASSIGNED", "ASSIGNED, NOT TREATED", "UNPLANNED TREATMENT". It is assumed that if the arm and actual arm variables are null, the same reason applies to both arm and actual arm.</t>
  </si>
  <si>
    <t>A description of actual treatment for a subject who did not receive treatment described in a planned trial arm.</t>
  </si>
  <si>
    <t>Date/time of demographic data collection.</t>
  </si>
  <si>
    <t>Study day of collection measured as integer days.</t>
  </si>
  <si>
    <t>DOMAIN="DM"</t>
  </si>
  <si>
    <t>ISO 8601 datetime or interval</t>
  </si>
  <si>
    <t>CL.C66781.AGEU</t>
  </si>
  <si>
    <t>C66781</t>
  </si>
  <si>
    <t>Age Unit</t>
  </si>
  <si>
    <t>Those units of time that are routinely used to express the age of a subject.</t>
  </si>
  <si>
    <t>CDISC SDTM Age Unit Terminology</t>
  </si>
  <si>
    <t>Name</t>
  </si>
  <si>
    <t>CDISC Submission Value</t>
  </si>
  <si>
    <t>DAYS</t>
  </si>
  <si>
    <t>HOURS</t>
  </si>
  <si>
    <t>MONTHS</t>
  </si>
  <si>
    <t>WEEKS</t>
  </si>
  <si>
    <t>YEARS</t>
  </si>
  <si>
    <t>C25301</t>
  </si>
  <si>
    <t>C25529</t>
  </si>
  <si>
    <t>C29846</t>
  </si>
  <si>
    <t>C29844</t>
  </si>
  <si>
    <t>C29848</t>
  </si>
  <si>
    <t>A unit of measurement of time equal to 24 hours.</t>
  </si>
  <si>
    <t>Day</t>
  </si>
  <si>
    <t>h; Hours; hr</t>
  </si>
  <si>
    <t>A unit of measurement of time equal to 60 minutes.</t>
  </si>
  <si>
    <t>Hour</t>
  </si>
  <si>
    <t>Month</t>
  </si>
  <si>
    <t>One of the 12 divisions of a year as determined by a calendar. It corresponds to the unit of time of approximately to one cycle of the moon's phases, about 30 days or 4 weeks. (NCI)</t>
  </si>
  <si>
    <t>Week</t>
  </si>
  <si>
    <t>Any period of seven consecutive days. (NCI)</t>
  </si>
  <si>
    <t>Year</t>
  </si>
  <si>
    <t>The period of time that it takes for Earth to make a complete revolution around the sun, approximately 365 days; a specific one year period. (NCI)</t>
  </si>
  <si>
    <t>CL.C66731.SEX</t>
  </si>
  <si>
    <t>C66731</t>
  </si>
  <si>
    <t>The assemblage of physical properties or qualities by which male is distinguished from female; the physical difference between male and female; the distinguishing peculiarity of male or female. (NCI)</t>
  </si>
  <si>
    <t>CDISC SDTM Sex of Individual Terminology</t>
  </si>
  <si>
    <t>F</t>
  </si>
  <si>
    <t>M</t>
  </si>
  <si>
    <t>UNDIFFERENTIATED</t>
  </si>
  <si>
    <t>C16576</t>
  </si>
  <si>
    <t>C20197</t>
  </si>
  <si>
    <t>C45908</t>
  </si>
  <si>
    <t>Female</t>
  </si>
  <si>
    <t>A person who belongs to the sex that normally produces ova. The term is used to indicate biological sex distinctions, or cultural gender role distinctions, or both. (NCI)</t>
  </si>
  <si>
    <t>Male</t>
  </si>
  <si>
    <t>A person who belongs to the sex that normally produces sperm. The term is used to indicate biological sex distinctions, cultural gender role distinctions, or both. (NCI)</t>
  </si>
  <si>
    <t>A person (one of unisexual specimens) who is born with genitalia and/or secondary sexual characteristics of indeterminate sex, or which combine features of both sexes. (NCI)</t>
  </si>
  <si>
    <t>Intersex</t>
  </si>
  <si>
    <t>C74457</t>
  </si>
  <si>
    <t>Terminology codelist used to identify the race of an individual within the Clinical Data Interchange Standards Consortium Study Data Tabulation Model.</t>
  </si>
  <si>
    <t>CDISC SDTM Race Terminology</t>
  </si>
  <si>
    <t>CL.C74457.RACE</t>
  </si>
  <si>
    <t>C41259</t>
  </si>
  <si>
    <t>C41260</t>
  </si>
  <si>
    <t>C16352</t>
  </si>
  <si>
    <t>C41219</t>
  </si>
  <si>
    <t>C43234</t>
  </si>
  <si>
    <t>C17649</t>
  </si>
  <si>
    <t>C41261</t>
  </si>
  <si>
    <t>AMERICAN INDIAN OR ALASKA NATIVE</t>
  </si>
  <si>
    <t>ASIAN</t>
  </si>
  <si>
    <t>BLACK OR AFRICAN AMERICAN</t>
  </si>
  <si>
    <t>NATIVE HAWAIIAN OR OTHER PACIFIC ISLANDER</t>
  </si>
  <si>
    <t>NOT REPORTED</t>
  </si>
  <si>
    <t>OTHER</t>
  </si>
  <si>
    <t>UNKNOWN</t>
  </si>
  <si>
    <t>WHITE</t>
  </si>
  <si>
    <t>A person having origins in any of the original peoples of North and South America (including Central America), and who maintains tribal affiliation or community attachment. (FDA)</t>
  </si>
  <si>
    <t>American Indian or Alaska Native</t>
  </si>
  <si>
    <t>A person having origins in any of the original peoples of the Far East, Southeast Asia, or the Indian subcontinent including, for example, Cambodia, China, India, Japan, Korea, Malaysia, Pakistan, the Philippine Islands, Thailand, and Vietnam. (FDA)</t>
  </si>
  <si>
    <t>Asian</t>
  </si>
  <si>
    <t>A person having origins in any of the black racial groups of Africa. Terms such as "Haitian" or "Negro" can be used in addition to "Black or African American." (FDA)</t>
  </si>
  <si>
    <t>Black or African American</t>
  </si>
  <si>
    <t>Denotes a person having origins in any of the original peoples of Hawaii, Guam, Samoa, or other Pacific Islands. The term covers particularly people who identify themselves as part-Hawaiian, Native Hawaiian, Guamanian or Chamorro, Carolinian, Samoan, Chuu. (FDA)</t>
  </si>
  <si>
    <t>Native Hawaiian or Other Pacific Islander</t>
  </si>
  <si>
    <t>Not reported</t>
  </si>
  <si>
    <t>Not provided or available.</t>
  </si>
  <si>
    <t>Not Reported</t>
  </si>
  <si>
    <t>Other</t>
  </si>
  <si>
    <t>Different than the one(s) previously specified or mentioned. (NCI)</t>
  </si>
  <si>
    <t>Denotes a person with European, Middle Eastern, or North African ancestral origin who identifies, or is identified, as White. (FDA)</t>
  </si>
  <si>
    <t>White</t>
  </si>
  <si>
    <t>CL.C66790.ETHNIC</t>
  </si>
  <si>
    <t>Ethnic Group</t>
  </si>
  <si>
    <t>C66790</t>
  </si>
  <si>
    <t>A social group characterized by a distinctive social and cultural tradition maintained from generation to generation, a common history and origin and a sense of identification with the group; members of the group have distinctive features in their way of life, shared experiences and often a common genetic heritage; these features may be reflected in their experience of health and disease. (NCI)</t>
  </si>
  <si>
    <t>CDISC SDTM Ethnic Group Terminology</t>
  </si>
  <si>
    <t>C17459</t>
  </si>
  <si>
    <t>C41222</t>
  </si>
  <si>
    <t>HISPANIC OR LATINO</t>
  </si>
  <si>
    <t>NOT HISPANIC OR LATINO</t>
  </si>
  <si>
    <t>A person of Mexican, Puerto Rican, Cuban, Central or South American or other Spanish culture or origin, regardless of race. (NCI)</t>
  </si>
  <si>
    <t>Hispanic or Latino</t>
  </si>
  <si>
    <t>A person not of Cuban, Mexican, Puerto Rican, South or Central American, or other Spanish culture or origin, regardless of race. An arbitrary ethnic classification. (NCI)</t>
  </si>
  <si>
    <t>Not Hispanic or Latino</t>
  </si>
  <si>
    <t>CL.C142179.ARMNULRS</t>
  </si>
  <si>
    <t>ARMNULRS</t>
  </si>
  <si>
    <t>C142179</t>
  </si>
  <si>
    <t>Arm Null Reason</t>
  </si>
  <si>
    <t>Terminology relevant to the reason for why an arm and/or an actual arm is null.</t>
  </si>
  <si>
    <t>CDISC SDTM Arm Null Reason Response Terminology</t>
  </si>
  <si>
    <t>C142238</t>
  </si>
  <si>
    <t>C142239</t>
  </si>
  <si>
    <t>C49628</t>
  </si>
  <si>
    <t>C142240</t>
  </si>
  <si>
    <t>ASSIGNED, NOT TREATED</t>
  </si>
  <si>
    <t>NOT ASSIGNED</t>
  </si>
  <si>
    <t>SCREEN FAILURE</t>
  </si>
  <si>
    <t>UNPLANNED TREATMENT</t>
  </si>
  <si>
    <t>The subject, who met eligibility criteria, was assigned to an arm but was not treated. (NCI)</t>
  </si>
  <si>
    <t>Subject Assigned to Arm But Not Treated</t>
  </si>
  <si>
    <t>The subject, who met eligibility criteria, was not assigned to an arm and was not treated. (NCI)</t>
  </si>
  <si>
    <t>Subject Not Assigned to Arm</t>
  </si>
  <si>
    <t>A potential subject who does not meet study eligibility criteria during the screening period.</t>
  </si>
  <si>
    <t>Trial Screen Failure</t>
  </si>
  <si>
    <t>The subject, who met eligibility criteria, was assigned to an arm but received treatment not associated with any of the planned arms.</t>
  </si>
  <si>
    <t>Subject Received Unplanned Treatment</t>
  </si>
  <si>
    <t>Race of the subject. Sponsors should refer to the FDA guidance regarding the collection of race. See assumption below regarding RACE.</t>
  </si>
  <si>
    <t>The ethnicity of the subject. Sponsors should refer to the FDA guidance regarding the collection of ethnicity.</t>
  </si>
  <si>
    <t>Country of the investigational site in which the subject participated in the trial. Generally represented using ISO 3166-1 Alpha-3. Note that regulatory agency specific requirements (e.g., US FDA) may require other terminologies; in such cases, follow regulatory requirements.</t>
  </si>
  <si>
    <t>ISO 3166-1 Alpha-3</t>
  </si>
  <si>
    <t>Description available under https://en.wikipedia.org/wiki/ISO_3166-1_alpha-3</t>
  </si>
  <si>
    <t>One record per actual Element per subject</t>
  </si>
  <si>
    <t>STUDYID, USUBJID, ETCD, SESTDTC</t>
  </si>
  <si>
    <t>se.xpt</t>
  </si>
  <si>
    <t>https://www.cdisc.org/system/files/members/standard/foundational/SDTMIG%20v3.4-FINAL_2022-07-21.pdf#page=79</t>
  </si>
  <si>
    <t>DOMAIN="SE"</t>
  </si>
  <si>
    <t>SESEQ</t>
  </si>
  <si>
    <t>SESTDTC</t>
  </si>
  <si>
    <t>SEENDTC</t>
  </si>
  <si>
    <t>SESTDY</t>
  </si>
  <si>
    <t>SEENDY</t>
  </si>
  <si>
    <t>SEUPDES</t>
  </si>
  <si>
    <t>Start Date/Time of Element</t>
  </si>
  <si>
    <t>End Date/Time of Element</t>
  </si>
  <si>
    <t>Study Day of Start of Element</t>
  </si>
  <si>
    <t>Study Day of End of Element</t>
  </si>
  <si>
    <t>Description of Unplanned Element</t>
  </si>
  <si>
    <t>Sequence number given to ensure uniqueness of subject records within a domain. Should be assigned to be consistent chronological order.</t>
  </si>
  <si>
    <t>The name of the element. If ETCD has a value of "UNPLAN", then ELEMENT should be null.</t>
  </si>
  <si>
    <t>Number that gives the planned order of the element within the subject's assigned trial arm.</t>
  </si>
  <si>
    <t>Epoch associated with the element in the planned sequence of elements for the arm to which the subject was assigned.</t>
  </si>
  <si>
    <t>Start date/time for an element for each subject.</t>
  </si>
  <si>
    <t>End date/time for an element for each subject.</t>
  </si>
  <si>
    <t>Study day of start of element relative to the sponsor-defined RFSTDTC.</t>
  </si>
  <si>
    <t>Study day of end of element relative to the sponsor-defined RFSTDTC.</t>
  </si>
  <si>
    <t>Description of what happened to the subject during an unplanned element. Used only if ETCD has the value of "UNPLAN".</t>
  </si>
  <si>
    <t>1. ETCD (the companion to ELEMENT) is limited to 8 characters and does not have special character restrictions. These values should be short for ease of use in programming, but it is not expected that ETCD will need to serve as a variable name.
2. If an encountered element differs from the planned element to the point that it is considered a new element, then use "UNPLAN" as the value for ETCD to represent this element.</t>
  </si>
  <si>
    <t>One record per Disease Milestone per subject</t>
  </si>
  <si>
    <t>STUDYID, USUBJID, MIDS</t>
  </si>
  <si>
    <t>sm.xpt</t>
  </si>
  <si>
    <t>DOMAIN="SM"</t>
  </si>
  <si>
    <t>https://www.cdisc.org/system/files/members/standard/foundational/SDTMIG%20v3.4-FINAL_2022-07-21.pdf#page=84</t>
  </si>
  <si>
    <t>SMSEQ</t>
  </si>
  <si>
    <t>MIDS</t>
  </si>
  <si>
    <t>SMSTDTC</t>
  </si>
  <si>
    <t>SMENDTC</t>
  </si>
  <si>
    <t>SMSTDY</t>
  </si>
  <si>
    <t>SMENDY</t>
  </si>
  <si>
    <t>Disease Milestone Instance Name</t>
  </si>
  <si>
    <t>Start Date/Time of Milestone</t>
  </si>
  <si>
    <t>End Date/Time of Milestone</t>
  </si>
  <si>
    <t>Study Day of Start of Milestone</t>
  </si>
  <si>
    <t>Study Day of End of Milestone</t>
  </si>
  <si>
    <t>Sequence number to ensure uniqueness of subject records. Should be assigned to be consistent chronological order.</t>
  </si>
  <si>
    <t>Name of the specific disease milestone. For types of disease milestones that can occur multiple times, the name will end with a sequence number. Example: "HYPO1".</t>
  </si>
  <si>
    <t>Start date/time of milestone instance (if milestone is an intervention or event) or date of milestone (if Milestone is a finding).</t>
  </si>
  <si>
    <t>End date/time of disease milestone instance.</t>
  </si>
  <si>
    <t>Study day of start of disease milestone instance, relative to the sponsor-defined RFSTDTC.</t>
  </si>
  <si>
    <t>Study day of end of disease milestone instance, relative to the sponsor-defined RFSTDTC.</t>
  </si>
  <si>
    <t>One record per actual or planned visit per subject</t>
  </si>
  <si>
    <t>sv.xpt</t>
  </si>
  <si>
    <t>https://www.cdisc.org/system/files/members/standard/foundational/SDTMIG%20v3.4-FINAL_2022-07-21.pdf#page=86</t>
  </si>
  <si>
    <t>STUDYID, USUBJID, SVTERM</t>
  </si>
  <si>
    <t>SVPRESP</t>
  </si>
  <si>
    <t>Pre-specified</t>
  </si>
  <si>
    <t>SVOCCUR</t>
  </si>
  <si>
    <t>Occurrence</t>
  </si>
  <si>
    <t>SVREASOC</t>
  </si>
  <si>
    <t>Reason for Occur Value</t>
  </si>
  <si>
    <t>SVCNTMOD</t>
  </si>
  <si>
    <t>Contact Mode</t>
  </si>
  <si>
    <t>SVEPCHGI</t>
  </si>
  <si>
    <t>Epi/Pandemic Related Change Indicator</t>
  </si>
  <si>
    <t>SVSTDTC</t>
  </si>
  <si>
    <t>Start Date/Time of Observation</t>
  </si>
  <si>
    <t>SVENDTC</t>
  </si>
  <si>
    <t>End Date/Time of Observation</t>
  </si>
  <si>
    <t>SVSTDY</t>
  </si>
  <si>
    <t>Study Day of Start of Observation</t>
  </si>
  <si>
    <t>SVENDY</t>
  </si>
  <si>
    <t>Study Day of End of Observation</t>
  </si>
  <si>
    <t>SVUPDES</t>
  </si>
  <si>
    <t>Description of Unplanned Visit</t>
  </si>
  <si>
    <t>Protocol-defined description of a clinical encounter.</t>
  </si>
  <si>
    <t>Used to indicate whether the visit was planned (i.e., visits specified in the TV domain). Value is "Y" for planned visits, null for unplanned visits.</t>
  </si>
  <si>
    <t>Used to record whether a planned visit occurred. The value is null for unplanned visits.</t>
  </si>
  <si>
    <t>The reason for the value in SVOCCUR. If SVOCCUR="N", SVREASOC is the reason the visit did not occur.</t>
  </si>
  <si>
    <t>The way in which the visit was conducted. Examples: "IN PERSON", "TELEPHONE CALL", "IVRS".</t>
  </si>
  <si>
    <t>Indicates whether the visit was changed due to an epidemic or pandemic.</t>
  </si>
  <si>
    <t>Planned study day of VISIT. Should be an integer.</t>
  </si>
  <si>
    <t>Start date/time of an observation represented in IS0 8601 character format.</t>
  </si>
  <si>
    <t>End date/time of the observation represented in IS0 8601 character format.</t>
  </si>
  <si>
    <t>Actual study day of start of observation expressed in integer days relative to the sponsor-defined RFSTDTC in Demographics.</t>
  </si>
  <si>
    <t>Actual study day of end of observation expressed in integer days relative to the sponsor-defined RFSTDTC in Demographics.</t>
  </si>
  <si>
    <t>Description of what happened to the subject during an unplanned visit. Only populated for unplanned visits.</t>
  </si>
  <si>
    <t>CL.C171445.CNTMODE</t>
  </si>
  <si>
    <t>CNTMODE</t>
  </si>
  <si>
    <t>C171445</t>
  </si>
  <si>
    <t>Mode of Subject Contact</t>
  </si>
  <si>
    <t>Terminology relevant to the means by which interaction occurs between the subject and person or entity.</t>
  </si>
  <si>
    <t>CDISC SDTM Mode of Subject Contact Terminology</t>
  </si>
  <si>
    <t>C175574</t>
  </si>
  <si>
    <t>C177933</t>
  </si>
  <si>
    <t>C171525</t>
  </si>
  <si>
    <t>C171524</t>
  </si>
  <si>
    <t>C171533</t>
  </si>
  <si>
    <t>C171537</t>
  </si>
  <si>
    <t>IN PERSON</t>
  </si>
  <si>
    <t>IVRS</t>
  </si>
  <si>
    <t>REMOTE AUDIO VIDEO</t>
  </si>
  <si>
    <t>REMOTE AUDIO</t>
  </si>
  <si>
    <t>SHIPMENT CONFIRMED BY SIGNATURE</t>
  </si>
  <si>
    <t>TELEPHONE CALL</t>
  </si>
  <si>
    <t>In-Person</t>
  </si>
  <si>
    <t>An interaction that takes place in the physical presence of someone else.</t>
  </si>
  <si>
    <t>In Person</t>
  </si>
  <si>
    <t>Interactive Voice Response System</t>
  </si>
  <si>
    <t>A type of automated system in which individuals can access information menus containing pre-recorded or dynamically generated information with voice prompts, without the need for an agent or operator.</t>
  </si>
  <si>
    <t>A form of remote communication by audio video technology.</t>
  </si>
  <si>
    <t>Audio-Videoconferencing</t>
  </si>
  <si>
    <t>A form of remote communication by audio technology.</t>
  </si>
  <si>
    <t>Audioconferencing</t>
  </si>
  <si>
    <t>Receipt of shipped material was confirmed by signature.</t>
  </si>
  <si>
    <t>Shipment Confirmed by Signature</t>
  </si>
  <si>
    <t>Communication by way of telephone.</t>
  </si>
  <si>
    <t>Telephone Call</t>
  </si>
  <si>
    <t>Interventions</t>
  </si>
  <si>
    <t>One record per recorded intervention occurrence or constant-dosing interval per subject</t>
  </si>
  <si>
    <t>cm.xpt</t>
  </si>
  <si>
    <t>STUDYID, USUBJID, CMTRT, CMSTDTC</t>
  </si>
  <si>
    <t>DOMAIN="CM"</t>
  </si>
  <si>
    <t>CMSEQ</t>
  </si>
  <si>
    <t>CMGRPID</t>
  </si>
  <si>
    <t>CMSPID</t>
  </si>
  <si>
    <t>Sponsor-Defined Identifier</t>
  </si>
  <si>
    <t>CMTRT</t>
  </si>
  <si>
    <t>Reported Name of Drug, Med, or Therapy</t>
  </si>
  <si>
    <t>CMMODIFY</t>
  </si>
  <si>
    <t>Modified Reported Name</t>
  </si>
  <si>
    <t>CMDECOD</t>
  </si>
  <si>
    <t>Standardized Medication Name</t>
  </si>
  <si>
    <t>CMCAT</t>
  </si>
  <si>
    <t>Category for Medication</t>
  </si>
  <si>
    <t>CMSCAT</t>
  </si>
  <si>
    <t>Subcategory for Medication</t>
  </si>
  <si>
    <t>CMPRESP</t>
  </si>
  <si>
    <t>CM Pre-specified</t>
  </si>
  <si>
    <t>CMOCCUR</t>
  </si>
  <si>
    <t>CM Occurrence</t>
  </si>
  <si>
    <t>CMSTAT</t>
  </si>
  <si>
    <t>Completion Status</t>
  </si>
  <si>
    <t>CMREASND</t>
  </si>
  <si>
    <t>Reason Medication Not Collected</t>
  </si>
  <si>
    <t>CMINDC</t>
  </si>
  <si>
    <t>Indication</t>
  </si>
  <si>
    <t>CMCLAS</t>
  </si>
  <si>
    <t>Medication Class</t>
  </si>
  <si>
    <t>CMCLASCD</t>
  </si>
  <si>
    <t>Medication Class Code</t>
  </si>
  <si>
    <t>CMDOSE</t>
  </si>
  <si>
    <t>CMDOSTXT</t>
  </si>
  <si>
    <t>Dose Description</t>
  </si>
  <si>
    <t>CMDOSU</t>
  </si>
  <si>
    <t>CMDOSFRM</t>
  </si>
  <si>
    <t>CMDOSFRQ</t>
  </si>
  <si>
    <t>Dosing Frequency per Interval</t>
  </si>
  <si>
    <t>CMDOSTOT</t>
  </si>
  <si>
    <t>Total Daily Dose</t>
  </si>
  <si>
    <t>CMDOSRGM</t>
  </si>
  <si>
    <t>Intended Dose Regimen</t>
  </si>
  <si>
    <t>CMROUTE</t>
  </si>
  <si>
    <t>CMADJ</t>
  </si>
  <si>
    <t>Reason for Dose Adjustment</t>
  </si>
  <si>
    <t>CMRSDISC</t>
  </si>
  <si>
    <t>Reason the Intervention Was Discontinued</t>
  </si>
  <si>
    <t>CMSTDTC</t>
  </si>
  <si>
    <t>Start Date/Time of Medication</t>
  </si>
  <si>
    <t>CMENDTC</t>
  </si>
  <si>
    <t>End Date/Time of Medication</t>
  </si>
  <si>
    <t>CMSTDY</t>
  </si>
  <si>
    <t>Study Day of Start of Medication</t>
  </si>
  <si>
    <t>CMENDY</t>
  </si>
  <si>
    <t>Study Day of End of Medication</t>
  </si>
  <si>
    <t>CMDUR</t>
  </si>
  <si>
    <t>Duration</t>
  </si>
  <si>
    <t>CMSTRF</t>
  </si>
  <si>
    <t>Start Relative to Reference Period</t>
  </si>
  <si>
    <t>CMENRF</t>
  </si>
  <si>
    <t>End Relative to Reference Period</t>
  </si>
  <si>
    <t>CMSTRTPT</t>
  </si>
  <si>
    <t>Start Relative to Reference Time Point</t>
  </si>
  <si>
    <t>CMSTTPT</t>
  </si>
  <si>
    <t>Start Reference Time Point</t>
  </si>
  <si>
    <t>CMENRTPT</t>
  </si>
  <si>
    <t>End Relative to Reference Time Point</t>
  </si>
  <si>
    <t>CMENTPT</t>
  </si>
  <si>
    <t>End Reference Time Point</t>
  </si>
  <si>
    <t>Sequence number to ensure uniqueness of subject records within a domain. May be any valid number.</t>
  </si>
  <si>
    <t>Used to tie together a block of related records in a single domain for a subject.</t>
  </si>
  <si>
    <t>Sponsor-defined reference number. Example: a number preprinted on the CRF as an explicit line identifier or record identifier defined in the sponsor's operational database. Example: line number on a concomitant medication page.</t>
  </si>
  <si>
    <t>Verbatim medication name that is either preprinted or collected on a CRF.</t>
  </si>
  <si>
    <t>If CMTRT is modified to facilitate coding, then CMMODIFY will contain the modified text.</t>
  </si>
  <si>
    <t>Standardized or dictionary-derived text description of CMTRT or CMMODIFY. Equivalent to the generic drug name in WHO Drug. The sponsor is expected to provide the dictionary name and version used to map the terms utilizing the external codelist element in the Define-XML document. If an intervention term does not have a decode value in the dictionary, then CMDECOD will be left blank.</t>
  </si>
  <si>
    <t>Used to define a category of medications/treatment. Examples: "PRIOR", "CONCOMITANT", "ANTI-CANCER MEDICATION", "GENERAL CONMED".</t>
  </si>
  <si>
    <t>A further categorization of medications/treatment. Examples: "CHEMOTHERAPY", "HORMONAL THERAPY", "ALTERNATIVE THERAPY".</t>
  </si>
  <si>
    <t>Used to indicate whether ("Y"/null) information about the use of a specific medication was solicited on the CRF.</t>
  </si>
  <si>
    <t>When the use of a specific medication is solicited. CMOCCUR is used to indicate whether ("Y"/"N") use of the medication occurred. Values are null for medications not specifically solicited.</t>
  </si>
  <si>
    <t>Used to indicate that a question about the occurrence of a prespecified intervention was not answered. Should be null or have a value of "NOT DONE".</t>
  </si>
  <si>
    <t>Reason not done. Used in conjunction with CMSTAT when value is "NOT DONE".</t>
  </si>
  <si>
    <t>Denotes why a medication was taken or administered. Examples: "NAUSEA", "HYPERTENSION".</t>
  </si>
  <si>
    <t>Drug class. May be obtained from coding. When coding to a single class, populate with class value. If using a dictionary and coding to multiple classes, then follow Section 4.2.8.3, Multiple Values for a Non-result Qualifier Variable, or omit CMCLAS.</t>
  </si>
  <si>
    <t>Class code corresponding to CMCLAS. Drug class. May be obtained from coding. When coding to a single class, populate with class code. If using a dictionary and coding to multiple classes, then follow Section 4.2.8.3, Multiple Values for a Non-result Qualifier Variable, or omit CMCLASCD.</t>
  </si>
  <si>
    <t>Amount of CMTRT given. Not populated when CMDOSTXT is populated.</t>
  </si>
  <si>
    <t>Dosing amounts or a range of dosing information collected in text form. Units may be stored in CMDOSU. Examples: "200-400", "15-20". Not populated when CMDOSE is populated.</t>
  </si>
  <si>
    <t>Units for CMDOSE, CMDOSTOT, or CMDOSTXT. Examples: "ng", "mg", "mg/kg".</t>
  </si>
  <si>
    <t>Dose form for CMTRT. Examples: "TABLET", "LOTION".</t>
  </si>
  <si>
    <t>Usually expressed as the number of repeated administrations of CMDOSE within a specific time period. Examples: "BID" (twice daily), "Q12H" (every 12 hours).</t>
  </si>
  <si>
    <t>Total daily dose of CMTRT using the units in CMDOSU. Used when dosing is collected as total daily dose. Total dose over a period other than day could be recorded in a separate supplemental qualifier variable.</t>
  </si>
  <si>
    <t>Text description of the (intended) schedule or regimen for the Intervention. Example: "TWO WEEKS ON, TWO WEEKS OFF".</t>
  </si>
  <si>
    <t>Route of administration for the intervention. Examples: "ORAL", "INTRAVENOUS".</t>
  </si>
  <si>
    <t>Describes reason or explanation of why a dose is adjusted. Examples: "ADVERSE EVENT", "INSUFFICIENT RESPONSE", "NON-MEDICAL REASON".</t>
  </si>
  <si>
    <t>When dosing of a treatment is recorded over multiple successive records, this variable is applicable only for the (chronologically) last record for the treatment.</t>
  </si>
  <si>
    <t>Number that gives the planned order of the element within the arm for the element in which the medication administration started. Null for medications that started before study participation.</t>
  </si>
  <si>
    <t>Epoch associated with the start date/time of the medication administration. Null for medications that started before study participation.</t>
  </si>
  <si>
    <t>Start date/time of the medication administration represented in ISO 8601 character format.</t>
  </si>
  <si>
    <t>End date/time of the medication administration represented in ISO 8601 character format.</t>
  </si>
  <si>
    <t>Study day of start of medication relative to the sponsor-defined RFSTDTC.</t>
  </si>
  <si>
    <t>Study day of end of medication relative to the sponsor-defined RFSTDTC.</t>
  </si>
  <si>
    <t>Collected duration for a treatment episode. Used only if collected on the CRF and not derived from start and end date/times.</t>
  </si>
  <si>
    <t>Describes the start of the medication relative to sponsor-defined reference period. The sponsor-defined reference period is a continuous period of time defined by a discrete starting point and a discrete ending point (represented by RFSTDTC and RFENDTC in Demographics). If information such as "PRIOR" was collected, this information may be translated into CMSTRF. \n Not all values of the codelist are allowable for this variable. See Section 4.4.7, Use of Relative Timing Variables.</t>
  </si>
  <si>
    <t>Describes the end of the medication relative to the sponsor-defined reference period. The sponsor-defined reference period is a continuous period of time defined by a discrete starting point and a discrete ending point (represented by RFSTDTC and RFENDTC in Demographics). If information such as "PRIOR", "ONGOING, or "CONTINUING" was collected, this information may be translated into CMENRF. \n Not all values of the codelist are allowable for this variable. See Section 4.4.7, Use of Relative Timing Variables.</t>
  </si>
  <si>
    <t>Identifies the start of the medication as being before or after the sponsor-defined reference time point defined by variable CMSTTPT. \n Not all values of the codelist are allowable for this variable. See Section 4.4.7, Use of Relative Timing Variables.</t>
  </si>
  <si>
    <t>Description or date/time in ISO 8601 character format of the sponsor-defined reference point referred to by CMSTRTPT. Examples: "2003-12-15", "VISIT 1".</t>
  </si>
  <si>
    <t>Identifies the end of the medication as being before or after the sponsor-defined reference time point defined by variable CMENTPT. \n Not all values of the codelist are allowable for this variable. See Section 4.4.7, Use of Relative Timing Variables.</t>
  </si>
  <si>
    <t>Description or date/time in ISO 8601 character format of the sponsor-defined reference point referred to by CMENRTPT. Examples: "2003-12-25", "VISIT 2".</t>
  </si>
  <si>
    <t>CL.C66728.STENRF</t>
  </si>
  <si>
    <t>Relation to Reference Period</t>
  </si>
  <si>
    <t>STENRF</t>
  </si>
  <si>
    <t>C66728</t>
  </si>
  <si>
    <t>The relative relationship of a timepoint to a reference timepoint.</t>
  </si>
  <si>
    <t>CDISC SDTM Relation to Reference Period Terminology</t>
  </si>
  <si>
    <t>C38008</t>
  </si>
  <si>
    <t>C25629</t>
  </si>
  <si>
    <t>C184710</t>
  </si>
  <si>
    <t>C25456</t>
  </si>
  <si>
    <t>C25490</t>
  </si>
  <si>
    <t>C49640</t>
  </si>
  <si>
    <t>C53279</t>
  </si>
  <si>
    <t>AFTER</t>
  </si>
  <si>
    <t>BEFORE</t>
  </si>
  <si>
    <t>BEFORE/DURING</t>
  </si>
  <si>
    <t>COINCIDENT</t>
  </si>
  <si>
    <t>DURING</t>
  </si>
  <si>
    <t>DURING/AFTER</t>
  </si>
  <si>
    <t>ONGOING</t>
  </si>
  <si>
    <t>The time period following a point or another period of time. (NCI)</t>
  </si>
  <si>
    <t>Post</t>
  </si>
  <si>
    <t>Earlier in time or order. (NCI)</t>
  </si>
  <si>
    <t>Prior</t>
  </si>
  <si>
    <t>Before or at some point in a given period of time.</t>
  </si>
  <si>
    <t>Before or During</t>
  </si>
  <si>
    <t>Occurring or operating at the same time.</t>
  </si>
  <si>
    <t>Concurrent</t>
  </si>
  <si>
    <t>At some point in a given period of time. (NCI)</t>
  </si>
  <si>
    <t>During</t>
  </si>
  <si>
    <t>Within a certain period of time or after a certain point or period in time. (NCI)</t>
  </si>
  <si>
    <t>During or After</t>
  </si>
  <si>
    <t>Continuous</t>
  </si>
  <si>
    <t>Remain in force or carry on without letup; keep or maintain in unaltered condition; exist in time or space without stop or interruption. (NCI)</t>
  </si>
  <si>
    <t>Continue</t>
  </si>
  <si>
    <t>CL.C66729.ROUTE</t>
  </si>
  <si>
    <t>Route of Administration Response</t>
  </si>
  <si>
    <t>C66729</t>
  </si>
  <si>
    <t>A terminology codelist relevant to the course by which a substance is administered in order to reach the site of action in the body.</t>
  </si>
  <si>
    <t>CDISC SDTM Route of Administration Terminology</t>
  </si>
  <si>
    <t>C38192</t>
  </si>
  <si>
    <t>C38193</t>
  </si>
  <si>
    <t>C38194</t>
  </si>
  <si>
    <t>C38675</t>
  </si>
  <si>
    <t>C38197</t>
  </si>
  <si>
    <t>C78373</t>
  </si>
  <si>
    <t>C38633</t>
  </si>
  <si>
    <t>C38205</t>
  </si>
  <si>
    <t>C38206</t>
  </si>
  <si>
    <t>C38208</t>
  </si>
  <si>
    <t>C38209</t>
  </si>
  <si>
    <t>C38210</t>
  </si>
  <si>
    <t>C38211</t>
  </si>
  <si>
    <t>C38212</t>
  </si>
  <si>
    <t>C38200</t>
  </si>
  <si>
    <t>C38215</t>
  </si>
  <si>
    <t>C38219</t>
  </si>
  <si>
    <t>C38220</t>
  </si>
  <si>
    <t>C38221</t>
  </si>
  <si>
    <t>C38222</t>
  </si>
  <si>
    <t>C38223</t>
  </si>
  <si>
    <t>C38224</t>
  </si>
  <si>
    <t>C38225</t>
  </si>
  <si>
    <t>C38226</t>
  </si>
  <si>
    <t>C64984</t>
  </si>
  <si>
    <t>C38227</t>
  </si>
  <si>
    <t>C38228</t>
  </si>
  <si>
    <t>C38229</t>
  </si>
  <si>
    <t>C38230</t>
  </si>
  <si>
    <t>C38231</t>
  </si>
  <si>
    <t>C38232</t>
  </si>
  <si>
    <t>C38233</t>
  </si>
  <si>
    <t>C184707</t>
  </si>
  <si>
    <t>C38234</t>
  </si>
  <si>
    <t>C38217</t>
  </si>
  <si>
    <t>C38218</t>
  </si>
  <si>
    <t>C38235</t>
  </si>
  <si>
    <t>C38238</t>
  </si>
  <si>
    <t>C38239</t>
  </si>
  <si>
    <t>C38240</t>
  </si>
  <si>
    <t>C38241</t>
  </si>
  <si>
    <t>C38242</t>
  </si>
  <si>
    <t>C38243</t>
  </si>
  <si>
    <t>C38245</t>
  </si>
  <si>
    <t>C38246</t>
  </si>
  <si>
    <t>C38247</t>
  </si>
  <si>
    <t>C38248</t>
  </si>
  <si>
    <t>C38249</t>
  </si>
  <si>
    <t>C102399</t>
  </si>
  <si>
    <t>C38250</t>
  </si>
  <si>
    <t>C38251</t>
  </si>
  <si>
    <t>C38252</t>
  </si>
  <si>
    <t>C156590</t>
  </si>
  <si>
    <t>C38253</t>
  </si>
  <si>
    <t>C38254</t>
  </si>
  <si>
    <t>C28161</t>
  </si>
  <si>
    <t>C79141</t>
  </si>
  <si>
    <t>C38255</t>
  </si>
  <si>
    <t>C64987</t>
  </si>
  <si>
    <t>C38256</t>
  </si>
  <si>
    <t>C102400</t>
  </si>
  <si>
    <t>C119548</t>
  </si>
  <si>
    <t>C38257</t>
  </si>
  <si>
    <t>C38258</t>
  </si>
  <si>
    <t>C38259</t>
  </si>
  <si>
    <t>C38260</t>
  </si>
  <si>
    <t>C38261</t>
  </si>
  <si>
    <t>C38262</t>
  </si>
  <si>
    <t>C38263</t>
  </si>
  <si>
    <t>C65138</t>
  </si>
  <si>
    <t>C142365</t>
  </si>
  <si>
    <t>C38264</t>
  </si>
  <si>
    <t>C38265</t>
  </si>
  <si>
    <t>C38266</t>
  </si>
  <si>
    <t>C128995</t>
  </si>
  <si>
    <t>C38267</t>
  </si>
  <si>
    <t>C38207</t>
  </si>
  <si>
    <t>C38268</t>
  </si>
  <si>
    <t>C38269</t>
  </si>
  <si>
    <t>C38270</t>
  </si>
  <si>
    <t>C38272</t>
  </si>
  <si>
    <t>C128996</t>
  </si>
  <si>
    <t>C38273</t>
  </si>
  <si>
    <t>C38274</t>
  </si>
  <si>
    <t>C38279</t>
  </si>
  <si>
    <t>C38276</t>
  </si>
  <si>
    <t>C38277</t>
  </si>
  <si>
    <t>C38278</t>
  </si>
  <si>
    <t>C38280</t>
  </si>
  <si>
    <t>C38203</t>
  </si>
  <si>
    <t>C38281</t>
  </si>
  <si>
    <t>C38282</t>
  </si>
  <si>
    <t>C150889</t>
  </si>
  <si>
    <t>C38284</t>
  </si>
  <si>
    <t>C188189</t>
  </si>
  <si>
    <t>C38285</t>
  </si>
  <si>
    <t>C191350</t>
  </si>
  <si>
    <t>C48623</t>
  </si>
  <si>
    <t>C38286</t>
  </si>
  <si>
    <t>C38287</t>
  </si>
  <si>
    <t>C78374</t>
  </si>
  <si>
    <t>C38288</t>
  </si>
  <si>
    <t>C188195</t>
  </si>
  <si>
    <t>C64906</t>
  </si>
  <si>
    <t>C38289</t>
  </si>
  <si>
    <t>C38291</t>
  </si>
  <si>
    <t>C38676</t>
  </si>
  <si>
    <t>C38292</t>
  </si>
  <si>
    <t>C38677</t>
  </si>
  <si>
    <t>C38293</t>
  </si>
  <si>
    <t>C38294</t>
  </si>
  <si>
    <t>C112396</t>
  </si>
  <si>
    <t>C172600</t>
  </si>
  <si>
    <t>C38295</t>
  </si>
  <si>
    <t>C38216</t>
  </si>
  <si>
    <t>C38296</t>
  </si>
  <si>
    <t>C38198</t>
  </si>
  <si>
    <t>C38297</t>
  </si>
  <si>
    <t>C38298</t>
  </si>
  <si>
    <t>C38299</t>
  </si>
  <si>
    <t>C181523</t>
  </si>
  <si>
    <t>C38300</t>
  </si>
  <si>
    <t>C38301</t>
  </si>
  <si>
    <t>C79143</t>
  </si>
  <si>
    <t>C94636</t>
  </si>
  <si>
    <t>C128997</t>
  </si>
  <si>
    <t>C38304</t>
  </si>
  <si>
    <t>C38305</t>
  </si>
  <si>
    <t>C111326</t>
  </si>
  <si>
    <t>C38283</t>
  </si>
  <si>
    <t>C38307</t>
  </si>
  <si>
    <t>C38308</t>
  </si>
  <si>
    <t>C38309</t>
  </si>
  <si>
    <t>C38310</t>
  </si>
  <si>
    <t>C38311</t>
  </si>
  <si>
    <t>C38312</t>
  </si>
  <si>
    <t>C38271</t>
  </si>
  <si>
    <t>C38313</t>
  </si>
  <si>
    <t>AURICULAR (OTIC)</t>
  </si>
  <si>
    <t>BUCCAL</t>
  </si>
  <si>
    <t>CONJUNCTIVAL</t>
  </si>
  <si>
    <t>CUTANEOUS</t>
  </si>
  <si>
    <t>DENTAL</t>
  </si>
  <si>
    <t>DIETARY</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</si>
  <si>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</si>
  <si>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</si>
  <si>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</si>
  <si>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</si>
  <si>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</si>
  <si>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</si>
  <si>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</si>
  <si>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</si>
  <si>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</si>
  <si>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</si>
  <si>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</si>
  <si>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</si>
  <si>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</si>
  <si>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</si>
  <si>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</si>
  <si>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</si>
  <si>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</si>
  <si>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</si>
  <si>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INTRACAMERAL</t>
  </si>
  <si>
    <t>INTRACARDIAC</t>
  </si>
  <si>
    <t>INTRACARTILAGINOUS</t>
  </si>
  <si>
    <t>INTRACAUDAL</t>
  </si>
  <si>
    <t>INTRACAVERNOUS</t>
  </si>
  <si>
    <t>INTRACAVITARY</t>
  </si>
  <si>
    <t>INTRACEREBRAL</t>
  </si>
  <si>
    <t>INTRACISTERNAL</t>
  </si>
  <si>
    <t>INTRACOCHLEAR</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</si>
  <si>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</si>
  <si>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</si>
  <si>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</si>
  <si>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</si>
  <si>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</si>
  <si>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</si>
  <si>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</si>
  <si>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</si>
  <si>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</si>
  <si>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</si>
  <si>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</si>
  <si>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</si>
  <si>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</si>
  <si>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INTRAHEPATIC</t>
  </si>
  <si>
    <t>INTRAILEAL</t>
  </si>
  <si>
    <t>INTRAJEJUNAL</t>
  </si>
  <si>
    <t>INTRALESIONAL</t>
  </si>
  <si>
    <t>INTRALUMINAL</t>
  </si>
  <si>
    <t>INTRALYMPHATIC</t>
  </si>
  <si>
    <t>INTRAMANDIBULAR</t>
  </si>
  <si>
    <t>INTRAMEDULLARY</t>
  </si>
  <si>
    <t>INTRAMENINGEAL</t>
  </si>
  <si>
    <t>INTRAMUSCULAR</t>
  </si>
  <si>
    <t>INTRANODAL</t>
  </si>
  <si>
    <t>INTRAOCULAR</t>
  </si>
  <si>
    <t>INTRAOSSEOUS</t>
  </si>
  <si>
    <t>INTRAOVARIAN</t>
  </si>
  <si>
    <t>INTRAPALATAL</t>
  </si>
  <si>
    <t>INTRAPARENCHYMAL</t>
  </si>
  <si>
    <t>INTRAPERICARDIAL</t>
  </si>
  <si>
    <t>INTRAPERITONEAL</t>
  </si>
  <si>
    <t>INTRAPLEURAL</t>
  </si>
  <si>
    <t>INTRAPROSTATIC</t>
  </si>
  <si>
    <t>INTRAPULMONARY</t>
  </si>
  <si>
    <t>INTRASINAL</t>
  </si>
  <si>
    <t>INTRASPINAL</t>
  </si>
  <si>
    <t>INTRASTOMAL</t>
  </si>
  <si>
    <t>INTRASURGICAL SITE</t>
  </si>
  <si>
    <t>INTRASYNOVIAL</t>
  </si>
  <si>
    <t>INTRATENDINOUS</t>
  </si>
  <si>
    <t>INTRATESTICULAR</t>
  </si>
  <si>
    <t>INTRATHALAMIC</t>
  </si>
  <si>
    <t>INTRATHECAL</t>
  </si>
  <si>
    <t>INTRATHORACIC</t>
  </si>
  <si>
    <t>INTRATUBULAR</t>
  </si>
  <si>
    <t>INTRATUMOR</t>
  </si>
  <si>
    <t>INTRATYMPANIC</t>
  </si>
  <si>
    <t>INTRAUTERINE</t>
  </si>
  <si>
    <t>INTRAVAGINAL</t>
  </si>
  <si>
    <t>INTRAVASCULAR</t>
  </si>
  <si>
    <t>INTRAVENOUS BOLUS</t>
  </si>
  <si>
    <t>INTRAVENOUS DRIP</t>
  </si>
  <si>
    <t>INTRAVENOUS</t>
  </si>
  <si>
    <t>INTRAVENTRICULAR</t>
  </si>
  <si>
    <t>INTRAVESICAL</t>
  </si>
  <si>
    <t>INTRAVITREAL</t>
  </si>
  <si>
    <t>IONTOPHORESIS</t>
  </si>
  <si>
    <t>IRRIGATION</t>
  </si>
  <si>
    <t>LARYNGEAL</t>
  </si>
  <si>
    <t>MICRODIALYSIS</t>
  </si>
  <si>
    <t>NASAL</t>
  </si>
  <si>
    <t>NASODUODENAL</t>
  </si>
  <si>
    <t>NASOGASTRIC</t>
  </si>
  <si>
    <t>NASOJEJUNAL</t>
  </si>
  <si>
    <t>NOT APPLICABLE</t>
  </si>
  <si>
    <t>OCCLUSIVE DRESSING TECHNIQUE</t>
  </si>
  <si>
    <t>OPHTHALMIC</t>
  </si>
  <si>
    <t>ORAL GAVAGE</t>
  </si>
  <si>
    <t>ORAL</t>
  </si>
  <si>
    <t>OROGASTRIC</t>
  </si>
  <si>
    <t>OROMUCOSAL</t>
  </si>
  <si>
    <t>OROPHARYNGEAL</t>
  </si>
  <si>
    <t>PARENTERAL</t>
  </si>
  <si>
    <t>PERCUTANEOUS</t>
  </si>
  <si>
    <t>PERIARTICULAR</t>
  </si>
  <si>
    <t>PERIDURAL</t>
  </si>
  <si>
    <t>PERINEURAL</t>
  </si>
  <si>
    <t>PERIODONTAL</t>
  </si>
  <si>
    <t>PERIVENOUS</t>
  </si>
  <si>
    <t>PHARYNGEAL</t>
  </si>
  <si>
    <t>RECTAL</t>
  </si>
  <si>
    <t>RESPIRATORY (INHALATION)</t>
  </si>
  <si>
    <t>RETROBULBAR</t>
  </si>
  <si>
    <t>SOFT TISSUE</t>
  </si>
  <si>
    <t>SUBARACHNOID</t>
  </si>
  <si>
    <t>SUBCONJUNCTIVAL</t>
  </si>
  <si>
    <t>SUBCUTANEOUS</t>
  </si>
  <si>
    <t>SUBDURAL</t>
  </si>
  <si>
    <t>SUBLINGUAL</t>
  </si>
  <si>
    <t>SUBMUCOSAL</t>
  </si>
  <si>
    <t>SUBRETINAL</t>
  </si>
  <si>
    <t>SUBTENON</t>
  </si>
  <si>
    <t>SUPRACHOROIDAL</t>
  </si>
  <si>
    <t>TOPICAL</t>
  </si>
  <si>
    <t>TRANSDERMAL</t>
  </si>
  <si>
    <t>TRANSMAMMARY</t>
  </si>
  <si>
    <t>TRANSMUCOSAL</t>
  </si>
  <si>
    <t>TRANSPLACENTAL</t>
  </si>
  <si>
    <t>TRANSTRACHEAL</t>
  </si>
  <si>
    <t>TRANSTYMPANIC</t>
  </si>
  <si>
    <t>UNASSIGNED</t>
  </si>
  <si>
    <t>URETERAL</t>
  </si>
  <si>
    <t>URETHRAL</t>
  </si>
  <si>
    <t>VAGINAL</t>
  </si>
  <si>
    <t>Administration to or by way of the ear. (FDA)</t>
  </si>
  <si>
    <t>Auricular Route of Administration</t>
  </si>
  <si>
    <t>Administration directed toward the cheek, generally from within the mouth. (FDA)</t>
  </si>
  <si>
    <t>Buccal Route of Administration</t>
  </si>
  <si>
    <t>Administration to the conjunctiva, the delicate membrane that lines the eyelids and covers the exposed surface of the eyeball. (FDA)</t>
  </si>
  <si>
    <t>Conjunctival Route of Administration</t>
  </si>
  <si>
    <t>Administration to the skin. (FDA)</t>
  </si>
  <si>
    <t>Cutaneous Route of Administration</t>
  </si>
  <si>
    <t>Administration to a tooth or teeth. (FDA)</t>
  </si>
  <si>
    <t>Dental Route of Administration</t>
  </si>
  <si>
    <t>Administration by way of food or water.</t>
  </si>
  <si>
    <t>Dietary Route of Administration</t>
  </si>
  <si>
    <t>Administration of through the diffusion of substance through a membrane in an electric field. (FDA)</t>
  </si>
  <si>
    <t>Electro-osmosis Route of Administration</t>
  </si>
  <si>
    <t>Intracervical Route of Administration</t>
  </si>
  <si>
    <t>Administration within the canal of the cervix uteri. Synonymous with the term intracervical. (FDA)</t>
  </si>
  <si>
    <t>Endocervical Route of Administration</t>
  </si>
  <si>
    <t>Administration within the nasal sinuses of the head. (FDA)</t>
  </si>
  <si>
    <t>Endosinusial Route of Administration</t>
  </si>
  <si>
    <t>Intratracheal Route of Administration</t>
  </si>
  <si>
    <t>Administration directly into the trachea. Synonymous with the term intratracheal. (FDA)</t>
  </si>
  <si>
    <t>Endotracheal Route of Administration</t>
  </si>
  <si>
    <t>Administration directly into the intestines. (FDA)</t>
  </si>
  <si>
    <t>Enteral Route of Administration</t>
  </si>
  <si>
    <t>Administration upon or over the dura mater. (FDA)</t>
  </si>
  <si>
    <t>Epidural Route of Administration</t>
  </si>
  <si>
    <t>Administration to the outside of the membrane enveloping the fetus. (FDA)</t>
  </si>
  <si>
    <t>Extraamniotic Route of Administration</t>
  </si>
  <si>
    <t>Administration outside of the body. (FDA)</t>
  </si>
  <si>
    <t>Extracorporeal Circulation Route of Administration</t>
  </si>
  <si>
    <t>Administration through hemodialysate fluid. (FDA)</t>
  </si>
  <si>
    <t>Administration via Hemodialysis</t>
  </si>
  <si>
    <t>Administration that results in substances passing into tissue spaces or into cells. (FDA)</t>
  </si>
  <si>
    <t>Infiltration Route of Administration</t>
  </si>
  <si>
    <t>Administration to or in the interstices of a tissue. (FDA)</t>
  </si>
  <si>
    <t>Interstitial Route of Administration</t>
  </si>
  <si>
    <t>Administration within the abdomen. (FDA)</t>
  </si>
  <si>
    <t>Intraabdominal Route of Administration</t>
  </si>
  <si>
    <t>Administration within the amnion. (FDA)</t>
  </si>
  <si>
    <t>Intraamniotic Route of Administration</t>
  </si>
  <si>
    <t>Administration within an artery or arteries. (FDA)</t>
  </si>
  <si>
    <t>Intraarterial Route of Administration</t>
  </si>
  <si>
    <t>Administration within a joint. (FDA)</t>
  </si>
  <si>
    <t>Intraarticular Route of Administration</t>
  </si>
  <si>
    <t>Administration within the bile, bile ducts or gallbladder. (FDA)</t>
  </si>
  <si>
    <t>Intrabiliary Route of Administration</t>
  </si>
  <si>
    <t>Administration within a bronchus. (FDA)</t>
  </si>
  <si>
    <t>Intrabronchial Route of Administration</t>
  </si>
  <si>
    <t>Administration within a bursa. (FDA)</t>
  </si>
  <si>
    <t>Intrabursal Route of Administration</t>
  </si>
  <si>
    <t>Administration by injection directly into the anterior chamber of the eye.</t>
  </si>
  <si>
    <t>Intracameral Route of Administration</t>
  </si>
  <si>
    <t>Administration within the heart. (FDA)</t>
  </si>
  <si>
    <t>Intracardiac Route of Administration</t>
  </si>
  <si>
    <t>Administration within a cartilage; endochondral. (FDA)</t>
  </si>
  <si>
    <t>Intracartilaginous Route of Administration</t>
  </si>
  <si>
    <t>Administration within the cauda equina. (FDA)</t>
  </si>
  <si>
    <t>Intracaudal Route of Administration</t>
  </si>
  <si>
    <t>Administration within a pathologic cavity, such as occurs in the lung in tuberculosis. (FDA)</t>
  </si>
  <si>
    <t>Intracavernous Route of Administration</t>
  </si>
  <si>
    <t>Administration within a non-pathologic cavity, such as that of the cervix, uterus, or penis, or such as that is formed as the result of a wound. (FDA)</t>
  </si>
  <si>
    <t>Intracavitary Route of Administration</t>
  </si>
  <si>
    <t>Administration within the cerebrum. (FDA)</t>
  </si>
  <si>
    <t>Intracerebral Route of Administration</t>
  </si>
  <si>
    <t>Administration within the cisterna magna cerebellomedularis. (FDA)</t>
  </si>
  <si>
    <t>Intracisternal Route of Administration</t>
  </si>
  <si>
    <t>Administration within the cochlea.</t>
  </si>
  <si>
    <t>Intracochlear Route of Administration</t>
  </si>
  <si>
    <t>Administration within the cornea (the transparent structure forming the anterior part of the fibrous tunic of the eye). (FDA)</t>
  </si>
  <si>
    <t>Intracorneal Route of Administration</t>
  </si>
  <si>
    <t>Administration of a drug within a portion of a tooth which is covered by enamel and which is separated from the roots by a slightly constricted region known as the neck. (FDA)</t>
  </si>
  <si>
    <t>Intracoronal Dental Route of Administration</t>
  </si>
  <si>
    <t>Administration within the coronary arteries. (FDA)</t>
  </si>
  <si>
    <t>Intracoronary Route of Administration</t>
  </si>
  <si>
    <t>Administration within the dilatable spaces of the corporus cavernosa of the penis. (FDA)</t>
  </si>
  <si>
    <t>Intracorporus Cavernosum Route of Administration</t>
  </si>
  <si>
    <t>Administration within the dermis. (FDA)</t>
  </si>
  <si>
    <t>Intradermal Route of Administration</t>
  </si>
  <si>
    <t>Administration within a disc. (FDA)</t>
  </si>
  <si>
    <t>Intradiscal Route of Administration</t>
  </si>
  <si>
    <t>Administration within the duct of a gland. (FDA)</t>
  </si>
  <si>
    <t>Intraductal Route of Administration</t>
  </si>
  <si>
    <t>Administration within the duodenum. (FDA)</t>
  </si>
  <si>
    <t>Intraduodenal Route of Administration</t>
  </si>
  <si>
    <t>Administration within or beneath the dura. (FDA)</t>
  </si>
  <si>
    <t>Intradural Route of Administration</t>
  </si>
  <si>
    <t>Administration within the epidermis. (FDA)</t>
  </si>
  <si>
    <t>Intraepidermal Route of Administration</t>
  </si>
  <si>
    <t>Administration within the esophagus. (FDA)</t>
  </si>
  <si>
    <t>Intraesophageal Route of Administration</t>
  </si>
  <si>
    <t>Administration within the stomach. (FDA)</t>
  </si>
  <si>
    <t>Intragastric Route of Administration</t>
  </si>
  <si>
    <t>Administration within the gingivae. (FDA)</t>
  </si>
  <si>
    <t>Intragingival Route of Administration</t>
  </si>
  <si>
    <t>Administration into the liver.</t>
  </si>
  <si>
    <t>Intrahepatic Route of Administration</t>
  </si>
  <si>
    <t>Administration within the distal portion of the small intestine, from the jejunum to the cecum. (FDA)</t>
  </si>
  <si>
    <t>Intraileal Route of Administration</t>
  </si>
  <si>
    <t>Administration into the jejunum.</t>
  </si>
  <si>
    <t>Intrajejunal Route of Administration</t>
  </si>
  <si>
    <t>Administration within or introduced directly into a localized lesion. (FDA)</t>
  </si>
  <si>
    <t>Intralesional Route of Administration</t>
  </si>
  <si>
    <t>Administration within the lumen of a tube. (FDA)</t>
  </si>
  <si>
    <t>Intraluminal Route of Administration</t>
  </si>
  <si>
    <t>Administration within the lymph. (FDA)</t>
  </si>
  <si>
    <t>Intralymphatic Route of Administration</t>
  </si>
  <si>
    <t>Administration within the mandible.</t>
  </si>
  <si>
    <t>Intramandibular Route of Administration</t>
  </si>
  <si>
    <t>Administration within the marrow cavity of a bone. (FDA)</t>
  </si>
  <si>
    <t>Intramedullary Route of Administration</t>
  </si>
  <si>
    <t>Administration within the meninges (the three membranes that envelope the brain and spinal cord). (FDA)</t>
  </si>
  <si>
    <t>Intrameningeal Route of Administration</t>
  </si>
  <si>
    <t>Administration within a muscle. (FDA)</t>
  </si>
  <si>
    <t>Intramuscular Route of Administration</t>
  </si>
  <si>
    <t>Administration within a lymph node.</t>
  </si>
  <si>
    <t>Intranodal Route of Administration</t>
  </si>
  <si>
    <t>Administration within the eye. (FDA)</t>
  </si>
  <si>
    <t>Intraocular Route of Administration</t>
  </si>
  <si>
    <t>Administration within the marrow of the bone.</t>
  </si>
  <si>
    <t>Intraosseous Route of Administration</t>
  </si>
  <si>
    <t>Administration within the ovary. (FDA)</t>
  </si>
  <si>
    <t>Intraovarian Route of Administration</t>
  </si>
  <si>
    <t>Administration into the palate.</t>
  </si>
  <si>
    <t>Intrapalatal Route of Administration</t>
  </si>
  <si>
    <t>Administration within or into the parenchyma of a targeted organ.</t>
  </si>
  <si>
    <t>Intraparenchymal Route of Administration</t>
  </si>
  <si>
    <t>Administration within the pericardium. (FDA)</t>
  </si>
  <si>
    <t>Intrapericardial Route of Administration</t>
  </si>
  <si>
    <t>Administration within the peritoneal cavity. (FDA)</t>
  </si>
  <si>
    <t>Intraperitoneal Route of Administration</t>
  </si>
  <si>
    <t>Administration within the pleura. (FDA)</t>
  </si>
  <si>
    <t>Intrapleural Route of Administration</t>
  </si>
  <si>
    <t>Administration within the prostate gland. (FDA)</t>
  </si>
  <si>
    <t>Intraprostatic Route of Administration</t>
  </si>
  <si>
    <t>Administration within the lungs or its bronchi. (FDA)</t>
  </si>
  <si>
    <t>Intrapulmonary Route of Administration</t>
  </si>
  <si>
    <t>Administration within the nasal or periorbital sinuses. (FDA)</t>
  </si>
  <si>
    <t>Intrasinal Route of Administration</t>
  </si>
  <si>
    <t>Administration within the vertebral column. (FDA)</t>
  </si>
  <si>
    <t>Intraspinal Route of Administration</t>
  </si>
  <si>
    <t>Administration into a stoma.</t>
  </si>
  <si>
    <t>Administration via Stoma</t>
  </si>
  <si>
    <t>Administration within the site of surgery.</t>
  </si>
  <si>
    <t>Intrasurgical Site Route of Administration</t>
  </si>
  <si>
    <t>Administration within the synovial cavity of a joint. (FDA)</t>
  </si>
  <si>
    <t>Intrasynovial Route of Administration</t>
  </si>
  <si>
    <t>Administration within a tendon. (FDA)</t>
  </si>
  <si>
    <t>Intratendinous Route of Administration</t>
  </si>
  <si>
    <t>Administration within the testicle. (FDA)</t>
  </si>
  <si>
    <t>Intratesticular Route of Administration</t>
  </si>
  <si>
    <t>Administration within the thalamus.</t>
  </si>
  <si>
    <t>Intrathalamic Route of Administration</t>
  </si>
  <si>
    <t>Administration within the cerebrospinal fluid at any level of the cerebrospinal axis, including injection into the cerebral ventricles. (FDA)</t>
  </si>
  <si>
    <t>Intrathecal Route of Administration</t>
  </si>
  <si>
    <t>Administration within the thorax (internal to the ribs); synonymous with the term endothoracic. (FDA)</t>
  </si>
  <si>
    <t>Endothoracic Route of Administration</t>
  </si>
  <si>
    <t>Administration within the tubules of an organ. (FDA)</t>
  </si>
  <si>
    <t>Intratubular Route of Administration</t>
  </si>
  <si>
    <t>Intratumor Route of Administration</t>
  </si>
  <si>
    <t>Administration within a tumor. (FDA)</t>
  </si>
  <si>
    <t>Intratumoral Route of Administration</t>
  </si>
  <si>
    <t>Administration within the auris media. (FDA)</t>
  </si>
  <si>
    <t>Intratympanic Route of Administration</t>
  </si>
  <si>
    <t>Administration within the uterus. (FDA)</t>
  </si>
  <si>
    <t>Intrauterine Route of Administration</t>
  </si>
  <si>
    <t>Administration within the vagina.</t>
  </si>
  <si>
    <t>Intravaginal Route of Administration</t>
  </si>
  <si>
    <t>Administration within a vessel or vessels. (FDA)</t>
  </si>
  <si>
    <t>Intravascular Route of Administration</t>
  </si>
  <si>
    <t>Administration within or into a vein or veins all at once. (FDA)</t>
  </si>
  <si>
    <t>Intravenous Bolus</t>
  </si>
  <si>
    <t>Administration within or into a vein or veins over a sustained period of time. (FDA)</t>
  </si>
  <si>
    <t>Intravenous Drip</t>
  </si>
  <si>
    <t>Administration within or into a vein or veins. (FDA)</t>
  </si>
  <si>
    <t>Intravenous Route of Administration</t>
  </si>
  <si>
    <t>Administration within a ventricle. (FDA)</t>
  </si>
  <si>
    <t>Intraventricular Route of Administration</t>
  </si>
  <si>
    <t>Administration within the bladder. (FDA)</t>
  </si>
  <si>
    <t>Intravesical Route of Administration</t>
  </si>
  <si>
    <t>Administration within the vitreous body of the eye. (FDA)</t>
  </si>
  <si>
    <t>Intravitreal Route of Administration</t>
  </si>
  <si>
    <t>Administration by means of an electric current where ions of soluble salts migrate into the tissues of the body. (FDA)</t>
  </si>
  <si>
    <t>Iontophoresis Route of Administration</t>
  </si>
  <si>
    <t>Administration to bathe or flush open wounds or body cavities. (FDA)</t>
  </si>
  <si>
    <t>Irrigation Route of Administration</t>
  </si>
  <si>
    <t>Administration directly upon the larynx. (FDA)</t>
  </si>
  <si>
    <t>Laryngeal Route of Administration</t>
  </si>
  <si>
    <t>Administration through microdialysate fluid.</t>
  </si>
  <si>
    <t>Microdialysis Route of Administration</t>
  </si>
  <si>
    <t>Intranasal Route of Administration</t>
  </si>
  <si>
    <t>Administration to the nose; administered by way of the nose. (FDA)</t>
  </si>
  <si>
    <t>Nasal Route of Administration</t>
  </si>
  <si>
    <t>Administration through the nose and into the duodenum, usually by means of a tube.</t>
  </si>
  <si>
    <t>Nasoduodenal Route of Administration</t>
  </si>
  <si>
    <t>Administration through the nose and into the stomach, usually by means of a tube. (FDA)</t>
  </si>
  <si>
    <t>Nasogastric Route of Administration</t>
  </si>
  <si>
    <t>Administration through the nose and into the jejunum, usually by means of a tube.</t>
  </si>
  <si>
    <t>Nasojejunal Route of Administration</t>
  </si>
  <si>
    <t>Routes of administration are not applicable. (FDA)</t>
  </si>
  <si>
    <t>Route of Administration Not Applicable</t>
  </si>
  <si>
    <t>Administration by the topical route which is then covered by a dressing which occludes the area. (FDA)</t>
  </si>
  <si>
    <t>Occlusive Dressing Technique</t>
  </si>
  <si>
    <t>Administration to the external eye. (FDA)</t>
  </si>
  <si>
    <t>Ophthalmic Route of Administration</t>
  </si>
  <si>
    <t>Administration through the mouth and into the stomach, usually by means of a tube. (NCI)</t>
  </si>
  <si>
    <t>Oral Gavage Route of Administration</t>
  </si>
  <si>
    <t>Intraoral Route of Administration; PO</t>
  </si>
  <si>
    <t>Administration to or by way of the mouth. (FDA)</t>
  </si>
  <si>
    <t>Oral Route of Administration</t>
  </si>
  <si>
    <t>Administration through the mouth and into the stomach, usually by means of a tube.</t>
  </si>
  <si>
    <t>Orogastric Route of Administration</t>
  </si>
  <si>
    <t>Administration across the mucosa of the oral cavity.</t>
  </si>
  <si>
    <t>Oromucosal Route of Administration</t>
  </si>
  <si>
    <t>Administration directly to the mouth and pharynx. (FDA)</t>
  </si>
  <si>
    <t>Oropharyngeal Route of Administration</t>
  </si>
  <si>
    <t>Administration by injection, infusion, or implantation. (FDA)</t>
  </si>
  <si>
    <t>Parenteral Route of Administration</t>
  </si>
  <si>
    <t>Administration through the skin. (FDA)</t>
  </si>
  <si>
    <t>Percutaneous Route of Administration</t>
  </si>
  <si>
    <t>Administration around a joint. (FDA)</t>
  </si>
  <si>
    <t>Periarticular Route of Administration</t>
  </si>
  <si>
    <t>Administration to the outside of the dura mater of the spinal cord. (FDA)</t>
  </si>
  <si>
    <t>Peridural Route of Administration</t>
  </si>
  <si>
    <t>Administration surrounding a nerve or nerves. (FDA)</t>
  </si>
  <si>
    <t>Perineural Route of Administration</t>
  </si>
  <si>
    <t>Administration around a tooth. (FDA)</t>
  </si>
  <si>
    <t>Periodontal Route of Administration</t>
  </si>
  <si>
    <t>Administration into the area surrounding a vein. (NCI)</t>
  </si>
  <si>
    <t>Perivenous Route of Administration</t>
  </si>
  <si>
    <t>Administration directly upon the pharynx.</t>
  </si>
  <si>
    <t>Pharyngeal Route of Administration</t>
  </si>
  <si>
    <t>Administration to the rectum. (FDA)</t>
  </si>
  <si>
    <t>Rectal Route of Administration</t>
  </si>
  <si>
    <t>Administration within the respiratory tract by inhaling orally or nasally for local or systemic effect. (FDA)</t>
  </si>
  <si>
    <t>Inhalation Route of Administration</t>
  </si>
  <si>
    <t>Administration behind the pons or behind the eyeball. (FDA)</t>
  </si>
  <si>
    <t>Retrobulbar Route of Administration</t>
  </si>
  <si>
    <t>Administration into any soft tissue. (FDA)</t>
  </si>
  <si>
    <t>Soft Tissue Route of Administration</t>
  </si>
  <si>
    <t>Administration beneath the arachnoid. (FDA)</t>
  </si>
  <si>
    <t>Subarachnoid Route of Administration</t>
  </si>
  <si>
    <t>Administration beneath the conjunctiva. (FDA)</t>
  </si>
  <si>
    <t>Subconjunctival Route of Administration</t>
  </si>
  <si>
    <t>SC; Subdermal Route of Administration</t>
  </si>
  <si>
    <t>Administration beneath the skin; hypodermic. Synonymous with the term SUBDERMAL. (FDA)</t>
  </si>
  <si>
    <t>Subcutaneous Route of Administration</t>
  </si>
  <si>
    <t>Administration between the dura mater and the arachnoid mater.</t>
  </si>
  <si>
    <t>Subdural Route of Administration</t>
  </si>
  <si>
    <t>Administration beneath the tongue. (FDA)</t>
  </si>
  <si>
    <t>Sublingual Route of Administration</t>
  </si>
  <si>
    <t>Administration beneath the mucous membrane. (FDA)</t>
  </si>
  <si>
    <t>Submucosal Route of Administration</t>
  </si>
  <si>
    <t>Administration beneath the retina.</t>
  </si>
  <si>
    <t>Subretinal Route of Administration</t>
  </si>
  <si>
    <t>Administration by injection through the membrane covering the muscles and nerves at the back of the eyeball.</t>
  </si>
  <si>
    <t>Subtenon Route of Administration</t>
  </si>
  <si>
    <t>Administration above the choroid.</t>
  </si>
  <si>
    <t>Suprachoroidal Route of Administration</t>
  </si>
  <si>
    <t>TOP</t>
  </si>
  <si>
    <t>Administration to a particular spot on the outer surface of the body. The E2B term TRANSMAMMARY is a subset of the term TOPICAL. (FDA)</t>
  </si>
  <si>
    <t>Topical Route of Administration</t>
  </si>
  <si>
    <t>Administration through the dermal layer of the skin to the systemic circulation by diffusion. (FDA)</t>
  </si>
  <si>
    <t>Transdermal Route of Administration</t>
  </si>
  <si>
    <t>Administration by ingestion of colostrum or breast milk.</t>
  </si>
  <si>
    <t>Transmammary Route of Administration</t>
  </si>
  <si>
    <t>Administration across the mucosa. (FDA)</t>
  </si>
  <si>
    <t>Mucosal Route of Administration</t>
  </si>
  <si>
    <t>Administration through or across the placenta. (FDA)</t>
  </si>
  <si>
    <t>Transplacental Route of Administration</t>
  </si>
  <si>
    <t>Administration through the wall of the trachea. (FDA)</t>
  </si>
  <si>
    <t>Transtracheal Route of Administration</t>
  </si>
  <si>
    <t>Administration across or through the tympanic cavity. (FDA)</t>
  </si>
  <si>
    <t>Transtympanic Route of Administration</t>
  </si>
  <si>
    <t>Route of administration has not yet been assigned. (FDA)</t>
  </si>
  <si>
    <t>Unassigned Route of Administration</t>
  </si>
  <si>
    <t>Route of administration is unknown. (FDA)</t>
  </si>
  <si>
    <t>Unknown Route of Administration</t>
  </si>
  <si>
    <t>Administration into the ureter. (FDA)</t>
  </si>
  <si>
    <t>Ureteral Route of Administration</t>
  </si>
  <si>
    <t>Administration into the urethra. (FDA)</t>
  </si>
  <si>
    <t>Intraurethral Route of Administration</t>
  </si>
  <si>
    <t>Administration into the vagina. (FDA)</t>
  </si>
  <si>
    <t>Vaginal Route of Administration</t>
  </si>
  <si>
    <t>CL.C71113.FREQ</t>
  </si>
  <si>
    <t>Frequency</t>
  </si>
  <si>
    <t>FREQ</t>
  </si>
  <si>
    <t>C71113</t>
  </si>
  <si>
    <t>The terminology that includes terms pertaining to frequency within CDISC.</t>
  </si>
  <si>
    <t>CDISC SDTM Frequency Terminology</t>
  </si>
  <si>
    <t>One Time Per Week</t>
  </si>
  <si>
    <t>One time per week. (NCI)</t>
  </si>
  <si>
    <t>Once Weekly</t>
  </si>
  <si>
    <t>10 Days Monthly</t>
  </si>
  <si>
    <t>Ten days per month. (NCI)</t>
  </si>
  <si>
    <t>Ten Days Per Month</t>
  </si>
  <si>
    <t>Two times per cycle.</t>
  </si>
  <si>
    <t>Two Times Per Cycle</t>
  </si>
  <si>
    <t>BIS; Twice per week</t>
  </si>
  <si>
    <t>Two times per week. (NCI)</t>
  </si>
  <si>
    <t>Twice Weekly</t>
  </si>
  <si>
    <t>2 Times Per Year</t>
  </si>
  <si>
    <t>Two times per year. (NCI)</t>
  </si>
  <si>
    <t>Two Times Yearly</t>
  </si>
  <si>
    <t>Three times per cycle.</t>
  </si>
  <si>
    <t>Three Times Per Cycle</t>
  </si>
  <si>
    <t>3 Times Per Month</t>
  </si>
  <si>
    <t>Three times per month. (NCI)</t>
  </si>
  <si>
    <t>Three Times Monthly</t>
  </si>
  <si>
    <t>Three times a week; TIS</t>
  </si>
  <si>
    <t>Three times per week. (NCI)</t>
  </si>
  <si>
    <t>Three Times Weekly</t>
  </si>
  <si>
    <t>3 Times Per Year</t>
  </si>
  <si>
    <t>Three times per year. (NCI)</t>
  </si>
  <si>
    <t>Three Times Yearly</t>
  </si>
  <si>
    <t>4 Times Per Month</t>
  </si>
  <si>
    <t>Four times per month. (NCI)</t>
  </si>
  <si>
    <t>Four Times Monthly</t>
  </si>
  <si>
    <t>4 times per week; QIS</t>
  </si>
  <si>
    <t>Four times per week. (NCI)</t>
  </si>
  <si>
    <t>Four Times Weekly</t>
  </si>
  <si>
    <t>4 Times Per Year</t>
  </si>
  <si>
    <t>Four times per year. (NCI)</t>
  </si>
  <si>
    <t>Four Times Yearly</t>
  </si>
  <si>
    <t>5 Times Daily</t>
  </si>
  <si>
    <t>Five times per day. (NCI)</t>
  </si>
  <si>
    <t>Five Times Daily</t>
  </si>
  <si>
    <t>5 Times Per Month</t>
  </si>
  <si>
    <t>Five times per month. (NCI)</t>
  </si>
  <si>
    <t>Five Times Monthly</t>
  </si>
  <si>
    <t>5 Times Per Week</t>
  </si>
  <si>
    <t>Five times per week. (NCI)</t>
  </si>
  <si>
    <t>Five Times Weekly</t>
  </si>
  <si>
    <t>5 Times Per Year</t>
  </si>
  <si>
    <t>Five times per year. (NCI)</t>
  </si>
  <si>
    <t>Five Times Yearly</t>
  </si>
  <si>
    <t>6 Times Daily</t>
  </si>
  <si>
    <t>Six times per day. (NCI)</t>
  </si>
  <si>
    <t>Six Times Daily</t>
  </si>
  <si>
    <t>6 Times Per Month</t>
  </si>
  <si>
    <t>Six times per month. (NCI)</t>
  </si>
  <si>
    <t>Six Times Monthly</t>
  </si>
  <si>
    <t>6 Times Per Week</t>
  </si>
  <si>
    <t>Six times per week. (NCI)</t>
  </si>
  <si>
    <t>Six Times Weekly</t>
  </si>
  <si>
    <t>6 Times Per Year</t>
  </si>
  <si>
    <t>Six times per year. (NCI)</t>
  </si>
  <si>
    <t>Six Times Yearly</t>
  </si>
  <si>
    <t>7 Times Daily</t>
  </si>
  <si>
    <t>Seven times per day. (NCI)</t>
  </si>
  <si>
    <t>Seven Times Per Day</t>
  </si>
  <si>
    <t>7 Times Per Week</t>
  </si>
  <si>
    <t>Seven times per week. (NCI)</t>
  </si>
  <si>
    <t>Seven Times Weekly</t>
  </si>
  <si>
    <t>8 Times Daily</t>
  </si>
  <si>
    <t>Eight times per day. (NCI)</t>
  </si>
  <si>
    <t>Eight Times Per Day</t>
  </si>
  <si>
    <t>9 Times Daily</t>
  </si>
  <si>
    <t>Nine times per day. (NCI)</t>
  </si>
  <si>
    <t>Nine Times Per Day</t>
  </si>
  <si>
    <t>Ad Libitum</t>
  </si>
  <si>
    <t>As much as desired.</t>
  </si>
  <si>
    <t>As Much as Desired</t>
  </si>
  <si>
    <t>BD; Twice per day</t>
  </si>
  <si>
    <t>Two times per day, at unspecified times. (NCI)</t>
  </si>
  <si>
    <t>Twice Daily</t>
  </si>
  <si>
    <t>Twice per month</t>
  </si>
  <si>
    <t>Twice per month. (NCI)</t>
  </si>
  <si>
    <t>Twice Per Month</t>
  </si>
  <si>
    <t>Every 10 Weeks; Q10S</t>
  </si>
  <si>
    <t>Every 10 weeks.</t>
  </si>
  <si>
    <t>Every Ten Weeks</t>
  </si>
  <si>
    <t>Every 10 years.</t>
  </si>
  <si>
    <t>Every Ten Years</t>
  </si>
  <si>
    <t>Q12S</t>
  </si>
  <si>
    <t>Every twelve weeks.</t>
  </si>
  <si>
    <t>Every Twelve Weeks</t>
  </si>
  <si>
    <t>Every 13 Weeks; Q13S</t>
  </si>
  <si>
    <t>Every 13 weeks.</t>
  </si>
  <si>
    <t>Every Thirteen Weeks</t>
  </si>
  <si>
    <t>Q16S</t>
  </si>
  <si>
    <t>Every sixteen weeks.</t>
  </si>
  <si>
    <t>Every Sixteen Weeks</t>
  </si>
  <si>
    <t>Every 2 weeks; Q2S</t>
  </si>
  <si>
    <t>Every two weeks. (NCI)</t>
  </si>
  <si>
    <t>Every Two Weeks</t>
  </si>
  <si>
    <t>Every 3 weeks; Q3S</t>
  </si>
  <si>
    <t>Every three weeks. (NCI)</t>
  </si>
  <si>
    <t>Every Three Weeks</t>
  </si>
  <si>
    <t>Every three years.</t>
  </si>
  <si>
    <t>Every Three Years</t>
  </si>
  <si>
    <t>Every 4 weeks; Q4S</t>
  </si>
  <si>
    <t>Every four weeks. (NCI)</t>
  </si>
  <si>
    <t>Every Four Weeks</t>
  </si>
  <si>
    <t>Every four years.</t>
  </si>
  <si>
    <t>Every Four Years</t>
  </si>
  <si>
    <t>Every 5 weeks; Q5S</t>
  </si>
  <si>
    <t>Every five weeks. (NCI)</t>
  </si>
  <si>
    <t>Every Five Weeks</t>
  </si>
  <si>
    <t>Every five years.</t>
  </si>
  <si>
    <t>Every Five Years</t>
  </si>
  <si>
    <t>Every 6 Weeks; Q6S</t>
  </si>
  <si>
    <t>Every six weeks. (NCI)</t>
  </si>
  <si>
    <t>Every Six Weeks</t>
  </si>
  <si>
    <t>Every 7 weeks; Q7S</t>
  </si>
  <si>
    <t>Every seven weeks.</t>
  </si>
  <si>
    <t>Every Seven Weeks</t>
  </si>
  <si>
    <t>Every 8 weeks; Q8S</t>
  </si>
  <si>
    <t>Every eight weeks. (NCI)</t>
  </si>
  <si>
    <t>Every Eight Weeks</t>
  </si>
  <si>
    <t>Every afternoon.</t>
  </si>
  <si>
    <t>Every Afternoon</t>
  </si>
  <si>
    <t>Every evening.</t>
  </si>
  <si>
    <t>Every Evening</t>
  </si>
  <si>
    <t>Every week; Per Week; QS</t>
  </si>
  <si>
    <t>Every week. (NCI)</t>
  </si>
  <si>
    <t>Weekly</t>
  </si>
  <si>
    <t>Intermittent</t>
  </si>
  <si>
    <t>Periodically stopping and starting. (NCI)</t>
  </si>
  <si>
    <t>Occasional</t>
  </si>
  <si>
    <t>Not occurring regularly or at short intervals.</t>
  </si>
  <si>
    <t>Infrequent</t>
  </si>
  <si>
    <t>One time.</t>
  </si>
  <si>
    <t>Once</t>
  </si>
  <si>
    <t>/Year; Every Year; Per Annum; Per Year</t>
  </si>
  <si>
    <t>A frequency rate of occurrences of something within a period of time equal to three hundred sixty-five days.</t>
  </si>
  <si>
    <t>Per Year</t>
  </si>
  <si>
    <t>As needed</t>
  </si>
  <si>
    <t>As needed. (NCI)</t>
  </si>
  <si>
    <t>As Needed</t>
  </si>
  <si>
    <t>Every 10 hours</t>
  </si>
  <si>
    <t>Every ten hours. (NCI)</t>
  </si>
  <si>
    <t>Every Ten Hours</t>
  </si>
  <si>
    <t>Every 11 hours</t>
  </si>
  <si>
    <t>Every eleven hours. (NCI)</t>
  </si>
  <si>
    <t>Every Eleven Hours</t>
  </si>
  <si>
    <t>Every 12 hours</t>
  </si>
  <si>
    <t>Every twelve hours. (NCI)</t>
  </si>
  <si>
    <t>Every Twelve Hours</t>
  </si>
  <si>
    <t>Every 13 hours</t>
  </si>
  <si>
    <t>Every thirteen hours. (NCI)</t>
  </si>
  <si>
    <t>Every Thirteen Hours</t>
  </si>
  <si>
    <t>Every 14 hours</t>
  </si>
  <si>
    <t>Every fourteen hours. (NCI)</t>
  </si>
  <si>
    <t>Every Fourteen Hours</t>
  </si>
  <si>
    <t>Every 15 hours</t>
  </si>
  <si>
    <t>Every fifteen hours. (NCI)</t>
  </si>
  <si>
    <t>Every Fifteen Hours</t>
  </si>
  <si>
    <t>Every 16 hours</t>
  </si>
  <si>
    <t>Every sixteen hours. (NCI)</t>
  </si>
  <si>
    <t>Every Sixteen Hours</t>
  </si>
  <si>
    <t>Every 17 hours</t>
  </si>
  <si>
    <t>Every seventeen hours. (NCI)</t>
  </si>
  <si>
    <t>Every Seventeen Hours</t>
  </si>
  <si>
    <t>Every 18 hours</t>
  </si>
  <si>
    <t>Every eighteen hours. (NCI)</t>
  </si>
  <si>
    <t>Every Eighteen Hours</t>
  </si>
  <si>
    <t>Every 19 hours</t>
  </si>
  <si>
    <t>Every nineteen hours. (NCI)</t>
  </si>
  <si>
    <t>Every Nineteen Hours</t>
  </si>
  <si>
    <t>Every 20 hours</t>
  </si>
  <si>
    <t>Every twenty hours. (NCI)</t>
  </si>
  <si>
    <t>Every Twenty Hours</t>
  </si>
  <si>
    <t>Every 21 hours</t>
  </si>
  <si>
    <t>Every twenty-one hours. (NCI)</t>
  </si>
  <si>
    <t>Every Twenty-One Hours</t>
  </si>
  <si>
    <t>Every 22 hours</t>
  </si>
  <si>
    <t>Every twenty-two hours. (NCI)</t>
  </si>
  <si>
    <t>Every Twenty-Two Hours</t>
  </si>
  <si>
    <t>Every 23 hours</t>
  </si>
  <si>
    <t>Every twenty-three hours. (NCI)</t>
  </si>
  <si>
    <t>Every Twenty-Three Hours</t>
  </si>
  <si>
    <t>Every 24 hours</t>
  </si>
  <si>
    <t>Every twenty-four hours. (NCI)</t>
  </si>
  <si>
    <t>Every Twenty-Four Hours</t>
  </si>
  <si>
    <t>Every 2 hours</t>
  </si>
  <si>
    <t>Every two hours. (NCI)</t>
  </si>
  <si>
    <t>Every Two Hours</t>
  </si>
  <si>
    <t>Every two months</t>
  </si>
  <si>
    <t>Every two months. (NCI)</t>
  </si>
  <si>
    <t>Every Two Months</t>
  </si>
  <si>
    <t>Every 36 Hours</t>
  </si>
  <si>
    <t>Every thirty-six hours. (NCI)</t>
  </si>
  <si>
    <t>Every Thirty-six Hours</t>
  </si>
  <si>
    <t>Every 3 days</t>
  </si>
  <si>
    <t>Every three days. (NCI)</t>
  </si>
  <si>
    <t>Every Three Days</t>
  </si>
  <si>
    <t>Every 3 hours</t>
  </si>
  <si>
    <t>Every three hours. (NCI)</t>
  </si>
  <si>
    <t>Every Three Hours</t>
  </si>
  <si>
    <t>Every 3 months</t>
  </si>
  <si>
    <t>Every three months. (NCI)</t>
  </si>
  <si>
    <t>Every Three Months</t>
  </si>
  <si>
    <t>Every 45 Minutes</t>
  </si>
  <si>
    <t>Every forty-five minutes. (NCI)</t>
  </si>
  <si>
    <t>Every Forty-Five Minutes</t>
  </si>
  <si>
    <t>Every 48 Hours</t>
  </si>
  <si>
    <t>Every forty-eight hours. (NCI)</t>
  </si>
  <si>
    <t>Every Forty-eight Hours</t>
  </si>
  <si>
    <t>Every 4 days</t>
  </si>
  <si>
    <t>Every four days. (NCI)</t>
  </si>
  <si>
    <t>Every Four Days</t>
  </si>
  <si>
    <t>Every 4 hours</t>
  </si>
  <si>
    <t>Every four hours. (NCI)</t>
  </si>
  <si>
    <t>Every Four Hours</t>
  </si>
  <si>
    <t>Every 4 months</t>
  </si>
  <si>
    <t>Every four months. (NCI)</t>
  </si>
  <si>
    <t>Every Four Months</t>
  </si>
  <si>
    <t>Every 5 days</t>
  </si>
  <si>
    <t>Every five days. (NCI)</t>
  </si>
  <si>
    <t>Every Five Days</t>
  </si>
  <si>
    <t>Every 5 hours</t>
  </si>
  <si>
    <t>Every five hours. (NCI)</t>
  </si>
  <si>
    <t>Every Five Hours</t>
  </si>
  <si>
    <t>Every six days.</t>
  </si>
  <si>
    <t>Every Six Days</t>
  </si>
  <si>
    <t>Every 6 hours</t>
  </si>
  <si>
    <t>Every six hours. (NCI)</t>
  </si>
  <si>
    <t>Every Six Hours</t>
  </si>
  <si>
    <t>Every 6 Months</t>
  </si>
  <si>
    <t>Every six months. (NCI)</t>
  </si>
  <si>
    <t>Every Six Months</t>
  </si>
  <si>
    <t>Every 72 hours</t>
  </si>
  <si>
    <t>Every seventy-two hours.</t>
  </si>
  <si>
    <t>Every Seventy Two Hours</t>
  </si>
  <si>
    <t>Every 7 Days</t>
  </si>
  <si>
    <t>Every seven days. (NCI)</t>
  </si>
  <si>
    <t>Every Seven Days</t>
  </si>
  <si>
    <t>Every 7 hours</t>
  </si>
  <si>
    <t>Every seven hours. (NCI)</t>
  </si>
  <si>
    <t>Every Seven Hours</t>
  </si>
  <si>
    <t>Every 8 hours</t>
  </si>
  <si>
    <t>Every eight hours. (NCI)</t>
  </si>
  <si>
    <t>Every Eight Hours</t>
  </si>
  <si>
    <t>Every 96 Hours</t>
  </si>
  <si>
    <t>Every 96 hours.</t>
  </si>
  <si>
    <t>Every Ninety-Six Hours</t>
  </si>
  <si>
    <t>Every 9 hours</t>
  </si>
  <si>
    <t>Every nine hours. (NCI)</t>
  </si>
  <si>
    <t>Every Nine Hours</t>
  </si>
  <si>
    <t>Every Morning</t>
  </si>
  <si>
    <t>Every morning. (NCI)</t>
  </si>
  <si>
    <t>/day; Daily; Per Day</t>
  </si>
  <si>
    <t>A rate of occurrences within a period of time equal to one day.</t>
  </si>
  <si>
    <t>Daily</t>
  </si>
  <si>
    <t>Every hour</t>
  </si>
  <si>
    <t>Every hour. (NCI)</t>
  </si>
  <si>
    <t>Every Hour</t>
  </si>
  <si>
    <t>Every day at bedtime.</t>
  </si>
  <si>
    <t>Hour Of Sleep</t>
  </si>
  <si>
    <t>4 times per day</t>
  </si>
  <si>
    <t>Four times per day. (NCI)</t>
  </si>
  <si>
    <t>Four Times Daily</t>
  </si>
  <si>
    <t>Every Month; Per Month</t>
  </si>
  <si>
    <t>Every month. (NCI)</t>
  </si>
  <si>
    <t>Monthly</t>
  </si>
  <si>
    <t>Every night.</t>
  </si>
  <si>
    <t>Every Night</t>
  </si>
  <si>
    <t>Every other day; Every Second Day; Every Two Days; Q2D</t>
  </si>
  <si>
    <t>Every other day. (NCI)</t>
  </si>
  <si>
    <t>Every Other Day</t>
  </si>
  <si>
    <t>Every day, on or after 12:00 pm.</t>
  </si>
  <si>
    <t>QPM</t>
  </si>
  <si>
    <t>Three times.</t>
  </si>
  <si>
    <t>Thrice</t>
  </si>
  <si>
    <t>3 times per day</t>
  </si>
  <si>
    <t>Three times per day. (NCI)</t>
  </si>
  <si>
    <t>Three Times Daily</t>
  </si>
  <si>
    <t>Two times. (NCI)</t>
  </si>
  <si>
    <t>Twice</t>
  </si>
  <si>
    <t>C64526</t>
  </si>
  <si>
    <t>C139179</t>
  </si>
  <si>
    <t>C176288</t>
  </si>
  <si>
    <t>C64497</t>
  </si>
  <si>
    <t>C98861</t>
  </si>
  <si>
    <t>C176289</t>
  </si>
  <si>
    <t>C98859</t>
  </si>
  <si>
    <t>C64528</t>
  </si>
  <si>
    <t>C98860</t>
  </si>
  <si>
    <t>C98852</t>
  </si>
  <si>
    <t>C64531</t>
  </si>
  <si>
    <t>C98853</t>
  </si>
  <si>
    <t>C98849</t>
  </si>
  <si>
    <t>C98850</t>
  </si>
  <si>
    <t>C85552</t>
  </si>
  <si>
    <t>C98851</t>
  </si>
  <si>
    <t>C98855</t>
  </si>
  <si>
    <t>C98856</t>
  </si>
  <si>
    <t>C98857</t>
  </si>
  <si>
    <t>C98858</t>
  </si>
  <si>
    <t>C139180</t>
  </si>
  <si>
    <t>C98854</t>
  </si>
  <si>
    <t>C139181</t>
  </si>
  <si>
    <t>C139182</t>
  </si>
  <si>
    <t>C64636</t>
  </si>
  <si>
    <t>C64496</t>
  </si>
  <si>
    <t>C71129</t>
  </si>
  <si>
    <t>C189433</t>
  </si>
  <si>
    <t>C189435</t>
  </si>
  <si>
    <t>C161332</t>
  </si>
  <si>
    <t>C189434</t>
  </si>
  <si>
    <t>C161336</t>
  </si>
  <si>
    <t>C71127</t>
  </si>
  <si>
    <t>C64535</t>
  </si>
  <si>
    <t>C161333</t>
  </si>
  <si>
    <t>C64529</t>
  </si>
  <si>
    <t>C189432</t>
  </si>
  <si>
    <t>C103390</t>
  </si>
  <si>
    <t>C161334</t>
  </si>
  <si>
    <t>C89788</t>
  </si>
  <si>
    <t>C116149</t>
  </si>
  <si>
    <t>C103389</t>
  </si>
  <si>
    <t>C154484</t>
  </si>
  <si>
    <t>C160957</t>
  </si>
  <si>
    <t>C67069</t>
  </si>
  <si>
    <t>C71325</t>
  </si>
  <si>
    <t>C64954</t>
  </si>
  <si>
    <t>C64576</t>
  </si>
  <si>
    <t>C74924</t>
  </si>
  <si>
    <t>C64499</t>
  </si>
  <si>
    <t>C64500</t>
  </si>
  <si>
    <t>C64501</t>
  </si>
  <si>
    <t>C64502</t>
  </si>
  <si>
    <t>C64503</t>
  </si>
  <si>
    <t>C64504</t>
  </si>
  <si>
    <t>C64505</t>
  </si>
  <si>
    <t>C64506</t>
  </si>
  <si>
    <t>C64507</t>
  </si>
  <si>
    <t>C64508</t>
  </si>
  <si>
    <t>C64509</t>
  </si>
  <si>
    <t>C64511</t>
  </si>
  <si>
    <t>C64512</t>
  </si>
  <si>
    <t>C64513</t>
  </si>
  <si>
    <t>C64514</t>
  </si>
  <si>
    <t>C64515</t>
  </si>
  <si>
    <t>C64516</t>
  </si>
  <si>
    <t>C64536</t>
  </si>
  <si>
    <t>C89791</t>
  </si>
  <si>
    <t>C64533</t>
  </si>
  <si>
    <t>C64517</t>
  </si>
  <si>
    <t>C64537</t>
  </si>
  <si>
    <t>C139183</t>
  </si>
  <si>
    <t>C89790</t>
  </si>
  <si>
    <t>C64534</t>
  </si>
  <si>
    <t>C64518</t>
  </si>
  <si>
    <t>C64538</t>
  </si>
  <si>
    <t>C71124</t>
  </si>
  <si>
    <t>C64519</t>
  </si>
  <si>
    <t>C161335</t>
  </si>
  <si>
    <t>C64520</t>
  </si>
  <si>
    <t>C89789</t>
  </si>
  <si>
    <t>C174288</t>
  </si>
  <si>
    <t>C139177</t>
  </si>
  <si>
    <t>C64521</t>
  </si>
  <si>
    <t>C64523</t>
  </si>
  <si>
    <t>C189436</t>
  </si>
  <si>
    <t>C64524</t>
  </si>
  <si>
    <t>C64595</t>
  </si>
  <si>
    <t>C25473</t>
  </si>
  <si>
    <t>C64510</t>
  </si>
  <si>
    <t>C64593</t>
  </si>
  <si>
    <t>C64530</t>
  </si>
  <si>
    <t>C64498</t>
  </si>
  <si>
    <t>C139178</t>
  </si>
  <si>
    <t>C64525</t>
  </si>
  <si>
    <t>C64596</t>
  </si>
  <si>
    <t>C156502</t>
  </si>
  <si>
    <t>C64527</t>
  </si>
  <si>
    <t>C65134</t>
  </si>
  <si>
    <t>1 TIME PER WEEK</t>
  </si>
  <si>
    <t>10 DAYS PER MONTH</t>
  </si>
  <si>
    <t>2 TIMES PER CYCLE</t>
  </si>
  <si>
    <t>2 TIMES PER WEEK</t>
  </si>
  <si>
    <t>2 TIMES PER YEAR</t>
  </si>
  <si>
    <t>3 TIMES PER CYCLE</t>
  </si>
  <si>
    <t>3 TIMES PER MONTH</t>
  </si>
  <si>
    <t>3 TIMES PER WEEK</t>
  </si>
  <si>
    <t>3 TIMES PER YEAR</t>
  </si>
  <si>
    <t>4 TIMES PER MONTH</t>
  </si>
  <si>
    <t>4 TIMES PER WEEK</t>
  </si>
  <si>
    <t>4 TIMES PER YEAR</t>
  </si>
  <si>
    <t>5 TIMES PER DAY</t>
  </si>
  <si>
    <t>5 TIMES PER MONTH</t>
  </si>
  <si>
    <t>5 TIMES PER WEEK</t>
  </si>
  <si>
    <t>5 TIMES PER YEAR</t>
  </si>
  <si>
    <t>6 TIMES PER DAY</t>
  </si>
  <si>
    <t>6 TIMES PER MONTH</t>
  </si>
  <si>
    <t>6 TIMES PER WEEK</t>
  </si>
  <si>
    <t>6 TIMES PER YEAR</t>
  </si>
  <si>
    <t>7 TIMES PER DAY</t>
  </si>
  <si>
    <t>7 TIMES PER WEEK</t>
  </si>
  <si>
    <t>8 TIMES PER DAY</t>
  </si>
  <si>
    <t>9 TIMES PER DAY</t>
  </si>
  <si>
    <t>AD LIBITUM</t>
  </si>
  <si>
    <t>BID</t>
  </si>
  <si>
    <t>BIM</t>
  </si>
  <si>
    <t>CONTINUOUS</t>
  </si>
  <si>
    <t>EVERY 10 WEEKS</t>
  </si>
  <si>
    <t>EVERY 10 YEARS</t>
  </si>
  <si>
    <t>EVERY 12 WEEKS</t>
  </si>
  <si>
    <t>EVERY 13 WEEKS</t>
  </si>
  <si>
    <t>EVERY 16 WEEKS</t>
  </si>
  <si>
    <t>EVERY 2 WEEKS</t>
  </si>
  <si>
    <t>EVERY 3 WEEKS</t>
  </si>
  <si>
    <t>EVERY 3 YEARS</t>
  </si>
  <si>
    <t>EVERY 4 WEEKS</t>
  </si>
  <si>
    <t>EVERY 4 YEARS</t>
  </si>
  <si>
    <t>EVERY 5 WEEKS</t>
  </si>
  <si>
    <t>EVERY 5 YEARS</t>
  </si>
  <si>
    <t>EVERY 6 WEEKS</t>
  </si>
  <si>
    <t>EVERY 7 WEEKS</t>
  </si>
  <si>
    <t>EVERY 8 WEEKS</t>
  </si>
  <si>
    <t>EVERY AFTERNOON</t>
  </si>
  <si>
    <t>EVERY EVENING</t>
  </si>
  <si>
    <t>EVERY WEEK</t>
  </si>
  <si>
    <t>INTERMITTENT</t>
  </si>
  <si>
    <t>OCCASIONAL</t>
  </si>
  <si>
    <t>ONCE</t>
  </si>
  <si>
    <t>PA</t>
  </si>
  <si>
    <t>PRN</t>
  </si>
  <si>
    <t>Q10H</t>
  </si>
  <si>
    <t>Q11H</t>
  </si>
  <si>
    <t>Q12H</t>
  </si>
  <si>
    <t>Q13H</t>
  </si>
  <si>
    <t>Q14H</t>
  </si>
  <si>
    <t>Q15H</t>
  </si>
  <si>
    <t>Q16H</t>
  </si>
  <si>
    <t>Q17H</t>
  </si>
  <si>
    <t>Q18H</t>
  </si>
  <si>
    <t>Q19H</t>
  </si>
  <si>
    <t>Q20H</t>
  </si>
  <si>
    <t>Q21H</t>
  </si>
  <si>
    <t>Q22H</t>
  </si>
  <si>
    <t>Q23H</t>
  </si>
  <si>
    <t>Q24H</t>
  </si>
  <si>
    <t>Q2H</t>
  </si>
  <si>
    <t>Q2M</t>
  </si>
  <si>
    <t>Q36H</t>
  </si>
  <si>
    <t>Q3D</t>
  </si>
  <si>
    <t>Q3H</t>
  </si>
  <si>
    <t>Q3M</t>
  </si>
  <si>
    <t>Q45MIN</t>
  </si>
  <si>
    <t>Q48H</t>
  </si>
  <si>
    <t>Q4D</t>
  </si>
  <si>
    <t>Q4H</t>
  </si>
  <si>
    <t>Q4M</t>
  </si>
  <si>
    <t>Q5D</t>
  </si>
  <si>
    <t>Q5H</t>
  </si>
  <si>
    <t>Q6D</t>
  </si>
  <si>
    <t>Q6H</t>
  </si>
  <si>
    <t>Q6M</t>
  </si>
  <si>
    <t>Q72H</t>
  </si>
  <si>
    <t>Q7D</t>
  </si>
  <si>
    <t>Q7H</t>
  </si>
  <si>
    <t>Q8H</t>
  </si>
  <si>
    <t>Q96H</t>
  </si>
  <si>
    <t>Q9H</t>
  </si>
  <si>
    <t>QAM</t>
  </si>
  <si>
    <t>QD</t>
  </si>
  <si>
    <t>QH</t>
  </si>
  <si>
    <t>QHS</t>
  </si>
  <si>
    <t>QID</t>
  </si>
  <si>
    <t>QM</t>
  </si>
  <si>
    <t>QN</t>
  </si>
  <si>
    <t>QOD</t>
  </si>
  <si>
    <t>THRICE</t>
  </si>
  <si>
    <t>TID</t>
  </si>
  <si>
    <t>TWICE</t>
  </si>
  <si>
    <t>CL.C66726.FRM</t>
  </si>
  <si>
    <t>FRM</t>
  </si>
  <si>
    <t>C66726</t>
  </si>
  <si>
    <t>The form of the completed pharmaceutical product, e.g. tablet, capsule, injection, elixir, suppository. Dosage form can have a significant effect on the onset, duration and intensity of the pharmacological action of a drug. A pharmaceutical dosage form controls the rate at which the drug is released into the biological fluids. This release rate affects its intrinsic absorption pattern and therefore, the bioavailability of the drug.</t>
  </si>
  <si>
    <t>CDISC SDTM Pharmaceutical Dosage Form Terminology</t>
  </si>
  <si>
    <t>AEROSOL</t>
  </si>
  <si>
    <t>AEROSOL, FOAM</t>
  </si>
  <si>
    <t>AEROSOL, METERED</t>
  </si>
  <si>
    <t>AEROSOL, POWDER</t>
  </si>
  <si>
    <t>AEROSOL, SPRAY</t>
  </si>
  <si>
    <t>BAR, CHEWABLE</t>
  </si>
  <si>
    <t>BEAD</t>
  </si>
  <si>
    <t>BEAD, IMPLANT, EXTENDED RELEASE</t>
  </si>
  <si>
    <t>BLOCK</t>
  </si>
  <si>
    <t>CAPLET</t>
  </si>
  <si>
    <t>CAPSULE</t>
  </si>
  <si>
    <t>CAPSULE, COATED PELLETS</t>
  </si>
  <si>
    <t>CAPSULE, COATED</t>
  </si>
  <si>
    <t>CAPSULE, COATED, EXTENDED RELEASE</t>
  </si>
  <si>
    <t>CAPSULE, DELAYED RELEASE PELLETS</t>
  </si>
  <si>
    <t>CAPSULE, DELAYED RELEASE</t>
  </si>
  <si>
    <t>CAPSULE, EXTENDED RELEASE</t>
  </si>
  <si>
    <t>CAPSULE, FILM COATED, EXTENDED RELEASE</t>
  </si>
  <si>
    <t>CAPSULE, GELATIN COATED</t>
  </si>
  <si>
    <t>CAPSULE, HARD, EXTENDED RELEASE</t>
  </si>
  <si>
    <t>CAPSULE, IMMEDIATE RELEASE</t>
  </si>
  <si>
    <t>CAPSULE, LIQUID FILLED</t>
  </si>
  <si>
    <t>CAPSULE, SOFTGEL</t>
  </si>
  <si>
    <t>CAPSULE, SOFTGEL, EXTENDED RELEASE</t>
  </si>
  <si>
    <t>CEMENT</t>
  </si>
  <si>
    <t>CIGARETTE</t>
  </si>
  <si>
    <t>CLOTH</t>
  </si>
  <si>
    <t>CONCENTRATE</t>
  </si>
  <si>
    <t>CONE</t>
  </si>
  <si>
    <t>CORE, EXTENDED RELEASE</t>
  </si>
  <si>
    <t>CREAM</t>
  </si>
  <si>
    <t>CREAM, AUGMENTED</t>
  </si>
  <si>
    <t>CRYSTAL</t>
  </si>
  <si>
    <t>CULTURE</t>
  </si>
  <si>
    <t>DEPOT</t>
  </si>
  <si>
    <t>DIAPHRAGM</t>
  </si>
  <si>
    <t>DISC</t>
  </si>
  <si>
    <t>DOUCHE</t>
  </si>
  <si>
    <t>DRESSING</t>
  </si>
  <si>
    <t>DRUG DELIVERY SYSTEM</t>
  </si>
  <si>
    <t>ELIXIR</t>
  </si>
  <si>
    <t>EMULSION</t>
  </si>
  <si>
    <t>ENEMA</t>
  </si>
  <si>
    <t>EXTRACT</t>
  </si>
  <si>
    <t>FIBER, EXTENDED RELEASE</t>
  </si>
  <si>
    <t>FILM</t>
  </si>
  <si>
    <t>FILM, EXTENDED RELEASE</t>
  </si>
  <si>
    <t>FILM, SOLUBLE</t>
  </si>
  <si>
    <t>FOR SOLUTION</t>
  </si>
  <si>
    <t>FOR SUSPENSION</t>
  </si>
  <si>
    <t>FOR SUSPENSION, EXTENDED RELEASE</t>
  </si>
  <si>
    <t>GAS</t>
  </si>
  <si>
    <t>GEL</t>
  </si>
  <si>
    <t>GEL, CHEWABLE</t>
  </si>
  <si>
    <t>GEL, DENTIFRICE</t>
  </si>
  <si>
    <t>GEL, METERED</t>
  </si>
  <si>
    <t>GENERATOR</t>
  </si>
  <si>
    <t>GLOBULE</t>
  </si>
  <si>
    <t>GRAFT</t>
  </si>
  <si>
    <t>GRANULE</t>
  </si>
  <si>
    <t>GRANULE, DELAYED RELEASE</t>
  </si>
  <si>
    <t>GRANULE, EFFERVESCENT</t>
  </si>
  <si>
    <t>GRANULE, FOR SOLUTION</t>
  </si>
  <si>
    <t>GRANULE, FOR SUSPENSION</t>
  </si>
  <si>
    <t>GRANULE, FOR SUSPENSION, EXTENDED RELEASE</t>
  </si>
  <si>
    <t>GUM</t>
  </si>
  <si>
    <t>GUM, CHEWING</t>
  </si>
  <si>
    <t>GUM, RESIN</t>
  </si>
  <si>
    <t>IMPLANT</t>
  </si>
  <si>
    <t>INHALANT</t>
  </si>
  <si>
    <t>INHALATION VAPOR, CAPSULE</t>
  </si>
  <si>
    <t>INJECTABLE, LIPOSOMAL</t>
  </si>
  <si>
    <t>INJECTION</t>
  </si>
  <si>
    <t>INJECTION, EMULSION</t>
  </si>
  <si>
    <t>INJECTION, LIPID COMPLEX</t>
  </si>
  <si>
    <t>INJECTION, POWDER, FOR SOLUTION</t>
  </si>
  <si>
    <t>INJECTION, POWDER, FOR SUSPENSION</t>
  </si>
  <si>
    <t>INJECTION, POWDER, FOR SUSPENSION, EXTENDED RELEASE</t>
  </si>
  <si>
    <t>INJECTION, POWDER, LYOPHILIZED, FOR LIPOSOMAL SUSPENSION</t>
  </si>
  <si>
    <t>INJECTION, POWDER, LYOPHILIZED, FOR SOLUTION</t>
  </si>
  <si>
    <t>INJECTION, POWDER, LYOPHILIZED, FOR SUSPENSION</t>
  </si>
  <si>
    <t>INJECTION, POWDER, LYOPHILIZED, FOR SUSPENSION, EXTENDED RELEASE</t>
  </si>
  <si>
    <t>INJECTION, SOLUTION</t>
  </si>
  <si>
    <t>INJECTION, SOLUTION, CONCENTRATE</t>
  </si>
  <si>
    <t>INJECTION, SUSPENSION</t>
  </si>
  <si>
    <t>INJECTION, SUSPENSION, EXTENDED RELEASE</t>
  </si>
  <si>
    <t>INJECTION, SUSPENSION, LIPOSOMAL</t>
  </si>
  <si>
    <t>INJECTION, SUSPENSION, SONICATED</t>
  </si>
  <si>
    <t>INSERT</t>
  </si>
  <si>
    <t>INSERT, EXTENDED RELEASE</t>
  </si>
  <si>
    <t>INTRAUTERINE DEVICE</t>
  </si>
  <si>
    <t>IRRIGANT</t>
  </si>
  <si>
    <t>JELLY</t>
  </si>
  <si>
    <t>KIT</t>
  </si>
  <si>
    <t>LINER, DENTAL</t>
  </si>
  <si>
    <t>LINIMENT</t>
  </si>
  <si>
    <t>LIPSTICK</t>
  </si>
  <si>
    <t>LIQUID</t>
  </si>
  <si>
    <t>LIQUID, EXTENDED RELEASE</t>
  </si>
  <si>
    <t>LOTION</t>
  </si>
  <si>
    <t>LOTION, AUGMENTED</t>
  </si>
  <si>
    <t>LOTION/SHAMPOO</t>
  </si>
  <si>
    <t>LOZENGE</t>
  </si>
  <si>
    <t>MOUTHWASH</t>
  </si>
  <si>
    <t>OIL</t>
  </si>
  <si>
    <t>OINTMENT</t>
  </si>
  <si>
    <t>OINTMENT, AUGMENTED</t>
  </si>
  <si>
    <t>PACKING</t>
  </si>
  <si>
    <t>PASTE</t>
  </si>
  <si>
    <t>PASTE, DENTIFRICE</t>
  </si>
  <si>
    <t>PASTILLE</t>
  </si>
  <si>
    <t>PATCH</t>
  </si>
  <si>
    <t>PATCH, EXTENDED RELEASE</t>
  </si>
  <si>
    <t>PATCH, EXTENDED RELEASE, ELECTRICALLY CONTROLLED</t>
  </si>
  <si>
    <t>PELLET</t>
  </si>
  <si>
    <t>PELLET, IMPLANTABLE</t>
  </si>
  <si>
    <t>PELLETS, COATED, EXTENDED RELEASE</t>
  </si>
  <si>
    <t>PILL</t>
  </si>
  <si>
    <t>PLASTER</t>
  </si>
  <si>
    <t>POULTICE</t>
  </si>
  <si>
    <t>POWDER</t>
  </si>
  <si>
    <t>POWDER, DENTIFRICE</t>
  </si>
  <si>
    <t>POWDER, FOR SOLUTION</t>
  </si>
  <si>
    <t>POWDER, FOR SUSPENSION</t>
  </si>
  <si>
    <t>POWDER, METERED</t>
  </si>
  <si>
    <t>RING</t>
  </si>
  <si>
    <t>RINSE</t>
  </si>
  <si>
    <t>SALVE</t>
  </si>
  <si>
    <t>SHAMPOO</t>
  </si>
  <si>
    <t>SHAMPOO, SUSPENSION</t>
  </si>
  <si>
    <t>SOAP</t>
  </si>
  <si>
    <t>SOLID</t>
  </si>
  <si>
    <t>SOLUTION</t>
  </si>
  <si>
    <t>SOLUTION, CONCENTRATE</t>
  </si>
  <si>
    <t>SOLUTION, FOR SLUSH</t>
  </si>
  <si>
    <t>SOLUTION, GEL FORMING / DROPS</t>
  </si>
  <si>
    <t>SOLUTION, GEL FORMING, EXTENDED RELEASE</t>
  </si>
  <si>
    <t>SOLUTION/ DROPS</t>
  </si>
  <si>
    <t>SPONGE</t>
  </si>
  <si>
    <t>SPRAY</t>
  </si>
  <si>
    <t>SPRAY, METERED</t>
  </si>
  <si>
    <t>SPRAY, SUSPENSION</t>
  </si>
  <si>
    <t>STICK</t>
  </si>
  <si>
    <t>STRIP</t>
  </si>
  <si>
    <t>SUPPOSITORY</t>
  </si>
  <si>
    <t>SUPPOSITORY, EXTENDED RELEASE</t>
  </si>
  <si>
    <t>SUSPENSION</t>
  </si>
  <si>
    <t>SUSPENSION, EXTENDED RELEASE</t>
  </si>
  <si>
    <t>SUSPENSION/DROPS</t>
  </si>
  <si>
    <t>SUTURE</t>
  </si>
  <si>
    <t>SWAB</t>
  </si>
  <si>
    <t>SYRUP</t>
  </si>
  <si>
    <t>TABLET</t>
  </si>
  <si>
    <t>TABLET, CHEWABLE</t>
  </si>
  <si>
    <t>TABLET, COATED PARTICLES</t>
  </si>
  <si>
    <t>TABLET, COATED</t>
  </si>
  <si>
    <t>TABLET, DELAYED RELEASE PARTICLES</t>
  </si>
  <si>
    <t>TABLET, DELAYED RELEASE</t>
  </si>
  <si>
    <t>TABLET, EFFERVESCENT</t>
  </si>
  <si>
    <t>TABLET, EXTENDED RELEASE</t>
  </si>
  <si>
    <t>TABLET, FILM COATED</t>
  </si>
  <si>
    <t>TABLET, FILM COATED, EXTENDED RELEASE</t>
  </si>
  <si>
    <t>TABLET, FOR SOLUTION</t>
  </si>
  <si>
    <t>TABLET, FOR SUSPENSION</t>
  </si>
  <si>
    <t>TABLET, IMMEDIATE RELEASE</t>
  </si>
  <si>
    <t>TABLET, IMMEDIATE RELEASE, SOLID DISPERSION</t>
  </si>
  <si>
    <t>TABLET, MODIFIED RELEASE</t>
  </si>
  <si>
    <t>TABLET, MODIFIED RELEASE, LONG DURATION</t>
  </si>
  <si>
    <t>TABLET, MODIFIED RELEASE, SHORT DURATION</t>
  </si>
  <si>
    <t>TABLET, MULTILAYER</t>
  </si>
  <si>
    <t>TABLET, MULTILAYER, EXTENDED RELEASE</t>
  </si>
  <si>
    <t>TABLET, ORALLY DISINTEGRATING</t>
  </si>
  <si>
    <t>TABLET, ORALLY DISINTEGRATING, DELAYED RELEASE</t>
  </si>
  <si>
    <t>TABLET, SOLUBLE</t>
  </si>
  <si>
    <t>TABLET, SUGAR COATED</t>
  </si>
  <si>
    <t>TAMPON</t>
  </si>
  <si>
    <t>TAPE</t>
  </si>
  <si>
    <t>TINCTURE</t>
  </si>
  <si>
    <t>TROCHE</t>
  </si>
  <si>
    <t>VAGINAL RING</t>
  </si>
  <si>
    <t>WAFER</t>
  </si>
  <si>
    <t>aer</t>
  </si>
  <si>
    <t>A product that is packaged under pressure and contains therapeutically active ingredients that are released upon activation of an appropriate valve system; it is intended for topical application to the skin as well as local application into the nose (nasal aerosols), mouth (lingual aerosols), or lungs (inhalation aerosols).</t>
  </si>
  <si>
    <t>Aerosol Dosage Form</t>
  </si>
  <si>
    <t>A dosage form containing one or more active ingredients, surfactants, aqueous or non-aqueous liquids, and the propellants; if the propellant is in the internal (discontinuous) phase (i.e., of the oil-in-water type), a stable foam is discharged, and if the propellant is in the external (continuous) phase (i.e., of the water-in-oil type), a spray or a quick-breaking foam is discharged.</t>
  </si>
  <si>
    <t>Aerosol Foam Dosage Form</t>
  </si>
  <si>
    <t>A pressurized dosage form consisting of metered dose valves which allow for the delivery of a uniform quantity of spray upon each activation. (NCI)</t>
  </si>
  <si>
    <t>Metered Aerosol Dosage Form</t>
  </si>
  <si>
    <t>A product that is packaged under pressure and contains therapeutically active ingredients, in the form of a powder, that are released upon activation of an appropriate valve system. (NCI)</t>
  </si>
  <si>
    <t>Powder Aerosol Dosage Form</t>
  </si>
  <si>
    <t>An aerosol product which utilizes a compressed gas as the propellant to provide the force necessary to expel the product as a wet spray; it is applicable to solutions of medicinal agents in aqueous solvents. (NCI)</t>
  </si>
  <si>
    <t>Aerosol Spray Dosage Form</t>
  </si>
  <si>
    <t>A solid dosage form usually in the form of a rectangle that is meant to be chewed. (NCI)</t>
  </si>
  <si>
    <t>Chewable Bar Dosage Form</t>
  </si>
  <si>
    <t>A solid dosage form in the shape of a small ball. (NCI)</t>
  </si>
  <si>
    <t>Bead Dosage Form</t>
  </si>
  <si>
    <t>A small sterile solid mass consisting of a highly purified drug intended for implantation in the body which would allow at least a reduction in dosing frequency as compared to that drug presented as a conventional dosage form. (NCI)</t>
  </si>
  <si>
    <t>Extended Release Bead Implant Dosage Form</t>
  </si>
  <si>
    <t>Solid dosage form, usually in the shape of a square or rectangle. (NCI)</t>
  </si>
  <si>
    <t>Block Dosage Form</t>
  </si>
  <si>
    <t>A solid dosage form in which a tablet has been compacted into capsule shape.</t>
  </si>
  <si>
    <t>Caplet Dosage Form</t>
  </si>
  <si>
    <t>cap</t>
  </si>
  <si>
    <t>A solid pharmaceutical dosage form that contains medicinal agent within either a hard or soft soluble container or shell, usually used for the oral administration of medicine. The shells are made of a suitable form of gelatin or other substance. (NCI)</t>
  </si>
  <si>
    <t>Capsule Dosage Form</t>
  </si>
  <si>
    <t>A solid dosage form in which the drug is enclosed within either a hard or soft soluble container or 'shell' made from a suitable form of gelatin; the drug itself is in the form of granules to which varying amounts of coating have been applied. (NCI)</t>
  </si>
  <si>
    <t>Coated Pellet in Capsule Dosage Form</t>
  </si>
  <si>
    <t>A solid dosage form in which the drug is enclosed within either a hard or soft soluble container or "shell" made from a suitable form of gelatin; additionally, the capsule is covered in a designated coating.</t>
  </si>
  <si>
    <t>Coated Capsule Dosage Form</t>
  </si>
  <si>
    <t>A solid dosage form in which the drug is enclosed within either a hard or soft soluble container or "shell" made from a suitable form of gelatin; additionally, the capsule is covered in a designated coating, and which releases a drug (or drugs) in such a manner to allow at least a reduction in dosing frequency as compared to that drug (or drugs) presented as a conventional dosage form.</t>
  </si>
  <si>
    <t>Extended Release Coated Capsule Dosage Form</t>
  </si>
  <si>
    <t>A solid dosage form in which the drug is enclosed within either a hard or soft soluble container or "shell" made from a suitable form of gelatin; the drug itself is in the form of granules to which enteric coating has been applied, thus delaying release of the drug until its passage into the intestines.</t>
  </si>
  <si>
    <t>Delayed Release Pellet in Capsule Dosage Form</t>
  </si>
  <si>
    <t>A solid dosage form in which the drug is enclosed within either a hard or soft soluble container made from a suitable form of gelatin, and which releases a drug (or drugs) at a time other than promptly after administration. Enteric-coated articles are delayed release dosage forms. (NCI)</t>
  </si>
  <si>
    <t>Delayed Release Capsule Dosage Form</t>
  </si>
  <si>
    <t>A solid dosage form in which the drug is enclosed within either a hard or soft soluble container made from a suitable form of gelatin, and which releases a drug (or drugs) in such a manner to allow a reduction in dosing frequency as compared to that drug (or drugs) presented as a conventional dosage form. (NCI)</t>
  </si>
  <si>
    <t>Extended Release Capsule Dosage Form</t>
  </si>
  <si>
    <t>A solid dosage form in which the drug is enclosed within either a hard or soft soluble container or 'shell' made from a suitable form of gelatin; additionally, the capsule is covered in a designated film coating, and which releases a drug (or drugs) in such a manner to allow at least a reduction in dosing frequency as compared to that drug (or drugs) presented as a conventional dosage form.</t>
  </si>
  <si>
    <t>Extended Release Film Coated Capsule Dosage Form</t>
  </si>
  <si>
    <t>A solid dosage form in which the drug is enclosed within either a hard or soft soluble container made from a suitable form of gelatin; through a banding process, the capsule is coated with additional layers of gelatin so as to form a complete seal. (NCI)</t>
  </si>
  <si>
    <t>Gelatin Coated Capsule Dosage Form</t>
  </si>
  <si>
    <t>A capsule, covered with a rigid outer shell, that is designed to release active and/or inert ingredient(s) at a controlled, prolonged rate so as to reduce dosing frequency.</t>
  </si>
  <si>
    <t>Extended Release Capsule, Hard Dosage Form</t>
  </si>
  <si>
    <t>A solid dosage form in which the drug is enclosed within either a hard or soft soluble container, which is designed to release its active and/or inert ingredient(s) immediately upon administration.</t>
  </si>
  <si>
    <t>Immediate Release Capsule Dosage Form</t>
  </si>
  <si>
    <t>A solid dosage form in which the drug is enclosed within a soluble, gelatin shell which is plasticized by the addition of a polyol, such as sorbitol or glycerin, and is therefore of a somewhat thicker consistency than that of a hard shell capsule; typically, the active ingredients are dissolved or suspended in a liquid vehicle. (NCI)</t>
  </si>
  <si>
    <t>Liquid Filled Capsule Dosage Form</t>
  </si>
  <si>
    <t>A capsule, covered with a soft gelatin shell and containing a liquid, suspension, or semisolid, that is designed to release active and/or inert ingredient(s).</t>
  </si>
  <si>
    <t>Capsule Softgel Pharmaceutical Dosage Form</t>
  </si>
  <si>
    <t>A capsule, covered with a soft gelatin shell and containing a liquid, suspension, or semisolid, that is designed to release active and/or inert ingredient(s) at a controlled, prolonged rate so as to reduce dosing frequency.</t>
  </si>
  <si>
    <t>Extended Release Capsule, Softgel Dosage Form</t>
  </si>
  <si>
    <t>A substance that serves to produce solid union between two surfaces. (NCI)</t>
  </si>
  <si>
    <t>Cement Dosage Form</t>
  </si>
  <si>
    <t>A narrow tube filled with material that is capable to burn with release of therapeutically-active substance(s) during the process of smoking. Cigarette is a very efficient drug-delivery inhaler system for fast-acting substances.</t>
  </si>
  <si>
    <t>Cigarette Dosage Form</t>
  </si>
  <si>
    <t>A large piece of relatively flat, absorbent material that contains a drug. It is typically used for applying medication or for cleansing.</t>
  </si>
  <si>
    <t>Cloth Dosage Form</t>
  </si>
  <si>
    <t>A liquid preparation of increased strength and reduced volume which is usually diluted prior to administration. (NCI)</t>
  </si>
  <si>
    <t>Concentrated Dosage Form</t>
  </si>
  <si>
    <t>A solid dosage form bounded by a circular base and the surface formed by line segments joining every point of the boundary of the base to a common vertex. A cone (usually containing antibiotics) is normally placed below the gingiva after a dental extraction. (NCI)</t>
  </si>
  <si>
    <t>Cone Dosage Form</t>
  </si>
  <si>
    <t>An ocular system placed in the eye from which the drug diffuses through a membrane at a constant rate over a specified period. (NCI)</t>
  </si>
  <si>
    <t>Extended Release Core Dosage Form</t>
  </si>
  <si>
    <t>A semisolid emulsion of either the oil-in-water or the water-in-oil type, ordinarily intended for topical use. (NCI)</t>
  </si>
  <si>
    <t>Cream Dosage Form</t>
  </si>
  <si>
    <t>A cream dosage form that enhances drug delivery. Augmentation does not refer to the strength of the drug in the dosage form. NOTE: CDER has decided to refrain from expanding the use of this dosage form due to difficulties in setting specific criteria that must be met to be considered augmented.</t>
  </si>
  <si>
    <t>Augmented Cream Dosage Form</t>
  </si>
  <si>
    <t>A naturally produced angular solid of definite form in which the ultimate units from which it is built up are systematically arranged; they are usually evenly spaced on a regular space lattice.</t>
  </si>
  <si>
    <t>Crystal Dosage Form</t>
  </si>
  <si>
    <t>The propagation of microorganisms or of living tissue cells in special media conducive to their growth. (NCI)</t>
  </si>
  <si>
    <t>Culture Dosage Form</t>
  </si>
  <si>
    <t>Depot Extended Release Dosage Form</t>
  </si>
  <si>
    <t>Parenteral sustained-release systems of microparticles, implants, or biodegradable polymer-excipients designed to release their active pharmaceutical ingredient over a prolonged period of time.</t>
  </si>
  <si>
    <t>Extended Release Depot Dosage Form</t>
  </si>
  <si>
    <t>A device usually dome-shaped, worn during copulation over the cervical mouth for prevention of conception or infection. (NCI)</t>
  </si>
  <si>
    <t>Vaginal Diaphragm Dosage Form</t>
  </si>
  <si>
    <t>A circular plate-like organ or structure.</t>
  </si>
  <si>
    <t>Disc Dosage Form</t>
  </si>
  <si>
    <t>A liquid preparation, intended for the irrigative cleansing of the vagina, that is prepared from powders, liquid solutions, or liquid concentrates and contains one or more chemical substances dissolved in a suitable solvent or mutually miscible solvents. (NCI)</t>
  </si>
  <si>
    <t>Douche Dosage Form</t>
  </si>
  <si>
    <t>The application of various materials for protecting a wound.</t>
  </si>
  <si>
    <t>Dressing Dosage Form</t>
  </si>
  <si>
    <t>Modern technology, distributed with or as a part of a drug product that allows for the uniform release or targeting of drugs to the body.</t>
  </si>
  <si>
    <t>Drug Delivery System</t>
  </si>
  <si>
    <t>A clear, pleasantly flavored, sweetened hydroalcoholic liquid containing dissolved medicinal agents; it is intended for oral use. (NCI)</t>
  </si>
  <si>
    <t>Elixir Dosage Form</t>
  </si>
  <si>
    <t>A dosage form consisting of a two-phase system comprised of at least two immiscible liquids (1), one of which is dispersed as droplets (internal or dispersed phase) within the other liquid (external or continuous phase), generally stabilized with one or more emulsifying agents. Note 1: A liquid is pourable; it flows and conforms to its container at room temperature. It displays Newtonian or pseudoplastic flow behavior. Note 2: Emulsion is used as a dosage form term unless a more specific term is applicable, e.g. cream, lotion, ointment. (NCI)</t>
  </si>
  <si>
    <t>Emulsion Dosage Form</t>
  </si>
  <si>
    <t>A rectal preparation for therapeutic, diagnostic, or nutritive purposes. (NCI)</t>
  </si>
  <si>
    <t>Enema Dosage Form</t>
  </si>
  <si>
    <t>A concentrated preparation of vegetable or animal drugs obtained by removal of the active constituents of the respective drugs with a suitable menstrua, evaporation of all or nearly all of the solvent, and adjustment of the residual masses or powders to the prescribed standards. (NCI)</t>
  </si>
  <si>
    <t>Extract Dosage Form</t>
  </si>
  <si>
    <t>A slender and elongated solid thread-like substance that delivers drug in such a manner to allow a reduction in dosing frequency as compared to that drug (or drugs) presented as a conventional dosage form.</t>
  </si>
  <si>
    <t>Extended Release Fiber Dosage Form</t>
  </si>
  <si>
    <t>A thin layer or coating. (NCI)</t>
  </si>
  <si>
    <t>Film Dosage Form</t>
  </si>
  <si>
    <t>A drug delivery system in the form of a film that releases the drug over an extended period in such a way as to maintain constant drug levels in the blood or target tissue. (NCI)</t>
  </si>
  <si>
    <t>Extended Release Film Dosage Form</t>
  </si>
  <si>
    <t>A thin layer or coating which is susceptible to being dissolved when in contact with a liquid. (NCI)</t>
  </si>
  <si>
    <t>Soluble Film Dosage Form</t>
  </si>
  <si>
    <t>A product, usually a solid, intended for solution prior to administration.</t>
  </si>
  <si>
    <t>Dosage Form for Solution</t>
  </si>
  <si>
    <t>A product, usually a solid, intended for suspension prior to administration.</t>
  </si>
  <si>
    <t>Dosage Form for Suspension</t>
  </si>
  <si>
    <t>A product, usually a solid, intended for suspension prior to administration; once the suspension is administered, the drug will be released at a constant rate over a specified period.</t>
  </si>
  <si>
    <t>Extended Release Dosage Form for Suspension</t>
  </si>
  <si>
    <t>Any elastic aeriform fluid in which the molecules are separated from one another and have free paths. (NCI)</t>
  </si>
  <si>
    <t>Gas Dosage Form</t>
  </si>
  <si>
    <t>A semisolid (1) dosage form that contains a gelling agent to provide stiffness to a solution or a colloidal dispersion (2). A gel may contain suspended particles. Note 1: A semisolid is not pourable; it does not flow or conform to its container at room temperature. It does not flow at low shear stress and generally exhibits plastic flow behavior. Note 2: A colloidal dispersion is a system in which particles of colloidal dimension (i.e., typically between 1 nm and 1 micrometer) are distributed uniformly throughout a liquid.</t>
  </si>
  <si>
    <t>Gel Dosage Form</t>
  </si>
  <si>
    <t>Gummie; Gummy</t>
  </si>
  <si>
    <t>A formed or molded oral gel dosage form that maintains its shape, is elastic, and yields to mastication. (NCI)</t>
  </si>
  <si>
    <t>Chewable Gel Dosage Form</t>
  </si>
  <si>
    <t>A combination of a dentifrice (formulation intended to clean and/or polish the teeth, and which may contain certain additional agents), and a gel. It is used with a toothbrush for the purpose of cleaning and polishing the teeth. (NCI)</t>
  </si>
  <si>
    <t>Dentifrice Gel Dosage Form</t>
  </si>
  <si>
    <t>A gel preparation, with metered dose valves, which allow for the delivery of a uniform quantity of gel upon each activation.</t>
  </si>
  <si>
    <t>Metered Gel Dosage Form</t>
  </si>
  <si>
    <t>An apparatus for the formation of vapor or gas from a liquid or solid by heat or chemical action. The term GENERATOR also applies to radioactive columns from which radionuclides are provided. (NCI)</t>
  </si>
  <si>
    <t>Generator Dosage Form</t>
  </si>
  <si>
    <t>Also called pellets or pilules, are made of pure sucrose, lactose, or other polysaccharides. They are formed into small globular masses of various sizes, and are medicated by placing them in a vial and adding the liquid drug attenuation in the proportion not less than one percent (v/w). After shaking, the medicated globules are dried at temperatures not to exceed 40 degrees Centigrade. (NCI)</t>
  </si>
  <si>
    <t>Globule Dosage Form</t>
  </si>
  <si>
    <t>A slip of skin or of other tissue for implantation. (NCI)</t>
  </si>
  <si>
    <t>Graft Dosage Form</t>
  </si>
  <si>
    <t>A small particle or grain. (NCI)</t>
  </si>
  <si>
    <t>Granule Dosage Form</t>
  </si>
  <si>
    <t>A small medicinal particle or grain to which an enteric or other coating has been applied, thus delaying release of the drug until its passage into the intestines. (NCI)</t>
  </si>
  <si>
    <t>Delayed Release Granule Dosage Form</t>
  </si>
  <si>
    <t>A small particle or grain containing a medicinal agent in a dry mixture usually composed of sodium bicarbonate, citric acid, and tartaric acid which, when in contact with water, has the capability to release gas, resulting in effervescence. (NCI)</t>
  </si>
  <si>
    <t>Effervescent Granule Dosage Form</t>
  </si>
  <si>
    <t>A small medicinal particle or grain made available in its more stable dry form, to be reconstituted with solvent just before dispensing; the granules are so prepared to contain not only the medicinal agent, but the colorants, flavorants, and any other desired pharmaceutic ingredient. (NCI)</t>
  </si>
  <si>
    <t>Granule for Solution Dosage Form</t>
  </si>
  <si>
    <t>A small medicinal particle or grain made available in its more stable dry form, to be reconstituted with solvent just before dispensing to form a suspension; the granules are so prepared to contain not only the medicinal agent, but the colorants, flavorants, and any other desired pharmaceutic ingredient. (NCI)</t>
  </si>
  <si>
    <t>Granule for Suspension Dosage Form</t>
  </si>
  <si>
    <t>A small medicinal particle or grain made available in its more stable dry form, to be reconstituted with solvent just before dispensing to form a suspension; the extended release system achieves slow release of the drug over an extended period of time and maintains constant drug levels in the blood or target tissue. (NCI)</t>
  </si>
  <si>
    <t>Extended Release Granule for Suspension Dosage Form</t>
  </si>
  <si>
    <t>A mucilaginous excretion from various plants. (NCI)</t>
  </si>
  <si>
    <t>Gum Dosage Form</t>
  </si>
  <si>
    <t>A sweetened and flavored insoluble plastic material of various shapes which when chewed, releases a drug substance into the oral cavity. (NCI)</t>
  </si>
  <si>
    <t>Chewing Gum Dosage Form</t>
  </si>
  <si>
    <t>Natural mixture of gum and resin, usually obtained as exudations from plants. (NCI)</t>
  </si>
  <si>
    <t>Resin Gum Dosage Form</t>
  </si>
  <si>
    <t>A material containing drug intended to be inserted securely and deeply in a living site for growth, slow release, or formation of an organic union. (NCI)</t>
  </si>
  <si>
    <t>Implant Dosage Form</t>
  </si>
  <si>
    <t>A special class of inhalations consisting of a drug or combination of drugs, that by virtue of their high vapor pressure, can be carried by an air current into the nasal passage where they exert their effect; the container from which the inhalant generally is administered is known as an inhaler. (NCI)</t>
  </si>
  <si>
    <t>Inhalant Dosage Form</t>
  </si>
  <si>
    <t>Capsule for Inhalation</t>
  </si>
  <si>
    <t>Solid preparation consisting of a capsule formulation intended for generation of vapor to be inhaled to obtain a local effect. The vapor is usually generated by adding the whole capsule or the capsule contents to hot water. (EDQM)</t>
  </si>
  <si>
    <t>Inhalation Vapor, Capsule Dosage Form</t>
  </si>
  <si>
    <t>An injection, which either consists of or forms liposomes (a lipid bilayer vesicle usually composed of phospholipids which is used to encapsulate an active drug substance).</t>
  </si>
  <si>
    <t>Liposomal Injection Dosage Form</t>
  </si>
  <si>
    <t>A sterile preparation intended for parenteral use; five distinct classes of injections exist as defined by the USP. (NCI)</t>
  </si>
  <si>
    <t>Injectable Dosage Form</t>
  </si>
  <si>
    <t>An emulsion consisting of a sterile, pyrogen-free preparation intended to be administered parenterally.</t>
  </si>
  <si>
    <t>Emulsion for Injection Dosage Form</t>
  </si>
  <si>
    <t>A substance composed of complexed active and/or inert ingredient(s) with natural or synthetic lipids that is intended for injection. (NCI)</t>
  </si>
  <si>
    <t>Injectable Lipid Complex Dosage Form</t>
  </si>
  <si>
    <t>A sterile preparation intended for reconstitution to form a solution for parenteral use. (NCI)</t>
  </si>
  <si>
    <t>Powder for Injectable Solution Dosage Form</t>
  </si>
  <si>
    <t>A sterile preparation intended for reconstitution to form a suspension for parenteral use. (NCI)</t>
  </si>
  <si>
    <t>Powder for Injectable Suspension Dosage Form</t>
  </si>
  <si>
    <t>A dried preparation intended for reconstitution to form a suspension for parenteral use which has been formulated in a manner to allow at least a reduction in dosing frequency as compared to that drug presented as a conventional dosage form (e.g., as a solution).</t>
  </si>
  <si>
    <t>Powder for Injectable Extended Release Suspension Dosage Form</t>
  </si>
  <si>
    <t>A sterile freeze dried preparation intended for reconstitution for parenteral use which has been formulated in a manner that would allow liposomes (a lipid bilayer vesicle usually composed of phospholipids which is used to encapsulate an active drug substance, either within a lipid bilayer or in an aqueous space) to be formed upon reconstitution. (NCI)</t>
  </si>
  <si>
    <t>Lyophilized Powder for Injectable Liposomal Suspension Dosage Form</t>
  </si>
  <si>
    <t>A dosage form intended for the solution prepared by lyophilization ('freeze drying'), a process which involves the removal of water from products in the frozen state at extremely low pressures; this is intended for subsequent addition of liquid to create a solution that conforms in all respects to the requirements for Injections. (NCI)</t>
  </si>
  <si>
    <t>Lyophilized Powder for Injectable Solution Dosage Form</t>
  </si>
  <si>
    <t>A liquid preparation, intended for parenteral use, that contains solids suspended in a suitable fluid medium and conforms in all respects to the requirements for Sterile Suspensions; the medicinal agents intended for the suspension are prepared by lyophilization ("freeze drying"), a process which involves the removal of water from products in the frozen state at extremely low pressures.</t>
  </si>
  <si>
    <t>Lyophilized Powder for Injectable Suspension Dosage Form</t>
  </si>
  <si>
    <t>A sterile freeze dried preparation intended for reconstitution for parenteral use which has been formulated in a manner to allow at least a reduction in dosing frequency as compared to that drug presented as a conventional dosage form (e.g., as a solution). (NCI)</t>
  </si>
  <si>
    <t>Lyophilized Powder for Extended Release Injectable Suspension Dosage Form</t>
  </si>
  <si>
    <t>A liquid preparation containing one or more drug substances dissolved in a suitable solvent or mixture of mutually miscible solvents that is suitable for injection. (NCI)</t>
  </si>
  <si>
    <t>Injectable Solution Dosage Form</t>
  </si>
  <si>
    <t>A sterile preparation for parenteral use which, upon the addition of suitable solvents, yields a solution conforming in all respects to the requirements for Injections. (NCI)</t>
  </si>
  <si>
    <t>Concentrated Injectable Solution Dosage Form</t>
  </si>
  <si>
    <t>A liquid preparation, suitable for injection, which consists of solid particles dispersed throughout a liquid phase in which the particles are not soluble. It can also consist of an oil phase dispersed throughout an aqueous phase, or vice-versa. (NCI)</t>
  </si>
  <si>
    <t>Injectable Suspension Dosage Form</t>
  </si>
  <si>
    <t>A sterile preparation intended for parenteral use which has been formulated in a manner to allow at least a reduction in dosing frequency as compared to that drug presented as a conventional dosage form (e.g., as a solution or a prompt drug-releasing, conventional solid dosage form). (NCI)</t>
  </si>
  <si>
    <t>Injectable Extended Release Suspension Dosage Form</t>
  </si>
  <si>
    <t>A liquid parenteral pharmaceutical dosage form structured as a multilamellar composition of concentric phospholipid spheres that encapsulate the drug (drug delivery systems) separated by layers of water. Drug release is facilitated and controlled by in vivo erosion of the liposomes. To further increase the in vivo circulation time, liposomes in some preparations are covalently derivatized with PEG to produce PEGylated or stealth liposomes. Covalent attachment of drugs to the outer surface of liposomes can potentially serve as a delayed-release product. (NCI)</t>
  </si>
  <si>
    <t>Injectable Liposomal Suspension Dosage Form</t>
  </si>
  <si>
    <t>A liquid preparation, suitable for injection, which consists of solid particles dispersed throughout a liquid phase in which the particles are not soluble. In addition, the product is sonicated while a gas is bubbled through the suspension, and this results in the formation of microspheres by the solid particles. (NCI)</t>
  </si>
  <si>
    <t>Injectable Sonicated Suspension Dosage Form</t>
  </si>
  <si>
    <t>A specially formulated and shaped non-encapsulated solid preparation intended to be placed into a non-rectal orifice of the body, where drug is released, generally for localized effects.</t>
  </si>
  <si>
    <t>Insert Dosage Form</t>
  </si>
  <si>
    <t>A specially formulated and shaped solid preparation (e.g., ring, tablet, or stick) intended to be placed in the vagina by special inserters, where the medication is released, generally for localized effects; the extended release preparation is designed to allow a reduction in dosing frequency. (NCI)</t>
  </si>
  <si>
    <t>Extended Release Insert Dosage Form</t>
  </si>
  <si>
    <t>A device inserted and left in the uterus to prevent effective conception. (NCI)</t>
  </si>
  <si>
    <t>Intrauterine Device Dosage Form</t>
  </si>
  <si>
    <t>A sterile solution intended to bathe or flush open wounds or body cavities; they're used topically, never parenterally. (NCI)</t>
  </si>
  <si>
    <t>Irrigant Dosage Form</t>
  </si>
  <si>
    <t>A class of gels--semisolid systems which consist of suspensions made up of either small inorganic particles or large organic molecules interpenetrated by a liquid--in which the structural coherent matrix contains a high portion of liquid, usually water. (NCI)</t>
  </si>
  <si>
    <t>Jelly Dosage Form</t>
  </si>
  <si>
    <t>A packaged collection of related material. (NCI)</t>
  </si>
  <si>
    <t>Kit Dosage Form</t>
  </si>
  <si>
    <t>A material applied to the inside of the dental cavity, for protection or insulation of the surface.</t>
  </si>
  <si>
    <t>Dental Liner Dosage Form</t>
  </si>
  <si>
    <t>A solution or mixture of various substances in oil, alcoholic solutions of soap, or emulsions intended for external application. (NCI)</t>
  </si>
  <si>
    <t>Liniment Dosage Form</t>
  </si>
  <si>
    <t>A waxy solid, usually colored cosmetic, in stick form for the lips. (NCI)</t>
  </si>
  <si>
    <t>Lipstick Dosage Form</t>
  </si>
  <si>
    <t>A dosage form consisting of a pure chemical in its liquid state. This dosage form term should not be applied to solutions. Note: A liquid is pourable; it flows and conforms to its container at room temperature. It displays Newtonian or pseudoplastic flow behavior.</t>
  </si>
  <si>
    <t>Liquid Dosage Form</t>
  </si>
  <si>
    <t>A liquid that delivers a drug in such a manner to allow a reduction in dosing frequency as compared to that drug (or drugs) presented as a conventional dosage form.</t>
  </si>
  <si>
    <t>Extended Release Liquid Dosage Form</t>
  </si>
  <si>
    <t>An emulsion, liquid (1) dosage form. This dosage form is generally for external application to the skin (2). Note 1: A liquid is pourable; it flows and conforms to its container at room temperature. It displays Newtonian or pseudoplastic flow behavior. Note 2: Previously the definition of a lotion was: The term lotion has been used to categorize many topical suspensions, solutions, and emulsions intended for application to the skin. The current definition of a lotion is restricted to an emulsion.</t>
  </si>
  <si>
    <t>Lotion Dosage Form</t>
  </si>
  <si>
    <t>A lotion dosage form that enhances drug delivery. Augmentation does not refer to the strength of the drug in the dosage form. NOTE: CDER has decided to refrain from expanding the use of this dosage form due to difficulties in setting specific criteria that must be met to be considered augmented.</t>
  </si>
  <si>
    <t>Augmented Lotion Dosage Form</t>
  </si>
  <si>
    <t>A lotion dosage form which has a soap or detergent that is usually used to clean the hair and scalp; it is often used as a vehicle for dermatologic agents.</t>
  </si>
  <si>
    <t>Lotion Shampoo Dosage Form</t>
  </si>
  <si>
    <t>A solid preparation containing one or more medicaments, usually in a flavored, sweetened base which is intended to dissolve or disintegrate slowly in the mouth. A lollipop is a lozenge on a stick.</t>
  </si>
  <si>
    <t>Lozenge Dosage Form</t>
  </si>
  <si>
    <t>An aqueous solution which is most often used for its deodorant, refreshing, or antiseptic effect. (NCI)</t>
  </si>
  <si>
    <t>Mouthwash Dosage Form</t>
  </si>
  <si>
    <t>The use of a dosage form term is not relevant or appropriate. (NCI)</t>
  </si>
  <si>
    <t>Dosage Form Not Applicable</t>
  </si>
  <si>
    <t>An unctuous, combustible substance which is liquid, or easily liquefiable, on warming, and is soluble in ether but insoluble in water. Such substances, depending on their origin, are classified as animal, mineral, or vegetable oils. (NCI)</t>
  </si>
  <si>
    <t>Oil Dosage Form</t>
  </si>
  <si>
    <t>oint</t>
  </si>
  <si>
    <t>A suspension or emulsion, semisolid (1) dosage form, usually containing less than 20 percent water and volatiles (2) and greater than 50 percent hydrocarbons, waxes, or polyols as the vehicle. This dosage form is generally for external application to the skin or mucous membranes. Note 1: A semisolid is not pourable; it does not flow or conform to its container at room temperature. It does not flow at low shear stress and generally exhibits plastic flow behavior. Note 2: Percent water and volatiles are measured by a loss on drying test in which the sample is heated at 105 degrees C until constant weight is achieved.</t>
  </si>
  <si>
    <t>Ointment Dosage Form</t>
  </si>
  <si>
    <t>An ointment dosage form that enhances drug delivery. Augmentation does not refer to the strength of the drug in the dosage form. NOTE: CDER has decided to refrain from expanding the use of this dosage form due to difficulties in setting specific criteria that must be met to be considered augmented.</t>
  </si>
  <si>
    <t>Augmented Ointment Dosage Form</t>
  </si>
  <si>
    <t>A material, usually covered by or impregnated with a drug, that is inserted into a body cavity or between the tooth enamel and the gingival margin.</t>
  </si>
  <si>
    <t>Packing Dosage Form</t>
  </si>
  <si>
    <t>A semisolid dosage form, containing a large proportion (20 - 50%) of solids finely dispersed in a fatty vehicle. This dosage form is generally for external application to the skin or mucous membranes. Note: A semisolid is not pourable; it does not flow or conform to its container at room temperature. It does not flow at low shear stress and generally exhibits plastic flow behavior. (NCI)</t>
  </si>
  <si>
    <t>Paste Dosage Form</t>
  </si>
  <si>
    <t>A paste formulation intended to clean and/or polish the teeth, and which may contain certain additional agents. (NCI)</t>
  </si>
  <si>
    <t>Dentifrice Paste Dosage Form</t>
  </si>
  <si>
    <t>An aromatic preparation, often with a pleasing flavor, usually intended to dissolve in the mouth.</t>
  </si>
  <si>
    <t>Pastille Dosage Form</t>
  </si>
  <si>
    <t>A drug delivery system that often contains an adhesive backing that is usually applied to an external site on the body. Its ingredients either passively diffuse from, or are actively transported from, some portion of the patch. Depending upon the patch, the ingredients are either delivered to the outer surface of the body or into the body. A patch is sometimes synonymous with the terms Extended Release Film and System.</t>
  </si>
  <si>
    <t>Patch Dosage Form</t>
  </si>
  <si>
    <t>A drug delivery system in the form of a patch that releases the drug in such a manner that a reduction in dosing frequency compared to that drug presented as a conventional dosage form (e.g., a solution or a prompt drug-releasing, conventional solid dosage form). (NCI)</t>
  </si>
  <si>
    <t>Extended Release Patch Dosage Form</t>
  </si>
  <si>
    <t>A drug delivery system in the form of a patch which is controlled by an electric current that releases the drug in such a manner that a reduction in dosing frequency compared to that drug presented as a conventional dosage form (e.g., a solution or a prompt drug-releasing, conventional solid dosage form). (NCI)</t>
  </si>
  <si>
    <t>Electrically Controlled Extended Release Patch Dosage Form</t>
  </si>
  <si>
    <t>A small sterile solid mass consisting of a highly purified drug (with or without excipients) made by the formation of granules, or by compression and molding. (NCI)</t>
  </si>
  <si>
    <t>Pellet Dosage Form</t>
  </si>
  <si>
    <t>A small sterile solid mass consisting of a highly purified drug (with or without excipients) made by the formation of granules, or by compression and molding; they are intended for implantation in the body (usually subcutaneously) for the purpose of providing continuous release of the drug over long periods of time.</t>
  </si>
  <si>
    <t>Implantable Pellet Dosage Form</t>
  </si>
  <si>
    <t>A solid dosage form in which the drug itself is in the form of granules to which varying amounts of coating have been applied, and which releases a drug (or drugs) in such a manner to allow a reduction in dosing frequency as compared to that drug (or drugs) presented as a conventional dosage form. (NCI)</t>
  </si>
  <si>
    <t>Extended Release Coated Pellet Dosage Form</t>
  </si>
  <si>
    <t>A dose of medicine in the form of a small pellet. (NCI)</t>
  </si>
  <si>
    <t>Pill Dosage Form</t>
  </si>
  <si>
    <t>Substance intended for external application made of such materials and of such consistency as to adhere to the skin and attach to a dressing; plasters are intended to afford protection and support and/or to furnish an occlusion and macerating action and to bring medication into close contact with the skin.</t>
  </si>
  <si>
    <t>Plaster Dosage Form</t>
  </si>
  <si>
    <t>A soft, moist mass of meal, herbs, seed, etc., usually applied hot in cloth that consists of gruel-like consistency. (NCI)</t>
  </si>
  <si>
    <t>Poultice Dosage Form</t>
  </si>
  <si>
    <t>An intimate mixture of dry, finely divided drugs and/or chemicals that may be intended for internal or external use. (NCI)</t>
  </si>
  <si>
    <t>Powder Dosage Form</t>
  </si>
  <si>
    <t>A powder formulation intended to clean and/or polish the teeth, and which may contain certain additional agents. (NCI)</t>
  </si>
  <si>
    <t>Dentifrice Powder Dosage Form</t>
  </si>
  <si>
    <t>An intimate mixture of dry, finely divided drugs and/or chemicals, which, upon the addition of suitable vehicles, yields a solution. (NCI)</t>
  </si>
  <si>
    <t>Powder for Solution Dosage Form</t>
  </si>
  <si>
    <t>An intimate mixture of dry, finely divided drugs and/or chemicals, which, upon the addition of suitable vehicles, yields a suspension (a liquid preparation containing the solid particles dispersed in the liquid vehicle). (NCI)</t>
  </si>
  <si>
    <t>Powder for Suspension Dosage Form</t>
  </si>
  <si>
    <t>A powder dosage form that is situated inside a container that has a mechanism to deliver a specified quantity. (NCI)</t>
  </si>
  <si>
    <t>Metered Powder Dosage Form</t>
  </si>
  <si>
    <t>A small circular object with a vacant circular center that is usually intended to be placed in the body by special inserters, where the medication is released, generally for localized effects.</t>
  </si>
  <si>
    <t>Ring Dosage Form</t>
  </si>
  <si>
    <t>A liquid used to cleanse by flushing. (NCI)</t>
  </si>
  <si>
    <t>Rinse Dosage Form</t>
  </si>
  <si>
    <t>A thick ointment or cerate (a fat or wax based preparation with a consistency between an ointment and a plaster). (NCI)</t>
  </si>
  <si>
    <t>Salve Dosage Form</t>
  </si>
  <si>
    <t>A liquid soap or detergent used to clean the hair and scalp and is often used as a vehicle for dermatologic agents. (NCI)</t>
  </si>
  <si>
    <t>Shampoo Dosage Form</t>
  </si>
  <si>
    <t>A liquid soap or detergent containing one or more solid, insoluble substances dispersed in a liquid vehicle that is used to clean the hair and scalp and is often used as a vehicle for dermatologic agents. (NCI)</t>
  </si>
  <si>
    <t>Shampoo Suspension Dosage Form</t>
  </si>
  <si>
    <t>Any compound of one or more fatty acids, or their equivalents, with an alkali; soap is detergent and is much employed in liniments, enemas, and in making pills. It is also a mild aperient, antacid and antiseptic. (NCI)</t>
  </si>
  <si>
    <t>Soap Dosage Form</t>
  </si>
  <si>
    <t>A substance having definite shape and volume manufactured for the administration of active and/or inert ingredient(s). Solids may include, but are not limited to, tablets, capsules, powders, granules, and certain suppositories.</t>
  </si>
  <si>
    <t>Solid Dosage Form</t>
  </si>
  <si>
    <t>A clear, homogeneous liquid dosage form that contains one or more chemical substances dissolved in a solvent or mixture of mutually miscible solvents. Note: A liquid is pourable; it flows and conforms to its container at room temperature. It displays Newtonian or pseudoplastic flow behavior.</t>
  </si>
  <si>
    <t>Solution Dosage Form</t>
  </si>
  <si>
    <t>A liquid preparation (i.e., a substance that flows readily in its natural state) that contains a drug dissolved in a suitable solvent or mixture of mutually miscible solvents; the drug has been strengthened by the evaporation of its non-active parts. (NCI)</t>
  </si>
  <si>
    <t>Concentrated Solution Dosage Form</t>
  </si>
  <si>
    <t>A solution for the preparation of an iced saline slush, which is administered by irrigation and used to induce regional hypothermia (in conditions such as certain open heart and kidney surgical procedures) by its direct application. (NCI)</t>
  </si>
  <si>
    <t>Solution for Slush Dosage Form</t>
  </si>
  <si>
    <t>A solution, which after usually being administered in a drop-wise fashion, forms a gel.</t>
  </si>
  <si>
    <t>Gel Forming Drop Solution Dosage Form</t>
  </si>
  <si>
    <t>A solution that forms a gel when it comes in contact with ocular fluid, and which allows at least a reduction in dosing frequency.</t>
  </si>
  <si>
    <t>Extended Release Gel Forming Solution Dosage Form</t>
  </si>
  <si>
    <t>A solution which is usually administered in a drop-wise fashion.</t>
  </si>
  <si>
    <t>Drop Solution Dosage Form</t>
  </si>
  <si>
    <t>A porous, interlacing, absorbent material that contains a drug. It is typically used for applying or introducing medication, or for cleansing. A sponge usually retains its shape.</t>
  </si>
  <si>
    <t>Sponge Dosage Form</t>
  </si>
  <si>
    <t>A liquid minutely divided as by a jet of air or steam. (NCI)</t>
  </si>
  <si>
    <t>Spray Dosage Form</t>
  </si>
  <si>
    <t>A non-pressurized dosage form consisting of valves which allow the dispensing of a specified quantity of spray upon each activation. (NCI)</t>
  </si>
  <si>
    <t>Metered Spray Dosage Form</t>
  </si>
  <si>
    <t>A liquid preparation containing solid particles dispersed in a liquid vehicle and in the form of coarse droplets or as finely divided solids to be applied locally, most usually to the nasal-pharyngeal tract, or topically to the skin. (NCI)</t>
  </si>
  <si>
    <t>Spray Suspension Dosage Form</t>
  </si>
  <si>
    <t>A dosage form prepared in a relatively long and slender often cylindrical form. (NCI)</t>
  </si>
  <si>
    <t>Stick Dosage Form</t>
  </si>
  <si>
    <t>A long narrow piece of material.</t>
  </si>
  <si>
    <t>Strip Dosage Form</t>
  </si>
  <si>
    <t>supp</t>
  </si>
  <si>
    <t>A solid body of various weights and shapes, adapted for introduction into the rectal, vaginal, or urethral orifice of the human body; they usually melt, soften, or dissolve at body temperature.</t>
  </si>
  <si>
    <t>Suppository Dosage Form</t>
  </si>
  <si>
    <t>A drug delivery system in the form of a suppository that allows at least a reduction in dosing frequency. (NCI)</t>
  </si>
  <si>
    <t>Extended Release Suppository Dosage Form</t>
  </si>
  <si>
    <t>Ready to Use Suspension; susp</t>
  </si>
  <si>
    <t>A liquid dosage form that contains solid particles dispersed in a liquid vehicle. Note: A liquid is pourable; it flows and conforms to its container at room temperature. It displays Newtonian or pseudoplastic flow behavior.</t>
  </si>
  <si>
    <t>Suspension Dosage Form</t>
  </si>
  <si>
    <t>A liquid preparation consisting of solid particles dispersed throughout a liquid phase in which the particles are not soluble; the suspension has been formulated in a manner to allow at least a reduction in dosing frequency as compared to that drug presented as a conventional dosage form (e.g., as a solution or a prompt drug-releasing, conventional solid dosage form). (NCI)</t>
  </si>
  <si>
    <t>Extended Release Suspension Dosage Form</t>
  </si>
  <si>
    <t>A suspension which is usually administered in a dropwise fashion.</t>
  </si>
  <si>
    <t>Drop Suspension Dosage Form</t>
  </si>
  <si>
    <t>A strand or fiber used to hold wound edges in apposition during healing. (NCI)</t>
  </si>
  <si>
    <t>Suture Dosage Form</t>
  </si>
  <si>
    <t>A small piece of relatively flat absorbent material that contains a drug. A swab may also be attached to one end of a small stick. A swab is typically used for applying medication or for cleansing.</t>
  </si>
  <si>
    <t>Swab Dosage Form</t>
  </si>
  <si>
    <t>An oral solution containing high concentrations of sucrose or other sugars; the term has also been used to include any other liquid dosage form prepared in a sweet and viscid vehicle, including oral suspensions. (NCI)</t>
  </si>
  <si>
    <t>Syrup Dosage Form</t>
  </si>
  <si>
    <t>tab</t>
  </si>
  <si>
    <t>A solid dosage form containing medicinal substances with or without suitable diluents. (NCI)</t>
  </si>
  <si>
    <t>Tablet Dosage Form</t>
  </si>
  <si>
    <t>A solid dosage form containing medicinal substances with or without suitable diluents that is intended to be chewed, producing a pleasant tasting residue in the oral cavity that is easily swallowed and does not leave a bitter or unpleasant after-taste. (NCI)</t>
  </si>
  <si>
    <t>Chewable Tablet Dosage Form</t>
  </si>
  <si>
    <t>A solid dosage form containing a conglomerate of medicinal particles that have each been covered with a coating.</t>
  </si>
  <si>
    <t>Tablet Coated Particle Dosage Form</t>
  </si>
  <si>
    <t>A solid dosage form that contains medicinal substances with or without suitable diluents and is covered with a designated coating. (NCI)</t>
  </si>
  <si>
    <t>Coated Tablet Dosage Form</t>
  </si>
  <si>
    <t>A solid dosage form containing a conglomerate of medicinal particles that have been covered with a coating which releases a drug (or drugs) at a time other than promptly after administration. Enteric-coated articles are delayed release dosage forms. (NCI)</t>
  </si>
  <si>
    <t>Delayed Release Particle Tablet Dosage Form</t>
  </si>
  <si>
    <t>Tablet, Gastro-Resistant</t>
  </si>
  <si>
    <t>A solid dosage form which releases a drug (or drugs) at a time other than promptly after administration. Enteric-coated articles are delayed release dosage forms. (NCI)</t>
  </si>
  <si>
    <t>Delayed Release Tablet Dosage Form</t>
  </si>
  <si>
    <t>A solid dosage form containing mixtures of acids (e.g., citric acid, tartaric acid) and sodium bicarbonate, which release carbon dioxide when dissolved in water; it is intended to be dissolved or dispersed in water before administration.</t>
  </si>
  <si>
    <t>Effervescent Tablet Dosage Form</t>
  </si>
  <si>
    <t>Tablet, Prolonged Release</t>
  </si>
  <si>
    <t>A solid dosage form containing a drug which allows at least a reduction in dosing frequency as compared to that drug presented in conventional dosage form. (NCI)</t>
  </si>
  <si>
    <t>Extended Release Tablet Dosage Form</t>
  </si>
  <si>
    <t>A solid dosage form that contains medicinal substances with or without suitable diluents and is coated with a thin layer of a water-insoluble or water-soluble polymer. (NCI)</t>
  </si>
  <si>
    <t>Film Coated Tablet Dosage Form</t>
  </si>
  <si>
    <t>A solid dosage form that contains medicinal substances with or without suitable diluents and is coated with a thin layer of a water-insoluble or water-soluble polymer; the tablet is formulated in such manner as to make the contained medicament available over an extended period of time following ingestion.</t>
  </si>
  <si>
    <t>Film Coated Extended Release Tablet Dosage Form</t>
  </si>
  <si>
    <t>A tablet that forms a solution when placed in a liquid.</t>
  </si>
  <si>
    <t>Tablet for Solution Dosage Form</t>
  </si>
  <si>
    <t>A tablet that forms a suspension when placed in a liquid (formerly referred to as a Dispersible Tablet).</t>
  </si>
  <si>
    <t>Tablet for Suspension Dosage Form</t>
  </si>
  <si>
    <t>A solid dosage form containing medicinal substances with or without suitable diluents, which is designed to release its active and/or inert ingredient(s) immediately upon administration.</t>
  </si>
  <si>
    <t>Immediate Release Tablet Dosage Form</t>
  </si>
  <si>
    <t>A solid dosage form containing one or more active pharmaceutical ingredient which can be dispersed in a carrier at solid state, and immediately released upon administration. (NCI)</t>
  </si>
  <si>
    <t>Solid Dispersion Immediate Release Tablet Dosage Form</t>
  </si>
  <si>
    <t>A solid dosage form exhibiting an altered inherent rate of release of active and/or inert ingredient(s).</t>
  </si>
  <si>
    <t>Modified Release Tablet Dosage Form</t>
  </si>
  <si>
    <t>A solid dosage form exhibiting an altered inherent rate of release of active and/or inert ingredient(s) that is classified as long.</t>
  </si>
  <si>
    <t>Long Modified Release Tablet Dosage Form</t>
  </si>
  <si>
    <t>A solid dosage form exhibiting an altered inherent rate of release of active and/or inert ingredient(s) that is classified as short.</t>
  </si>
  <si>
    <t>Short Modified Release Tablet Dosage Form</t>
  </si>
  <si>
    <t>A solid dosage form containing medicinal substances that have been compressed to form a multiple-layered tablet or a tablet-within-a-tablet, the inner tablet being the core and the outer portion being the shell. (NCI)</t>
  </si>
  <si>
    <t>Multilayered Tablet Dosage Form</t>
  </si>
  <si>
    <t>A solid dosage form containing medicinal substances that have been compressed to form a multiple-layered tablet or a tablet-within-a-tablet, the inner tablet being the core and the outer portion being the shell, which, additionally, is covered in a designated coating; the tablet is formulated in such manner as to allow at least a reduction in dosing frequency as compared to that drug presented as a conventional dosage form. (NCI)</t>
  </si>
  <si>
    <t>Multilayered Extended Release Tablet Dosage Form</t>
  </si>
  <si>
    <t>A solid dosage form containing medicinal substances which disintegrates rapidly, usually within a matter of seconds, when placed upon the tongue. (NCI)</t>
  </si>
  <si>
    <t>Orally Disintegrating Tablet Dosage Form</t>
  </si>
  <si>
    <t>A solid dosage form containing medicinal substances which disintegrates rapidly, usually within a matter of seconds, when placed upon the tongue, but which releases a drug (or drugs) at a time other than promptly after administration.</t>
  </si>
  <si>
    <t>Orally Disintegrating Delayed Release Tablet Dosage Form</t>
  </si>
  <si>
    <t>A solid dosage form that contains medicinal substances with or without suitable diluents and possesses the ability to dissolve in fluids. (NCI)</t>
  </si>
  <si>
    <t>Soluble Tablet Dosage Form</t>
  </si>
  <si>
    <t>A solid dosage form that contains medicinal substances with or without suitable diluents and is coated with a colored or an uncolored water-soluble sugar. (NCI)</t>
  </si>
  <si>
    <t>Sugar Coated Tablet Dosage Form</t>
  </si>
  <si>
    <t>A plug made of cotton, sponge, or oakum variously used in surgery to plug the nose, vagina, etc., for the control of hemorrhage or the absorption of secretions. (NCI)</t>
  </si>
  <si>
    <t>Tampon Dosage Form</t>
  </si>
  <si>
    <t>A narrow woven fabric, or a narrow extruded synthetic (such as plastic), usually with an adhesive on one or both sides. (NCI)</t>
  </si>
  <si>
    <t>Tape Dosage Form</t>
  </si>
  <si>
    <t>An alcoholic or hydroalcoholic solution prepared from vegetable materials or from chemical substances. (NCI)</t>
  </si>
  <si>
    <t>Tincture Dosage Form</t>
  </si>
  <si>
    <t>A discoid-shaped solid containing the medicinal agent in a suitably flavored base; troches are placed in the mouth where they slowly dissolve, liberating the active ingredients. (NCI)</t>
  </si>
  <si>
    <t>Troche Dosage Form</t>
  </si>
  <si>
    <t>A dosage form has yet to be assigned. (NCI)</t>
  </si>
  <si>
    <t>Unassigned Dosage Form</t>
  </si>
  <si>
    <t>The type of pharmaceutical dose form is unknown, or has unspecified or variable physical characteristics. (EDQM)</t>
  </si>
  <si>
    <t>Unknown Dosage Form Category</t>
  </si>
  <si>
    <t>A ring composed of active and/or inert ingredient(s), intended for administration in or around the vagina.</t>
  </si>
  <si>
    <t>Vaginal Ring Dosage Form</t>
  </si>
  <si>
    <t>A thin slice of material containing a medicinal agent. (NCI)</t>
  </si>
  <si>
    <t>Wafer Dosage Form</t>
  </si>
  <si>
    <t>C42887</t>
  </si>
  <si>
    <t>C42888</t>
  </si>
  <si>
    <t>C42960</t>
  </si>
  <si>
    <t>C42971</t>
  </si>
  <si>
    <t>C42889</t>
  </si>
  <si>
    <t>C42892</t>
  </si>
  <si>
    <t>C42890</t>
  </si>
  <si>
    <t>C43451</t>
  </si>
  <si>
    <t>C42891</t>
  </si>
  <si>
    <t>C97197</t>
  </si>
  <si>
    <t>C25158</t>
  </si>
  <si>
    <t>C42896</t>
  </si>
  <si>
    <t>C42895</t>
  </si>
  <si>
    <t>C42917</t>
  </si>
  <si>
    <t>C42904</t>
  </si>
  <si>
    <t>C42902</t>
  </si>
  <si>
    <t>C42916</t>
  </si>
  <si>
    <t>C42928</t>
  </si>
  <si>
    <t>C42936</t>
  </si>
  <si>
    <t>C158214</t>
  </si>
  <si>
    <t>C142247</t>
  </si>
  <si>
    <t>C42954</t>
  </si>
  <si>
    <t>C184506</t>
  </si>
  <si>
    <t>C158215</t>
  </si>
  <si>
    <t>C45414</t>
  </si>
  <si>
    <t>C42678</t>
  </si>
  <si>
    <t>C60884</t>
  </si>
  <si>
    <t>C60891</t>
  </si>
  <si>
    <t>C42900</t>
  </si>
  <si>
    <t>C42919</t>
  </si>
  <si>
    <t>C28944</t>
  </si>
  <si>
    <t>C60897</t>
  </si>
  <si>
    <t>C42901</t>
  </si>
  <si>
    <t>C45415</t>
  </si>
  <si>
    <t>C106178</t>
  </si>
  <si>
    <t>C47890</t>
  </si>
  <si>
    <t>C43525</t>
  </si>
  <si>
    <t>C42679</t>
  </si>
  <si>
    <t>C42763</t>
  </si>
  <si>
    <t>C17423</t>
  </si>
  <si>
    <t>C42912</t>
  </si>
  <si>
    <t>C42913</t>
  </si>
  <si>
    <t>C42915</t>
  </si>
  <si>
    <t>C42929</t>
  </si>
  <si>
    <t>C60926</t>
  </si>
  <si>
    <t>C42932</t>
  </si>
  <si>
    <t>C42920</t>
  </si>
  <si>
    <t>C42984</t>
  </si>
  <si>
    <t>C60927</t>
  </si>
  <si>
    <t>C60928</t>
  </si>
  <si>
    <t>C60929</t>
  </si>
  <si>
    <t>C42933</t>
  </si>
  <si>
    <t>C42934</t>
  </si>
  <si>
    <t>C134876</t>
  </si>
  <si>
    <t>C42906</t>
  </si>
  <si>
    <t>C60930</t>
  </si>
  <si>
    <t>C48193</t>
  </si>
  <si>
    <t>C42937</t>
  </si>
  <si>
    <t>C45416</t>
  </si>
  <si>
    <t>C42938</t>
  </si>
  <si>
    <t>C42903</t>
  </si>
  <si>
    <t>C42909</t>
  </si>
  <si>
    <t>C42939</t>
  </si>
  <si>
    <t>C42940</t>
  </si>
  <si>
    <t>C42921</t>
  </si>
  <si>
    <t>C42941</t>
  </si>
  <si>
    <t>C42894</t>
  </si>
  <si>
    <t>C42978</t>
  </si>
  <si>
    <t>C42942</t>
  </si>
  <si>
    <t>C42944</t>
  </si>
  <si>
    <t>C149582</t>
  </si>
  <si>
    <t>C60931</t>
  </si>
  <si>
    <t>C42946</t>
  </si>
  <si>
    <t>C42914</t>
  </si>
  <si>
    <t>C42950</t>
  </si>
  <si>
    <t>C42974</t>
  </si>
  <si>
    <t>C42976</t>
  </si>
  <si>
    <t>C42977</t>
  </si>
  <si>
    <t>C42959</t>
  </si>
  <si>
    <t>C42957</t>
  </si>
  <si>
    <t>C42958</t>
  </si>
  <si>
    <t>C42956</t>
  </si>
  <si>
    <t>C42945</t>
  </si>
  <si>
    <t>C42899</t>
  </si>
  <si>
    <t>C42995</t>
  </si>
  <si>
    <t>C42926</t>
  </si>
  <si>
    <t>C42951</t>
  </si>
  <si>
    <t>C42988</t>
  </si>
  <si>
    <t>C60933</t>
  </si>
  <si>
    <t>C42922</t>
  </si>
  <si>
    <t>C47915</t>
  </si>
  <si>
    <t>C42947</t>
  </si>
  <si>
    <t>C42948</t>
  </si>
  <si>
    <t>C47916</t>
  </si>
  <si>
    <t>C45413</t>
  </si>
  <si>
    <t>C42949</t>
  </si>
  <si>
    <t>C42952</t>
  </si>
  <si>
    <t>C42953</t>
  </si>
  <si>
    <t>C60934</t>
  </si>
  <si>
    <t>C29167</t>
  </si>
  <si>
    <t>C60957</t>
  </si>
  <si>
    <t>C60958</t>
  </si>
  <si>
    <t>C42955</t>
  </si>
  <si>
    <t>C29269</t>
  </si>
  <si>
    <t>C48624</t>
  </si>
  <si>
    <t>C42965</t>
  </si>
  <si>
    <t>C42966</t>
  </si>
  <si>
    <t>C60984</t>
  </si>
  <si>
    <t>C47887</t>
  </si>
  <si>
    <t>C42967</t>
  </si>
  <si>
    <t>C42907</t>
  </si>
  <si>
    <t>C60985</t>
  </si>
  <si>
    <t>C42968</t>
  </si>
  <si>
    <t>C42923</t>
  </si>
  <si>
    <t>C42911</t>
  </si>
  <si>
    <t>C42969</t>
  </si>
  <si>
    <t>C42943</t>
  </si>
  <si>
    <t>C42918</t>
  </si>
  <si>
    <t>C25394</t>
  </si>
  <si>
    <t>C42970</t>
  </si>
  <si>
    <t>C47913</t>
  </si>
  <si>
    <t>C42972</t>
  </si>
  <si>
    <t>C42908</t>
  </si>
  <si>
    <t>C42973</t>
  </si>
  <si>
    <t>C42975</t>
  </si>
  <si>
    <t>C42961</t>
  </si>
  <si>
    <t>C60988</t>
  </si>
  <si>
    <t>C42979</t>
  </si>
  <si>
    <t>C42980</t>
  </si>
  <si>
    <t>C42981</t>
  </si>
  <si>
    <t>C42982</t>
  </si>
  <si>
    <t>C42983</t>
  </si>
  <si>
    <t>C45235</t>
  </si>
  <si>
    <t>C42986</t>
  </si>
  <si>
    <t>C42898</t>
  </si>
  <si>
    <t>C42987</t>
  </si>
  <si>
    <t>C60994</t>
  </si>
  <si>
    <t>C42935</t>
  </si>
  <si>
    <t>C60992</t>
  </si>
  <si>
    <t>C47912</t>
  </si>
  <si>
    <t>C42989</t>
  </si>
  <si>
    <t>C42962</t>
  </si>
  <si>
    <t>C42990</t>
  </si>
  <si>
    <t>C42991</t>
  </si>
  <si>
    <t>C47914</t>
  </si>
  <si>
    <t>C42993</t>
  </si>
  <si>
    <t>C42924</t>
  </si>
  <si>
    <t>C42994</t>
  </si>
  <si>
    <t>C42925</t>
  </si>
  <si>
    <t>C60995</t>
  </si>
  <si>
    <t>C47889</t>
  </si>
  <si>
    <t>C47898</t>
  </si>
  <si>
    <t>C42996</t>
  </si>
  <si>
    <t>C42998</t>
  </si>
  <si>
    <t>C42893</t>
  </si>
  <si>
    <t>C60997</t>
  </si>
  <si>
    <t>C42897</t>
  </si>
  <si>
    <t>C42997</t>
  </si>
  <si>
    <t>C42905</t>
  </si>
  <si>
    <t>C42910</t>
  </si>
  <si>
    <t>C42927</t>
  </si>
  <si>
    <t>C42931</t>
  </si>
  <si>
    <t>C42930</t>
  </si>
  <si>
    <t>C61004</t>
  </si>
  <si>
    <t>C61005</t>
  </si>
  <si>
    <t>C142248</t>
  </si>
  <si>
    <t>C162112</t>
  </si>
  <si>
    <t>C170453</t>
  </si>
  <si>
    <t>C170573</t>
  </si>
  <si>
    <t>C170574</t>
  </si>
  <si>
    <t>C42964</t>
  </si>
  <si>
    <t>C42963</t>
  </si>
  <si>
    <t>C42999</t>
  </si>
  <si>
    <t>C61006</t>
  </si>
  <si>
    <t>C42985</t>
  </si>
  <si>
    <t>C42992</t>
  </si>
  <si>
    <t>C47892</t>
  </si>
  <si>
    <t>C47897</t>
  </si>
  <si>
    <t>C43000</t>
  </si>
  <si>
    <t>C43001</t>
  </si>
  <si>
    <t>C43002</t>
  </si>
  <si>
    <t>C150001</t>
  </si>
  <si>
    <t>C91199</t>
  </si>
  <si>
    <t>C43003</t>
  </si>
  <si>
    <t>CL.C71620.UNIT</t>
  </si>
  <si>
    <t>UNIT</t>
  </si>
  <si>
    <t>C71620</t>
  </si>
  <si>
    <t>Unit</t>
  </si>
  <si>
    <t>Terminology codelist used for units within CDISC.</t>
  </si>
  <si>
    <t>CDISC SDTM Unit of Measure Terminology</t>
  </si>
  <si>
    <t>Percent Inhibition</t>
  </si>
  <si>
    <t>The rate of measured normal activity minus inhibited activity, divided by the rate of normal activity of a given object. It is expressed as a percentage.</t>
  </si>
  <si>
    <t>Percentage</t>
  </si>
  <si>
    <t>One hundred times the quotient of one quantity divided by another, with the same units of measurement.</t>
  </si>
  <si>
    <t>Percent Volume per Volume; vol%</t>
  </si>
  <si>
    <t>A percent ratio of volume to volume, defined by the equation: [volume of solute (in ml)/ volume of solution (in ml)](100), typically used for admixtures of solutions.(NCI)</t>
  </si>
  <si>
    <t>Percent Volume per Volume</t>
  </si>
  <si>
    <t>Percent Weight per Volume</t>
  </si>
  <si>
    <t>A percent ratio of weight to volume, defined by the equation: [weight of solute (in gm)/volume of solution (in dl)](100). Since the numerator and denominator of this ratio have different units, it is not a true percentage. A 1% w/v solution is defined as being 1 gram of solute dissolved in 100 milliliters of solvent.(NCI)</t>
  </si>
  <si>
    <t>Percent Mass per Volume</t>
  </si>
  <si>
    <t>Percent Weight per Weight</t>
  </si>
  <si>
    <t>A percent ratio of weight to weight, defined by the equation: [weight of solute (in gm)/weight of solution (in gm)](100).(NCI)</t>
  </si>
  <si>
    <t>Percent Mass per Mass</t>
  </si>
  <si>
    <t>min*%/h</t>
  </si>
  <si>
    <t>A unit of measurement expressed as the percentage times minutes divided by hours.</t>
  </si>
  <si>
    <t>Percentage times Minute per Hour</t>
  </si>
  <si>
    <t>Percent per Minute</t>
  </si>
  <si>
    <t>A unit of frequency expressed as the percentage of entities or events per minute.</t>
  </si>
  <si>
    <t>Percent per Second</t>
  </si>
  <si>
    <t>A unit of frequency expressed as the percentage of entities or events per second.</t>
  </si>
  <si>
    <t>Per 10 High Powered Fields</t>
  </si>
  <si>
    <t>A unit of measurement of the number of entities per unit of area equal to ten high powered fields.</t>
  </si>
  <si>
    <t>Per 100 High Powered Fields</t>
  </si>
  <si>
    <t>A unit of measurement of the number of entities per unit of area equal to one hundred high powered fields.</t>
  </si>
  <si>
    <t>Natural number unit of measurement for a portion of a particular type of cell (excluding red blood cell subtypes) per one hundred red blood cells.</t>
  </si>
  <si>
    <t>Per 100 Red Blood Cells</t>
  </si>
  <si>
    <t>Per 100 White Blood Cells</t>
  </si>
  <si>
    <t>Natural number unit of measurement for a portion of a particular type of cell (excluding white blood cell subtypes) per 100 white blood cells.</t>
  </si>
  <si>
    <t>/1000 RBC</t>
  </si>
  <si>
    <t>Natural number unit of measurement for a portion of a particular type of cell (excluding red blood cell subtypes) per one thousand red blood cells.</t>
  </si>
  <si>
    <t>Per Thousand Red Blood Cells</t>
  </si>
  <si>
    <t>A unit equal to one thousand entities used as a denominator to build a derived unit expressed as a ratio. (NCI)</t>
  </si>
  <si>
    <t>Per Thousand</t>
  </si>
  <si>
    <t>A unit equal to ten thousand entities used as a denominator to build a derived unit expressed as a ratio. (NCI)</t>
  </si>
  <si>
    <t>Per Ten Thousand</t>
  </si>
  <si>
    <t>A unit equal to one hundred thousand entities used as a denominator to build a derived unit expressed as a ratio. (NCI)</t>
  </si>
  <si>
    <t>Per Hundred Thousand</t>
  </si>
  <si>
    <t>A unit equal to one million entities used as a denominator to build a derived unit expressed as a ratio. (NCI)</t>
  </si>
  <si>
    <t>Per Million</t>
  </si>
  <si>
    <t>A unit equal to two square millimeters used as a denominator to build a derived unit expressed as a ratio.</t>
  </si>
  <si>
    <t>Per Two Square Millimeters</t>
  </si>
  <si>
    <t>Per 200 High Powered Fields</t>
  </si>
  <si>
    <t>A unit of measurement of the number of entities per unit of area equal to 200 high powered fields.</t>
  </si>
  <si>
    <t>/2x10^3 RBC</t>
  </si>
  <si>
    <t>Natural number unit of measurement for a portion of a particular type of cell (excluding red blood cell subtypes) per 2000 red blood cells.</t>
  </si>
  <si>
    <t>Per 2000 Red Blood Cells</t>
  </si>
  <si>
    <t>Natural number unit of measurement for a portion of a particular type of cell (excluding white blood cell subtypes) per 2500 white blood cells.</t>
  </si>
  <si>
    <t>Per 2500 White Blood Cells</t>
  </si>
  <si>
    <t>A volume unit equal to 4.0 milliliters used as a denominator to build a derived unit expressed as a ratio.</t>
  </si>
  <si>
    <t>per 4.0 Milliliters</t>
  </si>
  <si>
    <t>Per 40 High Powered Fields</t>
  </si>
  <si>
    <t>A unit of measurement of the number of entities per unit of area equal to 40 high powered fields.</t>
  </si>
  <si>
    <t>Natural number unit of measurement for a portion of a particular type of entities per 400 total cells.</t>
  </si>
  <si>
    <t>Per 400 Cells</t>
  </si>
  <si>
    <t>Natural number unit of measurement for a portion of a particular type of cell (excluding white blood cell subtypes) per 500 white blood cells.</t>
  </si>
  <si>
    <t>Per 500 White Blood Cells</t>
  </si>
  <si>
    <t>Natural number unit of measurement for a portion of a particular type of cell (excluding white blood cell subtypes) per 50,000 white blood cells.</t>
  </si>
  <si>
    <t>Per 50,000 White Blood Cells</t>
  </si>
  <si>
    <t>A volume unit equal to 7.5 milliliters used as a denominator to build a derived unit expressed as a ratio.</t>
  </si>
  <si>
    <t>per 7.5 Milliliters</t>
  </si>
  <si>
    <t>A unit of pressure equal to one centimeter of water used as a denominator to build a derived unit expressed as a ratio. (NCI)</t>
  </si>
  <si>
    <t>Per Centimeter of Water</t>
  </si>
  <si>
    <t>Per Hour</t>
  </si>
  <si>
    <t>A rate of occurrences within a period of time equal to one hour.</t>
  </si>
  <si>
    <t>Per High Powered Field</t>
  </si>
  <si>
    <t>A unit of measure equal to the instances of an entity per visual field of a microscope set to a high magnification power.</t>
  </si>
  <si>
    <t>A unit equal to one kilogram used as a denominator to build a derived unit expressed as a ratio. (NCI)</t>
  </si>
  <si>
    <t>Per Kilogram</t>
  </si>
  <si>
    <t>Per Low Powered Field</t>
  </si>
  <si>
    <t>A unit of measure equal to the instances of an entity per visual field of a microscope set to a low magnification power.</t>
  </si>
  <si>
    <t>/Large Square Neubauer</t>
  </si>
  <si>
    <t>A unit of measure equal to the instances of an entity per large square (with a 1 mm2 area) in a Neubauer chamber.</t>
  </si>
  <si>
    <t>Per Large Square Neubauer Chamber</t>
  </si>
  <si>
    <t>/10^6 BP; /Mb; /Mbp; Per Megabase Pair</t>
  </si>
  <si>
    <t>A unit equal to one million base pairs used as a denominator to build a derived unit expressed as a ratio.</t>
  </si>
  <si>
    <t>Per Megabase Pair</t>
  </si>
  <si>
    <t>A rate of occurrences within a period of time equal to one minute.</t>
  </si>
  <si>
    <t>Per Minute</t>
  </si>
  <si>
    <t>A unit of length equal to one millimeter used as a denominator to build a derived unit expressed as a ratio.</t>
  </si>
  <si>
    <t>Per Millimeter</t>
  </si>
  <si>
    <t>An area unit equal to one millimeter squared used as a denominator to build a derived unit expressed as a ratio.</t>
  </si>
  <si>
    <t>per Square Millimeter</t>
  </si>
  <si>
    <t>1/ms; ms^-1; Reciprocal of Millisecond</t>
  </si>
  <si>
    <t>A rate of occurrences within a period of time equal to one second.</t>
  </si>
  <si>
    <t>Per Millisecond</t>
  </si>
  <si>
    <t>/sec</t>
  </si>
  <si>
    <t>Per Second</t>
  </si>
  <si>
    <t>Per Visual Field</t>
  </si>
  <si>
    <t>A unit of measure equal to the instances of an entity per visual field of a microscope. (NCI)</t>
  </si>
  <si>
    <t>/(s*kPa)</t>
  </si>
  <si>
    <t>A unit of resistance equal to the inverse of one second times one kilopascal.</t>
  </si>
  <si>
    <t>One per Second Times Kilopascal</t>
  </si>
  <si>
    <t>100 International units/Milliliter</t>
  </si>
  <si>
    <t>A unit of arbitrary substance concentration (biologic activity concentration) defined as the concentration of one hundred international units per one milliliter of system volume.(NCI)</t>
  </si>
  <si>
    <t>100 International Units per Milliliter</t>
  </si>
  <si>
    <t>10^4/mm3; 10^4/uL; 10^7/mL</t>
  </si>
  <si>
    <t>A unit of measurement equal to 10 to the tenth power of entities per unit of volume equal to one liter. (NCI)</t>
  </si>
  <si>
    <t>Ten Billion Per Liter</t>
  </si>
  <si>
    <t>10^5/mm3; 10^5/uL; 10^8/mL</t>
  </si>
  <si>
    <t>A unit of measurement equal to 10 to the eleventh power of entities per unit of volume equal to one liter.</t>
  </si>
  <si>
    <t>Hundred Billion Per Liter</t>
  </si>
  <si>
    <t>Tera International Unit per Liter; TIU/L</t>
  </si>
  <si>
    <t>Unit of arbitrary substance concentration (biologic activity concentration) defined as the concentration of 10^12 international unit per one liter of system volume.(NCI)</t>
  </si>
  <si>
    <t>Tera International Unit Per Liter</t>
  </si>
  <si>
    <t>/pL; 1/pL; 10^6/mm3; 10^6/uL; M/uL; Mill/mcL; T/L; Tera/L; TI/L</t>
  </si>
  <si>
    <t>A unit of measurement equal to 10 to the twelfth power of the number of entities per unit of volume equal to one liter.</t>
  </si>
  <si>
    <t>Million per Microliter</t>
  </si>
  <si>
    <t>Thousand CFU; Thousand Colony Forming Units</t>
  </si>
  <si>
    <t>A unit of measurement of colony forming cells or microorganisms equal to 10 to the third power colony forming units.</t>
  </si>
  <si>
    <t>Thousand Colony Forming Units</t>
  </si>
  <si>
    <t>Thousand CFU/g; Thousand Colony Forming Units per Gram</t>
  </si>
  <si>
    <t>Thousand Colony Forming Units per Gram</t>
  </si>
  <si>
    <t>Thousand CFU/mL; Thousand Colony Forming Units per Milliliter</t>
  </si>
  <si>
    <t>A unit of measurement of colony forming cells or microorganisms in a unit volume of substance of interest defined as the number of 10 to the third power colony forming units in one milliliter of substance.</t>
  </si>
  <si>
    <t>Thousand Colony Forming Units per Milliliter</t>
  </si>
  <si>
    <t>The unit of concentration expressed as the number of 10 to the third power copies in unit volume equal to one milliliter. (NCI)</t>
  </si>
  <si>
    <t>Thousand Copies per Milliliter</t>
  </si>
  <si>
    <t>A unit of measurement equal to 10 to the third power of the number of deoxyribonucleic acid (DNA) copies per unit of volume equal to one milliliter.</t>
  </si>
  <si>
    <t>Thousand DNA Copies per Milliliter</t>
  </si>
  <si>
    <t>Thousand Organisms</t>
  </si>
  <si>
    <t>A unit of measure of quantity of organisms expressed in 10 to the third power of organisms.</t>
  </si>
  <si>
    <t>Thousand Organisms per Gram; Thousand Organisms/g</t>
  </si>
  <si>
    <t>A unit of measure of organism content expressed in 10 to the third power of organisms per unit of mass equal to one gram.</t>
  </si>
  <si>
    <t>Thousand Organisms per Gram</t>
  </si>
  <si>
    <t>Thousand Organisms per Milliliter; Thousand Organisms/mL</t>
  </si>
  <si>
    <t>A unit of measure of organism concentration expressed in 10 to the third power of organisms per unit of volume equal to one milliliter.</t>
  </si>
  <si>
    <t>Thousand Organisms per Milliliter</t>
  </si>
  <si>
    <t>A unit of measurement equal to 10 to the third power of the number of ribonucleic acid (RNA) copies per unit of volume equal to one milliliter.</t>
  </si>
  <si>
    <t>Thousand RNA Copies per Milliliter</t>
  </si>
  <si>
    <t>A dosing unit for the number of therapeutic cells administered, expressed as 10 to the third power.</t>
  </si>
  <si>
    <t>Thousand Therapeutic Cells Dosing Unit</t>
  </si>
  <si>
    <t>A unit of measurement equal to 10 to the third power of the number of entities per unit of area equal to one high powered field.</t>
  </si>
  <si>
    <t>Thousand per High Powered Field</t>
  </si>
  <si>
    <t>/mL; 1/mL</t>
  </si>
  <si>
    <t>A unit of measurement equal to 10 to the third power of entities per unit of volume equal to one liter.</t>
  </si>
  <si>
    <t>Thousand Per Liter</t>
  </si>
  <si>
    <t>Ten Thousand CFU; Ten Thousand Colony Forming Units</t>
  </si>
  <si>
    <t>A unit of measurement of colony forming cells or microorganisms equal to 10 to the fourth power colony forming units.</t>
  </si>
  <si>
    <t>Ten Thousand Colony Forming Units</t>
  </si>
  <si>
    <t>Ten Thousand CFU/mL; Ten Thousand Colony Forming Units per Milliliter</t>
  </si>
  <si>
    <t>A unit of measurement of colony forming cells or microorganisms in a unit volume of substance of interest defined as the number of 10 to the fourth power colony forming units in one milliliter of substance.</t>
  </si>
  <si>
    <t>Ten Thousand Colony Forming Units Per Liter</t>
  </si>
  <si>
    <t>A unit of measurement equal to 10 to the fourth power of the number of entities per unit of area equal to one high powered field.</t>
  </si>
  <si>
    <t>Ten Thousand per High Powered Field</t>
  </si>
  <si>
    <t>A unit of measurement equal to 10 to the fourth power of entities per unit of volume equal to one liter.</t>
  </si>
  <si>
    <t>Thousand per Deciliter</t>
  </si>
  <si>
    <t>Hundred Thousand CFU/mL; Hundred Thousand Colony Forming Units per Milliliter</t>
  </si>
  <si>
    <t>A unit of measurement of colony forming cells or microorganisms in a unit volume of substance of interest defined as the number of 10 to the fifth power colony forming units in one milliliter of substance.</t>
  </si>
  <si>
    <t>Hundred Thousand Colony Forming Units per Milliliter</t>
  </si>
  <si>
    <t>A dosing unit for the number of therapeutic cells administered, expressed as 10 to the fifth power.</t>
  </si>
  <si>
    <t>Hundred Thousand Therapeutic Cells Dosing Unit</t>
  </si>
  <si>
    <t>A unit of measurement equal to 10 to the fifth power of the number of entities per unit of area equal to one high powered field.</t>
  </si>
  <si>
    <t>Hundred Thousand per High Powered Field</t>
  </si>
  <si>
    <t>10^2/g; 10^5/kg</t>
  </si>
  <si>
    <t>A unit of measurement equal to 10 to the fifth power of the number of entities per unit of mass equal to one kilogram.</t>
  </si>
  <si>
    <t>Hundred Thousand Per Kilogram</t>
  </si>
  <si>
    <t>10^2/mL</t>
  </si>
  <si>
    <t>A unit of measurement equal to 10 to the fifth power of entities per unit of volume equal to one liter.</t>
  </si>
  <si>
    <t>Hundred Thousand Per Liter</t>
  </si>
  <si>
    <t>Million CFU; Million Colony Forming Units</t>
  </si>
  <si>
    <t>A unit of measurement of colony forming cells or microorganisms equal to 10 to the sixth power colony forming units.</t>
  </si>
  <si>
    <t>Million Colony Forming Units</t>
  </si>
  <si>
    <t>Million CFU/g; Million Colony Forming Units per Gram</t>
  </si>
  <si>
    <t>A unit of measurement of colony forming cells or microorganisms in a unit mass of substance of interest defined as the number of 10 to the sixth power colony forming units in one gram of substance.</t>
  </si>
  <si>
    <t>Million Colony Forming Units per Gram</t>
  </si>
  <si>
    <t>Million CFU/mL; Million Colony Forming Units per Milliliter</t>
  </si>
  <si>
    <t>A unit of measurement of colony forming cells or microorganisms in a unit volume of substance of interest defined as the number of 10 to the sixth power colony forming units in one milliliter of substance.</t>
  </si>
  <si>
    <t>Million Colony Forming Units per Milliliter</t>
  </si>
  <si>
    <t>The unit of concentration expressed as the number of 10 to the sixth power copies in unit volume equal to one milliliter. (NCI)</t>
  </si>
  <si>
    <t>Million Copies per Milliliter</t>
  </si>
  <si>
    <t>A unit of measurement equal to 10 to the sixth power of the number of deoxyribonucleic acid (DNA) copies per unit of volume equal to one milliliter.</t>
  </si>
  <si>
    <t>Million DNA Copies per Milliliter</t>
  </si>
  <si>
    <t>Million International Units; Million IU</t>
  </si>
  <si>
    <t>A unit of biological activity equal to 10 to the sixth power international units.</t>
  </si>
  <si>
    <t>Million International Units</t>
  </si>
  <si>
    <t>A unit of measurement equal to 10 to the sixth power of the number of international units of an entity per unit of volume equal to one milliliter.</t>
  </si>
  <si>
    <t>Million International Units per Milliliter</t>
  </si>
  <si>
    <t>Million Organisms</t>
  </si>
  <si>
    <t>A unit of measure of quantity of organisms expressed in 10 to the sixth power of organisms.</t>
  </si>
  <si>
    <t>Million Organisms per Gram; Million Organisms/g</t>
  </si>
  <si>
    <t>A unit of measure of organism content expressed in 10 to the sixth power of organisms per unit of mass equal to one gram.</t>
  </si>
  <si>
    <t>Million Organisms per Gram</t>
  </si>
  <si>
    <t>Million Organisms per Milligram; Million Organisms/mg</t>
  </si>
  <si>
    <t>A unit of measure of organism content expressed in 10 to the sixth power of organisms per unit of mass equal to one milligram.</t>
  </si>
  <si>
    <t>Million Organisms per Milligram</t>
  </si>
  <si>
    <t>Million Organisms per Milliliter; Million Organisms/mL</t>
  </si>
  <si>
    <t>A unit of measure of organism concentration expressed in 10 to the sixth power of organisms per unit of volume equal to one milliliter.</t>
  </si>
  <si>
    <t>Million Organisms per Milliliter</t>
  </si>
  <si>
    <t>One Million PFU; One Million Plaque Forming Units</t>
  </si>
  <si>
    <t>A unit of measurement of infectious entities with numbers equal to 10 to the sixth power plaque forming units.</t>
  </si>
  <si>
    <t>Million Plaque Forming Units</t>
  </si>
  <si>
    <t>A unit of measurement equal to 10 to the sixth power of the number of ribonucleic acid (RNA) copies per unit of volume equal to one milliliter.</t>
  </si>
  <si>
    <t>Million RNA Copies per Milliliter</t>
  </si>
  <si>
    <t>10^6 50 Percent Tissue Culture Infective Dose per Dose</t>
  </si>
  <si>
    <t>A potency unit equal to the potency at which one dose of preparation contains one million (10^6) 50 percent tissue culture infective doses.</t>
  </si>
  <si>
    <t>Million Tissue Culture Infectious Dose 50%</t>
  </si>
  <si>
    <t>A dosing unit for the number of therapeutic cells administered, expressed as 10 to the sixth power.</t>
  </si>
  <si>
    <t>Million Therapeutic Cells Dosing Unit</t>
  </si>
  <si>
    <t>Million U; Million Units</t>
  </si>
  <si>
    <t>A unit of measure equal to 10 to the sixth power of arbitrary units.</t>
  </si>
  <si>
    <t>Million Units</t>
  </si>
  <si>
    <t>A unit of measurement equal to 10 to the sixth power of entities per unit equal to one ejaculation.</t>
  </si>
  <si>
    <t>Million Per Ejaculate Unit</t>
  </si>
  <si>
    <t>/ug; 1/ug; 10^3/mg; 10^9/kg</t>
  </si>
  <si>
    <t>A unit of measurement equal to 10 to the sixth power of the number of entities per unit of mass equal to one gram.</t>
  </si>
  <si>
    <t>Million per Gram</t>
  </si>
  <si>
    <t>A unit of measurement equal to 10 to the sixth power of the number of entities per unit of area equal to one high powered field.</t>
  </si>
  <si>
    <t>Million per High Powered Field</t>
  </si>
  <si>
    <t>/mm3; /uL; 1/mm3; 1/uL; 10^3/mL; M/L; Mega/L</t>
  </si>
  <si>
    <t>A unit of measurement equal to 10 to the sixth power of the number of entities per unit of volume equal to one liter.</t>
  </si>
  <si>
    <t>Thousand per Milliliter</t>
  </si>
  <si>
    <t>Ten Million CFU; Ten Million Colony Forming Units</t>
  </si>
  <si>
    <t>A unit of measurement of colony forming cells or microorganisms equal to 10 to the seventh power colony forming units.</t>
  </si>
  <si>
    <t>Ten Million Colony Forming Units</t>
  </si>
  <si>
    <t>Ten Million CFU/mL; Ten Million Colony Forming Units per Milliliter</t>
  </si>
  <si>
    <t>A unit of measurement of colony forming cells or microorganisms in a unit volume of substance of interest defined as the number of 10 to the seventh power colony forming units in one milliliter of substance.</t>
  </si>
  <si>
    <t>Ten Million Colony Forming Units Per Liter</t>
  </si>
  <si>
    <t>Ten Million PFU; Ten Million Plaque Forming Units</t>
  </si>
  <si>
    <t>A unit of measurement of plaque forming cells or microorganisms with numbers equal to 10 to the seventh power plaque forming units.</t>
  </si>
  <si>
    <t>Ten Million Plaque Forming Units</t>
  </si>
  <si>
    <t>10^7 50 Percent Tissue Culture Infective Dose per Dose</t>
  </si>
  <si>
    <t>A potency unit equal to the potency at which one dose of preparation contains ten million (10^7) 50 percent tissue culture infective doses.</t>
  </si>
  <si>
    <t>Ten Million Tissue Culture Infectious Dose 50%</t>
  </si>
  <si>
    <t>10/mg; 10^4/g</t>
  </si>
  <si>
    <t>A unit of measurement equal to 10 to the seventh power of the number of entities per unit of mass equal to one kilogram.</t>
  </si>
  <si>
    <t>Ten Million Per Kilogram</t>
  </si>
  <si>
    <t>10^6/dL</t>
  </si>
  <si>
    <t>A unit of measurement equal to 10 to the seventh power of the number of entities per unit of volume equal to one liter.</t>
  </si>
  <si>
    <t>Ten Million per Liter</t>
  </si>
  <si>
    <t>One Hundred Million International Units; One Hundred Million IU</t>
  </si>
  <si>
    <t>A unit of biological activity equal to 10 to the eighth power international units.</t>
  </si>
  <si>
    <t>Hundred Million International Units</t>
  </si>
  <si>
    <t>Hundred Million PFU; Hundred Million Plaque Forming Units</t>
  </si>
  <si>
    <t>A unit of measurement of plaque forming cells or microorganisms with numbers equal to 10 to the eighth power of plaque forming units.</t>
  </si>
  <si>
    <t>Hundred Million Plaque Forming Units</t>
  </si>
  <si>
    <t>10^8 50 Percent Tissue Culture Infective Dose per Dose</t>
  </si>
  <si>
    <t>A potency unit equal to the potency at which one dose of preparation contains one million (10^8) 50 percent tissue culture infective doses.</t>
  </si>
  <si>
    <t>Hundred Million Tissue Culture Infectious Dose 50%</t>
  </si>
  <si>
    <t>10^2/mm3; 10^2/uL; 10^5/mL</t>
  </si>
  <si>
    <t>A unit of measurement equal to 10 to the eighth power of entities per unit of volume equal to one liter.</t>
  </si>
  <si>
    <t>Hundred Million Per Liter</t>
  </si>
  <si>
    <t>Billion CFU; Billion Colony Forming Units</t>
  </si>
  <si>
    <t>A unit of measurement of colony forming cells or microorganisms equal to 10 to the ninth power colony forming units.</t>
  </si>
  <si>
    <t>Billion Colony Forming Units</t>
  </si>
  <si>
    <t>Billion CFU/g; Billion Colony Forming Units per Gram</t>
  </si>
  <si>
    <t>A unit of measurement of colony forming cells or microorganisms in a unit mass of substance of interest defined as the number of 10 to the ninth power colony forming units in one gram of substance.</t>
  </si>
  <si>
    <t>Billion Colony Forming Units per Gram</t>
  </si>
  <si>
    <t>Billion CFU/mL; Billion Colony Forming Units per Milliliter</t>
  </si>
  <si>
    <t>A unit of measurement of colony forming cells or microorganisms in a unit volume of substance of interest defined as the number of 10 to the ninth power colony forming units in one milliliter of substance.</t>
  </si>
  <si>
    <t>Billion Colony Forming Units per Milliliter</t>
  </si>
  <si>
    <t>Billion Organisms</t>
  </si>
  <si>
    <t>A unit of measure of quantity of organisms expressed in 10 to the ninth power of organisms.</t>
  </si>
  <si>
    <t>Billion Organisms per Gram; Billion Organisms/g</t>
  </si>
  <si>
    <t>A unit of measure of organism content expressed in 10 to the ninth power of organisms per unit of mass equal to one gram.</t>
  </si>
  <si>
    <t>Billion Organisms per Gram</t>
  </si>
  <si>
    <t>Billion Organisms per Milligram; Billion Organisms/mg</t>
  </si>
  <si>
    <t>A unit of measure of organism content expressed in 10 to the ninth power of organisms per unit of mass equal to one milligram.</t>
  </si>
  <si>
    <t>Billion Organisms per Milligram</t>
  </si>
  <si>
    <t>Billion Organisms per Milliliter; Billion Organisms/mL</t>
  </si>
  <si>
    <t>A unit of measure of organism concentration expressed in 10 to the ninth power of organisms per unit of volume equal to one milliliter.</t>
  </si>
  <si>
    <t>Billion Organisms per Milliliter</t>
  </si>
  <si>
    <t>Billion PFU; Billion Plaque Forming Units</t>
  </si>
  <si>
    <t>A unit of measurement of infectious entities with numbers equal to 10 to the ninth power of plaque forming units.</t>
  </si>
  <si>
    <t>Billion Plaque Forming Units</t>
  </si>
  <si>
    <t>A dosing unit for the number of therapeutic cells administered, expressed as 10 to the ninth power.</t>
  </si>
  <si>
    <t>Billion Therapeutic Cells Dosing Unit</t>
  </si>
  <si>
    <t>A dose calculation unit equal to 10 to the ninth power of the number of entities per single dose.</t>
  </si>
  <si>
    <t>Billion per Dose</t>
  </si>
  <si>
    <t>/ng; 1/ng; 10^12/kg; 10^3/ug; 10^6/mg</t>
  </si>
  <si>
    <t>A unit of measurement equal to 10 to the ninth power of the number of entities per unit of mass equal to one gram.</t>
  </si>
  <si>
    <t>Billion per Gram</t>
  </si>
  <si>
    <t>/nL; 1/nL; 10^3/mm3; 10^3/uL; 10^6/mL; G/L; GI/L; Giga per Liter; K/cumm; Thou/mcL</t>
  </si>
  <si>
    <t>A unit of measurement equal to 10 to the ninth power of the number of entities per unit of volume equal to one liter.</t>
  </si>
  <si>
    <t>Billion per Liter</t>
  </si>
  <si>
    <t>Absorbance Unit</t>
  </si>
  <si>
    <t>A unit of optical density expressed as a logarithm of absorbance of light transmitted through a partially absorbing substance.</t>
  </si>
  <si>
    <t>Absorbance Unit per Minute</t>
  </si>
  <si>
    <t>A unit of a speed of optical density change expressed as a logarithm of absorbance of light transmitted through a partially absorbing substance per minute. (NCI)</t>
  </si>
  <si>
    <t>A unit of optical density expressed as a logarithm of absorbance of light transmitted through a partially absorbing substance per unit of volume equal to one milliliter.</t>
  </si>
  <si>
    <t>Absorbance Unit per Milliliter</t>
  </si>
  <si>
    <t>Arbitrary Fluorescence Unit</t>
  </si>
  <si>
    <t>Arbitrary unit(s) of fluorescent luminescence. (NCI)</t>
  </si>
  <si>
    <t>Arbitrary Fluorescence Units</t>
  </si>
  <si>
    <t>Attogram</t>
  </si>
  <si>
    <t>A unit of mass equal to one quintillionth of a gram (1E-18 gram). (NCI)</t>
  </si>
  <si>
    <t>Antigen Unit per Milliliter</t>
  </si>
  <si>
    <t>A measure of an antigen potency defined as a number of antigen units per one milliliter of product.(NCI)</t>
  </si>
  <si>
    <t>Arithmetic Mean Fluorescence Intensity Unit</t>
  </si>
  <si>
    <t>A unit of measure for the arithmetic mean fluorescence intensity.</t>
  </si>
  <si>
    <t>Attomole</t>
  </si>
  <si>
    <t>A unit of amount of substance equal to one quintillionth of a mole (1E-18 mole). (NCI)</t>
  </si>
  <si>
    <t>Ampere</t>
  </si>
  <si>
    <t>A unit of electric current, named after the French physicist Andre Ampere. It is that constant current which, if maintained in two straight parallel conductors of infinite length and zero diameter separated by one meter in a vacuum, would produce between these conductors a force equal to 2(1E7) Newton per meter of length. This is dependent upon the definitions of the meter, kilogram, and second. One Ampere represents 6.24 x 1(E18) unit electric charge carriers, such as electrons, passing a specified fixed point in one second. (NCI)</t>
  </si>
  <si>
    <t>Ampule Dosing Unit</t>
  </si>
  <si>
    <t>A dosing measurement based on the ampule unit.(NCI)</t>
  </si>
  <si>
    <t>Atomic Mass Unit</t>
  </si>
  <si>
    <t>A small unit of mass used to express atomic and molecular masses. (NCI)</t>
  </si>
  <si>
    <t>A unit of enzyme concentration which is defined as the amount of enzyme that can digest urea-denatured hemoglobin at the same initial rate as one milliequivalent of tyrosine at standard conditions.</t>
  </si>
  <si>
    <t>Anson Unit</t>
  </si>
  <si>
    <t>Anti-Xa Activity International Unit</t>
  </si>
  <si>
    <t>A unit of unfractionated or low molecular weight heparin anticoagulation potency determined as the amount that neutralizes one unit of coagulation factor Xa preparation defined as an international biological standard by WHO (World Health Organization) First International Low Molecular Weight Heparin Reference Standard.(NCI)</t>
  </si>
  <si>
    <t>Anti-Xa Activity International Unit per Milliliter</t>
  </si>
  <si>
    <t>A specific anticoagulation activity of unfractionated or low molecular weight heparin on factor Xa, expressed as a number of international anti-Xa heparin units per one milliliter of plasma.(NCI)</t>
  </si>
  <si>
    <t>A unit of antibody concentration measured by comparison against a known concentration of antibodies in a standard reference specimen.</t>
  </si>
  <si>
    <t>Antibody Unit</t>
  </si>
  <si>
    <t>[APL'U]; Immunoglobin A Phospholipid Units</t>
  </si>
  <si>
    <t>A unit for semiquantitative measurement of IgA autoantibodies to proteins associated with negatively charged phospholipids evaluated against an established reference standard.</t>
  </si>
  <si>
    <t>IgA Phospholipid Unit</t>
  </si>
  <si>
    <t>Immunoglobin A Phospholipid Units per Milliliter</t>
  </si>
  <si>
    <t>A unit for semiquantitative measurement of IgA autoantibodies to proteins associated with negatively charged phospholipids evaluated against an established reference standard, per unit of volume equal to one milliliter.</t>
  </si>
  <si>
    <t>Immunoglobin A Phospholipid Unit per Milliliter</t>
  </si>
  <si>
    <t>Application Dosing Unit</t>
  </si>
  <si>
    <t>A dosing measurement based on the amount of substance applied.</t>
  </si>
  <si>
    <t>Application Unit</t>
  </si>
  <si>
    <t>Immunoglobin A Phosphatidylserine Units; Phosphatidylserine IgA Antibody Unit</t>
  </si>
  <si>
    <t>A unit for semiquantitative measurement of IgA autoantibodies to proteins associated with phosphatidylserine evaluated against an established reference standard. (NCI)</t>
  </si>
  <si>
    <t>Phosphatidylserine IgA Antibody Unit</t>
  </si>
  <si>
    <t>Immunoglobin A Phosphatidylserine Units/mL; Phosphatidylserine IgA Antibody Unit/mL</t>
  </si>
  <si>
    <t>Unit of measure of potency of allergenic product expressed as a number of immunoglobin A phosphatidylserine units per one milliliter of formulation.</t>
  </si>
  <si>
    <t>Phosphatidylserine IgA Antibody Unit per Milliliter</t>
  </si>
  <si>
    <t>A unit based on or subject to individual judgment, preference, or predetermined reference. (NCI)</t>
  </si>
  <si>
    <t>Arbitrary Unit</t>
  </si>
  <si>
    <t>A unit based on or subject to individual judgment, preference, or predetermined reference per unit of volume equal to one milliliter.</t>
  </si>
  <si>
    <t>Arbitrary Unit per Milliliter</t>
  </si>
  <si>
    <t>AU</t>
  </si>
  <si>
    <t>A unit of proteolytic activity for trypsin and/or chymotrypsin that, upon incubation with the hemoglobin substrate, will release a quantity of phenolic substances that react with Folin-Ciocalteu phenol reagent to produce a colorimetric change of equal intensity to that produced from the reaction of one microgram of tyrosine with Folin-Ciocalteu phenol reagent.</t>
  </si>
  <si>
    <t>Armour Unit</t>
  </si>
  <si>
    <t>Atmosphere</t>
  </si>
  <si>
    <t>A unit of pressure, equal to a barometer reading of 760 mm Hg. 1 atmosphere is 101325 Pascals and 1.01325 bar. This unit of pressure is roughly equal to the average atmospheric pressure at sea level on the earth.(NCI)</t>
  </si>
  <si>
    <t>Allergy Unit per Milliliter</t>
  </si>
  <si>
    <t>Unit of measure of potency of allergenic product expressed as a number of allergy units per one milliliter of formulation.(NCI)</t>
  </si>
  <si>
    <t>Bag Dosing Unit</t>
  </si>
  <si>
    <t>A dosing measurement based on the bag unit.(NCI)</t>
  </si>
  <si>
    <t>Bar Dosing Unit</t>
  </si>
  <si>
    <t>A dosing measurement based on the bar unit.(NCI)</t>
  </si>
  <si>
    <t>Bioequivalent Allergy Unit</t>
  </si>
  <si>
    <t>A unit used for standardization of an allergenic product based on evaluation of product potency against reference standard in combined in vivo (skin test) and in vitro (IgE-based ELISA) testing.(NCI)</t>
  </si>
  <si>
    <t>Bioequivalent Allergy Unit per Milliliter</t>
  </si>
  <si>
    <t>Unit of measure of potency of allergenic product expressed as a number of bioequivalent allergy units per one milliliter of formulation.</t>
  </si>
  <si>
    <t>Biological Unit per Milliliter</t>
  </si>
  <si>
    <t>Unit of measure of potency of allergenic product expressed as a number of biological units per one milliliter of formulation.</t>
  </si>
  <si>
    <t>Biological Allergy Unit per Milliliter</t>
  </si>
  <si>
    <t>The unit of measure for the number of times in which light paths are interrupted by movement.</t>
  </si>
  <si>
    <t>Beam Break Unit</t>
  </si>
  <si>
    <t>Beats per Minute; BPM; bpm</t>
  </si>
  <si>
    <t>The number of heartbeats measured per minute time. (NCI)</t>
  </si>
  <si>
    <t>Beats per Minute</t>
  </si>
  <si>
    <t>Bel</t>
  </si>
  <si>
    <t>A logarithmic ratio unit (base-10 logarithms) used to express relative magnitude of a physical quantity (usually power or intensity) in comparison with a specified or implied reference level. Particularly, Bel is used as a unit of relative sound intensity. In the latter context it is equal to ten decibels or to approximately 1.151293 nepers.(NCI)</t>
  </si>
  <si>
    <t>BAU/mL; Binding Antibody Unit per Milliliter</t>
  </si>
  <si>
    <t>A unit of concentration expressed as the number of binding antibody units per one milliliter.</t>
  </si>
  <si>
    <t>Binding Antibody Unit per Milliliter</t>
  </si>
  <si>
    <t>Biscuit Dosing Unit</t>
  </si>
  <si>
    <t>A measurement based on the biscuit unit.</t>
  </si>
  <si>
    <t>A unit of measure to quantify the number of rectangular areas in a city surrounded by streets.</t>
  </si>
  <si>
    <t>Block Unit of Distance</t>
  </si>
  <si>
    <t>Bolus Dosing Unit</t>
  </si>
  <si>
    <t>A dosing measurement based on the bolus unit.(NCI)</t>
  </si>
  <si>
    <t>Bottle Dosing Unit</t>
  </si>
  <si>
    <t>A dosing measurement based on the bottle unit.(NCI)</t>
  </si>
  <si>
    <t>Bowl Dosing Unit</t>
  </si>
  <si>
    <t>A dosing measurement based on the bowl unit.</t>
  </si>
  <si>
    <t>Box Dosing Unit</t>
  </si>
  <si>
    <t>A dosing measurement based on the box unit.(NCI)</t>
  </si>
  <si>
    <t>BASE PAIRS</t>
  </si>
  <si>
    <t>A number representing the paired nucleotides in a DNA or RNA sequence.</t>
  </si>
  <si>
    <t>Base Pair Unit</t>
  </si>
  <si>
    <t>Becquerel</t>
  </si>
  <si>
    <t>A unit of activity of a radionuclide, equal to one nuclear disintegration or other nuclear transition from a particular energy state occurring in an amount of a radionuclide during one second-long time interval.(NCI)</t>
  </si>
  <si>
    <t>Becquerel per Gram</t>
  </si>
  <si>
    <t>A unit of specific radioactivity (massic activity) equal to activity of one Becquerel of the sample with total mass of one gram.(NCI)</t>
  </si>
  <si>
    <t>Becquerel per Kilogram</t>
  </si>
  <si>
    <t>A unit of specific radioactivity (massic activity) equal to activity of one Becquerel of the sample with total mass of one kilogram.(NCI)</t>
  </si>
  <si>
    <t>Becquerel per Liter</t>
  </si>
  <si>
    <t>A unit of volumetric radioactivity concentration defined as a concentration of a radionuclide with an activity equal to one Becquerel per unit volume equal to one liter.(NCI)</t>
  </si>
  <si>
    <t>Becquerel per Milligram; kBq/g; Kilobecquerel per Gram</t>
  </si>
  <si>
    <t>A unit of specific radioactivity (massic activity) equal to activity of one Becquerel of the sample with total mass of one milligram.(NCI)</t>
  </si>
  <si>
    <t>Becquerel per Milligram</t>
  </si>
  <si>
    <t>Becquerel per Milliliter; kBq/L; Kilobecquerel per Liter</t>
  </si>
  <si>
    <t>A unit of volumetric radioactivity concentration defined as a concentration of a radionuclide with an activity equal to one Becquerel per unit volume equal to one milliliter or one kilobecquerel per liter.(NCI)</t>
  </si>
  <si>
    <t>Becquerel per Milliliter</t>
  </si>
  <si>
    <t>Becquerel per Microgram; Bq/mcg; Bq/ug; kBq/mg; Kilobecquerel per Milligram; MBq/g; Megabecquerel per Gram</t>
  </si>
  <si>
    <t>A unit of specific radioactivity (massic activity) equal to activity of one Becquerel of the sample with total mass of one microgram, or equal to activity of one kilobecquerel of the sample with total mass of one milligram.</t>
  </si>
  <si>
    <t>Becquerel per Microgram</t>
  </si>
  <si>
    <t>Becquerel per Microliter; kBq/mL; Kilobecquerel per Milliliter; MBq/L; Megabecquerel per Liter</t>
  </si>
  <si>
    <t>A unit of volumetric radioactivity concentration defined as a concentration of a radionuclide with an activity equal to one Becquerel per unit volume equal to one millionth of a liter.(NCI)</t>
  </si>
  <si>
    <t>Becquerel per Microliter</t>
  </si>
  <si>
    <t>Breaths per 30 Seconds; breaths/30s</t>
  </si>
  <si>
    <t>The number of breaths (inhalation and exhalation) taken within a period of time equal to thirty seconds.</t>
  </si>
  <si>
    <t>Breaths per Thirty Seconds</t>
  </si>
  <si>
    <t>Breaths per Minute</t>
  </si>
  <si>
    <t>The number of breaths (inhalation and exhalation) taken per minute time. (NCI)</t>
  </si>
  <si>
    <t>Bethesda Unit</t>
  </si>
  <si>
    <t>A unit of measurement for blood coagulation inhibitor activity, expressed in the amount of an inhibitor neutralizing 50% of a coagulant during the incubation period.</t>
  </si>
  <si>
    <t>Bethesda Unit per Milliliter</t>
  </si>
  <si>
    <t>A unit of measurement for blood coagulation inhibitor activity, expressed as a Bethesda Unit per unit of volume equal to one milliliter. (NCI)</t>
  </si>
  <si>
    <t>Degree Celsius</t>
  </si>
  <si>
    <t>A unit of temperature of the temperature scale designed so that the freezing point of water is 0 degrees and the boiling point is 100 degrees at standard atmospheric pressure. The current official definition of the Celsius sets 0.01 C to be at the triple point of water and a degree to be 1/273.16 of the difference in temperature between the triple point of water and absolute zero. One degree Celsius represents the same temperature difference as one Kelvin. (NCI)</t>
  </si>
  <si>
    <t>Complement Activity Enzyme Unit</t>
  </si>
  <si>
    <t>A unit of measurement for enzymatic activity of plasma and membrane-bound proteins that comprise a complement system and their split products.</t>
  </si>
  <si>
    <t>Calorie</t>
  </si>
  <si>
    <t>A measurement of nutritional energy. The quantity of thermal energy required to raise one gram of water one degree Centigrade under standard conditions. 1 calorie equals 4.186 joules. (NCI)</t>
  </si>
  <si>
    <t>calorie</t>
  </si>
  <si>
    <t>Can Dosing Unit</t>
  </si>
  <si>
    <t>A dosing measurement based on the can unit.(NCI)</t>
  </si>
  <si>
    <t>Capful Dosing Unit</t>
  </si>
  <si>
    <t>A unit of measure equal to the amount that the cap on the bottle can contain.</t>
  </si>
  <si>
    <t>Caplet Dosing Unit</t>
  </si>
  <si>
    <t>A dosing measurement based on the caplet unit.</t>
  </si>
  <si>
    <t>cap; Capsule Dosing Unit</t>
  </si>
  <si>
    <t>A dosing measurement based on the capsule unit.(NCI)</t>
  </si>
  <si>
    <t>Capsule Dosing Unit</t>
  </si>
  <si>
    <t>Cartridge Dosing Unit</t>
  </si>
  <si>
    <t>A dosing measurement based on the cartridge unit.(NCI)</t>
  </si>
  <si>
    <t>50 Percent Cell Culture Infective Dose per Dose</t>
  </si>
  <si>
    <t>A potency unit equal to the potency at which one dose of preparation contains one 50 percent cell culture infective dose.(NCI)</t>
  </si>
  <si>
    <t>50 Percent Cell Culture Infective Dose per Milliliter</t>
  </si>
  <si>
    <t>A potency unit equal to the potency at which one milliliter of preparation contains one 50 percent cell culture infective dose. (NCI)</t>
  </si>
  <si>
    <t>Candela</t>
  </si>
  <si>
    <t>The candela is the basic unit of luminous intensity. It is the luminous intensity in a given direction of a small monochromatic light source at 540 terahertz emitting 1/683 watt per steradian in that direction. This is dependent upon the definitions of the meter, kilogram, and second.(NCI)</t>
  </si>
  <si>
    <t>A unit of luminous intensity expressed as one candela in one second of light emittance per square meter of area.</t>
  </si>
  <si>
    <t>Candela Second per Square Meter</t>
  </si>
  <si>
    <t>A unit of luminous intensity expressed as one candela per square meter of area.</t>
  </si>
  <si>
    <t>Candela per Square Meter</t>
  </si>
  <si>
    <t>Colony Forming Unit per Gram</t>
  </si>
  <si>
    <t>A unit of measurement of colony forming cells or microorganisms in a unit mass of substance of interest defined as the number of colony forming units in one gram of substance.</t>
  </si>
  <si>
    <t>Colony Forming Unit per Milliliter</t>
  </si>
  <si>
    <t>A unit of measurement of colony forming cells or microorganisms in a unit volume of substance of interest defined as the number of colony forming units in one milliliter of substance.</t>
  </si>
  <si>
    <t>Centigram</t>
  </si>
  <si>
    <t>A unit of mass equal to one hundredth of a gram.(NCI)</t>
  </si>
  <si>
    <t>Cobalt Gray Equivalent</t>
  </si>
  <si>
    <t>A unit of relative biological effectiveness of protons equivalent to cobalt-60 gamma rays.</t>
  </si>
  <si>
    <t>Centigray</t>
  </si>
  <si>
    <t>The metric unit of absorbed radiation dose equal to the absorption of one hundredth of joule of radiation energy per kilogram of matter.</t>
  </si>
  <si>
    <t>Curie</t>
  </si>
  <si>
    <t>A unit of radioactivity defined as 3.7 E10 atomic disintegrations or other nuclear transformations per second. One Curie is equal to 37 gigabecquerels.(NCI)</t>
  </si>
  <si>
    <t>Curie per Gram; mCi/mg; Microcurie per Microgram; Millicurie per Milligram; uCi/ug</t>
  </si>
  <si>
    <t>A unit of specific radioactivity (massic activity) equal to activity of one Curie of the sample with total mass of one gram.(NCI)</t>
  </si>
  <si>
    <t>Curie per Gram</t>
  </si>
  <si>
    <t>Curie per Kilogram; mCi/g; Microcurie per Milligram; Millicurie per Gram; uCi/mg</t>
  </si>
  <si>
    <t>A unit of specific radioactivity (massic activity) equal to activity of one Curie of the sample with total mass of one kilogram.(NCI)</t>
  </si>
  <si>
    <t>Curie per Kilogram</t>
  </si>
  <si>
    <t>Curie per Liter; Microcurie per Microliter; uCi/uL</t>
  </si>
  <si>
    <t>A unit of volumetric radioactivity concentration defined as a concentration of a radionuclide with an activity equal to one Curie per unit volume equal to one liter.(NCI)</t>
  </si>
  <si>
    <t>Curie per Liter</t>
  </si>
  <si>
    <t>Curie per Milligram; mCi/ug; Millicurie per Microgram</t>
  </si>
  <si>
    <t>A unit of specific radioactivity (massic activity) equal to activity of one Curie of the sample with total mass of one milligram.(NCI)</t>
  </si>
  <si>
    <t>Curie per Milligram</t>
  </si>
  <si>
    <t>Curie per Milliliter</t>
  </si>
  <si>
    <t>A unit of volumetric radioactivity concentration defined as a concentration of a radionuclide with an activity equal to one Curie per unit volume equal to one milliliter.(NCI)</t>
  </si>
  <si>
    <t>Ci/mcg; Curie per Microgram</t>
  </si>
  <si>
    <t>A unit of specific radioactivity (massic activity) equal to activity of one Curie of the sample with total mass of one microgram.(NCI)</t>
  </si>
  <si>
    <t>Curie per Microgram</t>
  </si>
  <si>
    <t>Ci/mcL; Curie per Microliter</t>
  </si>
  <si>
    <t>A unit of volumetric radioactivity concentration defined as a concentration of a radionuclide with an activity equal to one Curie per unit volume equal to one millionth of a liter.(NCI)</t>
  </si>
  <si>
    <t>Curie per Microliter</t>
  </si>
  <si>
    <t>Cigar Dosing Unit</t>
  </si>
  <si>
    <t>A dosing measurement based on the cigar unit.</t>
  </si>
  <si>
    <t>Cigarette Dosing Unit</t>
  </si>
  <si>
    <t>A dosing measurement based on the cigarette unit.</t>
  </si>
  <si>
    <t>Centiliter</t>
  </si>
  <si>
    <t>The unit of volume equal to one hundredth of a liter or 10 milliliters or 10 cubic centimeters or 0.6102 cubic inch.</t>
  </si>
  <si>
    <t>A unit of pressure defined by a column of water with a height of one centimeter, frequently used to measure central venous pressure, intracranial pressure, and for pressures during mechanical ventilation.</t>
  </si>
  <si>
    <t>Centimeters of Water</t>
  </si>
  <si>
    <t>Centimeter</t>
  </si>
  <si>
    <t>A basic unit of length equal to one hundredth of a meter or approximately 0.393700787 inch.</t>
  </si>
  <si>
    <t>Centimeters per Minute</t>
  </si>
  <si>
    <t>A unit of both speed (scalar) and velocity (vector), defined as the distance of one centimeter travelled per unit time equal to one minute. (NCI)</t>
  </si>
  <si>
    <t>Centimeter Per Minute</t>
  </si>
  <si>
    <t>cm/sec</t>
  </si>
  <si>
    <t>A unit of both speed (scalar) and velocity (vector), defined as the distance of one centimeter travelled per unit time equal to one second. (NCI)</t>
  </si>
  <si>
    <t>Centimeter per Second</t>
  </si>
  <si>
    <t>Square Centimeter</t>
  </si>
  <si>
    <t>A unit of area measurement equal to a square measuring one centimeter on each side. One square centimeter is equal to 1E-4 square meter. (NCI)</t>
  </si>
  <si>
    <t>A unit of pressure defined as centimeters of water times seconds per unit of volume equal to one milliliter.</t>
  </si>
  <si>
    <t>Centimeter of Water Times Second per Milliliter</t>
  </si>
  <si>
    <t>A unit of pressure defined as centimeters of water times seconds squared per unit of volume equal to one milliliter.</t>
  </si>
  <si>
    <t>Centimeter of Water Times Second Squared per Milliliter</t>
  </si>
  <si>
    <t>A unit of pressure defined as centimeters of water per unit of volume equal to one milliliter.</t>
  </si>
  <si>
    <t>Centimeter of Water per Milliliter</t>
  </si>
  <si>
    <t>Centimeter of Mercury</t>
  </si>
  <si>
    <t>A unit of pressure equal to 0.001316 atmosphere and equal to the pressure indicated by one centimeter rise of mercury in a barometer at the Earth's surface.</t>
  </si>
  <si>
    <t>Centimeters of Mercury</t>
  </si>
  <si>
    <t>Centimole</t>
  </si>
  <si>
    <t>A unit of amount of substance equal to one hundredth of a mole (1E-2 mole). (NCI)</t>
  </si>
  <si>
    <t>Millimoles per Deciliter; mmol/dL</t>
  </si>
  <si>
    <t>A unit of concentration (molarity unit) equal to one centimole of solute in one liter of solution. (NCI)</t>
  </si>
  <si>
    <t>Centimole per Liter</t>
  </si>
  <si>
    <t>Coat Dosing Unit</t>
  </si>
  <si>
    <t>A dosing measurement based on the coat unit.(NCI)</t>
  </si>
  <si>
    <t>Container Dosing Unit</t>
  </si>
  <si>
    <t>A dosing measurement based on the container unit.(NCI)</t>
  </si>
  <si>
    <t>A unit of concentration expressed as a number of copies per unit volume equal to one milliliter.</t>
  </si>
  <si>
    <t>Copies per Milliliter</t>
  </si>
  <si>
    <t>A unit of concentration expressed as a number of copies per unit volume equal to one microgram.</t>
  </si>
  <si>
    <t>Copies per Microgram</t>
  </si>
  <si>
    <t>A unit of concentration expressed as a number of copies per unit volume equal to one microliter.</t>
  </si>
  <si>
    <t>Copies per Microliter</t>
  </si>
  <si>
    <t>Coulomb</t>
  </si>
  <si>
    <t>A unit of quantity of electricity, equal to the quantity of charge transferred in one second across a conductor in which there is a constant current of one Ampere.(NCI)</t>
  </si>
  <si>
    <t>Centipoise</t>
  </si>
  <si>
    <t>A unit of dynamic viscosity equal to one hundredth of a poise.</t>
  </si>
  <si>
    <t>Counts per Minute</t>
  </si>
  <si>
    <t>A unit of frequency expressed as the detection rate of ionization events per minute.</t>
  </si>
  <si>
    <t>Count per Minute</t>
  </si>
  <si>
    <t>10^-2 sec; Centisecond; csec</t>
  </si>
  <si>
    <t>A unit of time equal to one hundredth of a second (1E-2 seconds). (NCI)</t>
  </si>
  <si>
    <t>Centisecond</t>
  </si>
  <si>
    <t>Cup Equivalent; cup-eq</t>
  </si>
  <si>
    <t>A unit of relative amount of a substance equal to one cup.</t>
  </si>
  <si>
    <t>Cup Equivalent</t>
  </si>
  <si>
    <t>Cup Dosing Unit</t>
  </si>
  <si>
    <t>A dosing measurement based on the cup unit.(NCI)</t>
  </si>
  <si>
    <t>cpcm; Grating Cycles per Centimeter</t>
  </si>
  <si>
    <t>A unit of measure for the number of repeating vertical or horizontal bars per unit of length equal to one centimeter on a visual acuity testing card.</t>
  </si>
  <si>
    <t>Grating Cycles per Centimeter</t>
  </si>
  <si>
    <t>Cycle per Minute</t>
  </si>
  <si>
    <t>A unit of frequency equal to the frequency at which one complete execution of a periodically repeated phenomenon, alternation, event, or sequence of events occurs per unit of time equal to one minute.(NCI)</t>
  </si>
  <si>
    <t>Cylinder Dosing Unit</t>
  </si>
  <si>
    <t>A dosing measurement based on the cylinder unit.(NCI)</t>
  </si>
  <si>
    <t>D Antigen Unit</t>
  </si>
  <si>
    <t>A unit of potency of poliovirus vaccine used for poliomyelitis prevention. The unit is poliovirus type-specific.(NCI)</t>
  </si>
  <si>
    <t>D Antigen Unit per Milliliter</t>
  </si>
  <si>
    <t>A unit of potency of poliovirus vaccine expressed as a number of D antigen units per one milliliter of vaccine formulation.(NCI)</t>
  </si>
  <si>
    <t>Decamole per Liter; mol/dL; Moles per Deciliter</t>
  </si>
  <si>
    <t>A unit of concentration (molarity unit) equal to one decamole of solute in one liter of solution. (NCI)</t>
  </si>
  <si>
    <t>Decamole Per Liter</t>
  </si>
  <si>
    <t>Decapascal</t>
  </si>
  <si>
    <t>A SI derived unit of pressure equivalent to ten pascals.</t>
  </si>
  <si>
    <t>A unit of measurement equal to the number of days within a period of time equal to one month.</t>
  </si>
  <si>
    <t>Days Per Month</t>
  </si>
  <si>
    <t>days/week</t>
  </si>
  <si>
    <t>A unit of measurement equal to the number of days within a period of time equal to one week.</t>
  </si>
  <si>
    <t>Days Per Week</t>
  </si>
  <si>
    <t>Decibel</t>
  </si>
  <si>
    <t>A unit of measure representing the intensity of an electrical signal or sound which is equal to ten times the logarithm of the ratio of two signals.</t>
  </si>
  <si>
    <t>A unit of measure for the concentration of fibrin degradation products in a sample, calculated based upon the mass of D-dimers contained within that sample. (NCI)</t>
  </si>
  <si>
    <t>D-Dimer Unit</t>
  </si>
  <si>
    <t>Degree Unit of Plane Angle; Degrees</t>
  </si>
  <si>
    <t>A unit of plane angle measurement equal to the length of the arc cut out by the angle, divided by the circumference of the circle, and multiplied by 360. The symbol for degrees is a small superscript circle. One radian is about 57 degrees and one degree is pi/180 radians.(NCI)</t>
  </si>
  <si>
    <t>Degree Unit of Plane Angle</t>
  </si>
  <si>
    <t>A unit of rotation expressed as the number of degrees per unit of length equal to one millimeter.</t>
  </si>
  <si>
    <t>Degree Per Millimeter</t>
  </si>
  <si>
    <t>A unit of angular velocity defined as the number of degrees per unit of time equal to one second.</t>
  </si>
  <si>
    <t>Degrees Per Second</t>
  </si>
  <si>
    <t>sq. deg.</t>
  </si>
  <si>
    <t>A unit of solid angle equal to approximately 3.0462x10^-4 steradians.</t>
  </si>
  <si>
    <t>Degrees Squared</t>
  </si>
  <si>
    <t>Diopter</t>
  </si>
  <si>
    <t>A unit of measurement of the optical power of a curved mirror or lens represented by the inverse of the focal length in meters.</t>
  </si>
  <si>
    <t>Dip Dosing Unit; Snuff Dosing Unit</t>
  </si>
  <si>
    <t>A dosing measurement based on the dip unit.</t>
  </si>
  <si>
    <t>Dip Dosing Unit</t>
  </si>
  <si>
    <t>Disk Dosing Unit</t>
  </si>
  <si>
    <t>A dosing measurement based on the disk unit.(NCI)</t>
  </si>
  <si>
    <t>Deciliter</t>
  </si>
  <si>
    <t>The unit of volume equal to one tenth of a liter. Accepted for use with the SI. (NCI)</t>
  </si>
  <si>
    <t>Decimole</t>
  </si>
  <si>
    <t>A unit of amount of substance equal to one tenth of a mole (1E-1 mole). (NCI)</t>
  </si>
  <si>
    <t>DNA Copies per Milliliter</t>
  </si>
  <si>
    <t>The unit of concentration of deoxyribonucleic acid (DNA) copies expressed as a number of copies in unit volume equal to one milliliter.</t>
  </si>
  <si>
    <t>A unit of measurement equal to the number of deoxyribonucleic acid (DNA) copies per unit of mass equal to one microgram.</t>
  </si>
  <si>
    <t>DNA Copies Per Microgram</t>
  </si>
  <si>
    <t>Disintegrations per Minute</t>
  </si>
  <si>
    <t>A unit of radioactive decay expressed in atoms of radioactive material that decay over a period of time equal to sixty seconds. (NCI)</t>
  </si>
  <si>
    <t>Disintegration per Minute</t>
  </si>
  <si>
    <t>Disintegrations per Minute per 0.5 Milliliter</t>
  </si>
  <si>
    <t>A unit of radioactive decay expressed in atoms of radioactive material that decay over a period of time equal to sixty seconds in a volume unit equal to a half milliliter.</t>
  </si>
  <si>
    <t>Disintegrations per Minute per 100 milligrams; dpm/cg</t>
  </si>
  <si>
    <t>A unit of radioactive decay expressed in atoms of radioactive material that decay over a period of time equal to sixty seconds in a mass unit equal to one hundred milligrams.</t>
  </si>
  <si>
    <t>Disintegration per Minute per 100 milligrams</t>
  </si>
  <si>
    <t>Disintegrations per Minute per Gram</t>
  </si>
  <si>
    <t>A unit of radioactive decay expressed in atoms of radioactive material that decay over a period of time equal to sixty seconds in a mass unit equal to one gram.</t>
  </si>
  <si>
    <t>Disintegration per Minute per Gram</t>
  </si>
  <si>
    <t>Disintegrations per Minute per Milligram</t>
  </si>
  <si>
    <t>A unit of radioactive decay expressed in atoms of radioactive material that decay over a period of time equal to sixty seconds in a mass unit equal to one milligram.</t>
  </si>
  <si>
    <t>Disintegration per Minute per Milligram</t>
  </si>
  <si>
    <t>Disintegrations per Minute per Milliliter</t>
  </si>
  <si>
    <t>A unit of radioactive decay expressed in atoms of radioactive material that decay over a period of time equal to sixty seconds in a volume unit equal to one milliliter.</t>
  </si>
  <si>
    <t>Disintegration per Minute per Milliliter</t>
  </si>
  <si>
    <t>Dram</t>
  </si>
  <si>
    <t>A unit of mass equal to 1/16 Avoirdupois ounce or 1/256 Avoirdupois pound. One dram equals approximately 1.7718451953125 grams.(NCI)</t>
  </si>
  <si>
    <t>Dram Mass Unit</t>
  </si>
  <si>
    <t>Drink Dosing Unit</t>
  </si>
  <si>
    <t>A dosing measurement based on the drink unit.</t>
  </si>
  <si>
    <t>Drip</t>
  </si>
  <si>
    <t>A unit of measure of volume defined as the amount of liquid dispensed as one drop from a dropper dispenser. The volume of a drop depends on the physical properties of the liquid dispensed, the dispenser device, and the technique used to produce the drop. (NCI)</t>
  </si>
  <si>
    <t>Drop</t>
  </si>
  <si>
    <t>Drum Dosing Unit</t>
  </si>
  <si>
    <t>A dosing measurement based on the drum unit.(NCI)</t>
  </si>
  <si>
    <t>Dyne</t>
  </si>
  <si>
    <t>A unit of force defined as the force that accelerates a mass of one gram at the rate of one centimeter per second squared. One dyne is equal to 1E-5 Newton and 2.248E-6 pounds of force. (NCI)</t>
  </si>
  <si>
    <t>Electrochemiluminescence Unit</t>
  </si>
  <si>
    <t>A unit for measuring concentration or/and reactivity of a test substance as defined in the literature reference standard for the particular quantitative electrochemiluminescent method. (NCI)</t>
  </si>
  <si>
    <t>EIA value; Enzyme Immunoassay Unit</t>
  </si>
  <si>
    <t>A unit for measuring concentration or/and reactivity of a test substance (an antigen or antibody of interest) as defined in the literature reference standard for the particular quantitative enzyme immunoassay method.</t>
  </si>
  <si>
    <t>Enzyme Immunoassay Unit</t>
  </si>
  <si>
    <t>50 Percent Embryo Infective Dose per Dose</t>
  </si>
  <si>
    <t>A potency unit for measuring infectious activity of a biologic product or an infectious agent preparation equal to the potency at which one dose of infectious material contains one 50 percent embryo infective dose.(NCI)</t>
  </si>
  <si>
    <t>50 Percent Embryo Infective Dose per Milliliter</t>
  </si>
  <si>
    <t>A potency unit equal to the potency at which one milliliter of preparation contains one 50 percent embryo infective dose.</t>
  </si>
  <si>
    <t>A unit of volume equal to the amount of seminal fluid produced by a single ejaculation event.</t>
  </si>
  <si>
    <t>Ejaculate Unit</t>
  </si>
  <si>
    <t>Enzyme-Linked Immunosorbent Assay Unit</t>
  </si>
  <si>
    <t>A unit for measuring concentration or/and reactivity of a test substance (an antigen or antibody of interest) as defined in the literature reference standard for the particular quantitative enzyme-linked immunosorbent assay method. The enzyme-linked immunosorbent assay unit is used to express potency of immunologically active substances and products, e.g. vaccines.(NCI)</t>
  </si>
  <si>
    <t>Enzyme-Linked Immunosorbent Assay Unit per Dose</t>
  </si>
  <si>
    <t>A unit for measuring potency of immunologically active substance in a product determined as reactivity in a quantitative immunoassay for particular antigen or antibody and expressed per quantity of preparation used as a single dose.(NCI)</t>
  </si>
  <si>
    <t>Enzyme-Linked Immunosorbent Assay Unit per Milliliter</t>
  </si>
  <si>
    <t>A unit for measuring potency of immunologically active substance in a product determined as reactivity in a quantitative immunoassay for particular antigen or antibody and expressed per unit volume equal to one milliliter.(NCI)</t>
  </si>
  <si>
    <t>Envelope Dosing Unit</t>
  </si>
  <si>
    <t>A dosing measurement based on the envelope unit.</t>
  </si>
  <si>
    <t>Enzyme Unit</t>
  </si>
  <si>
    <t>A unit of catalytic activity measurement defined as the quantity of a particular enzyme that catalyzes the transformation of one micromole of the substrate per minute under standard conditions for specified assay system.</t>
  </si>
  <si>
    <t>Enzyme Unit per Gram of Hemoglobin</t>
  </si>
  <si>
    <t>A unit of concentration (biologic activity) equal to one enzyme unit of substance per gram of hemoglobin.</t>
  </si>
  <si>
    <t>Enzyme Unit per Gram Hemoglobin</t>
  </si>
  <si>
    <t>Enzyme Unit/L</t>
  </si>
  <si>
    <t>Unit of catalytic activity concentration defined as activity equal to one enzyme unit per one liter of system volume.</t>
  </si>
  <si>
    <t>Enzyme Unit per Liter</t>
  </si>
  <si>
    <t>A unit of concentration (catalytic activity) equal to one enzyme unit of substance per one square meter of surface area.</t>
  </si>
  <si>
    <t>Enzyme Unit per Meter Squared</t>
  </si>
  <si>
    <t>European Pharmacopoeia Unit</t>
  </si>
  <si>
    <t>An arbitrary unit established by the European Pharmacopoeia.</t>
  </si>
  <si>
    <t>Equivalent Weight</t>
  </si>
  <si>
    <t>A unit of relative amount of a substance that combines with or displaces 8.0 grams of oxygen or 1.008 gram of hydrogen. The unit is usually expressed in grams and is equal to the amount of substance that gains or loses one mole of electrons in a redox reaction, or to the amount of substances that releases or accepts one mole of hydrogen ions in a neutralization reaction; or to the amount of electrolyte that carries one mole of positive or negative charge. This is a large unit and measurements are more often done in its derivatives, e.g. in milliequivalents.(NCI)</t>
  </si>
  <si>
    <t>Ehrlich Units; EU/dL</t>
  </si>
  <si>
    <t>A unit of measure equal to one milligram of urobilinogen per deciliter.</t>
  </si>
  <si>
    <t>Ehrlich Unit</t>
  </si>
  <si>
    <t>A unit of measurement for the number of specified occurrences.</t>
  </si>
  <si>
    <t>Event Unit</t>
  </si>
  <si>
    <t>Degree Fahrenheit</t>
  </si>
  <si>
    <t>The Fahrenheit temperature scale is named after the German physicist Gabriel Fahrenheit (1686-1736), who proposed it in 1724. In this scale, the freezing point of water is 32 degrees Fahrenheit and the boiling point is 212 degrees, placing the boiling and melting points of water 180 degrees apart. In this scale a degree Fahrenheit is 5/9ths of a Kelvin (or of a degree Celsius), and minus 40 degrees Fahrenheit is equal to minus 40 degrees Celsius. (NCI)</t>
  </si>
  <si>
    <t>Farad</t>
  </si>
  <si>
    <t>A unit of capacitance equal to the capacitance of a capacitor having an equal and opposite charge of one coulomb on each plate and a potential difference of one volt between the plates.(NCI)</t>
  </si>
  <si>
    <t>Fibrinogen Equivalent Units</t>
  </si>
  <si>
    <t>A unit of measure for the concentration of fibrin degradation products in a sample, calculated based upon the mass of fibrinogen contained within that sample.</t>
  </si>
  <si>
    <t>Fibrinogen Equivalent Unit</t>
  </si>
  <si>
    <t>Focus-forming Units</t>
  </si>
  <si>
    <t>A unit of measurement of the number of visible clusters of transformed or infected cells.</t>
  </si>
  <si>
    <t>Focus Forming Unit</t>
  </si>
  <si>
    <t>Focus Forming Units/mL</t>
  </si>
  <si>
    <t>A unit of measure expressed in focus forming unit(s) per milliliter of dosing volume.</t>
  </si>
  <si>
    <t>Focus Forming Unit per Milliliter</t>
  </si>
  <si>
    <t>Femtogram</t>
  </si>
  <si>
    <t>A unit of mass equal to one quadrillionth of a gram (1E-15 gram). (NCI)</t>
  </si>
  <si>
    <t>Fingertip Dosing Unit</t>
  </si>
  <si>
    <t>An arbitrary dosing unit used predominantly for semisolid topical formulations such as cream, ointment, paste, etc. One fingertip unit is the amount of a product that is squeezed out from a standard tube with 5-millimeter diameter nozzle along an adult's fingertip. A fingertip length is defined from the tip of the index finger to the first finger crease. A fingertip dosing unit varies with age and size of the body. The average fingertip unit is equal to approximately 0.5 gram for an adult male and 0.4 gram for an adult female.(NCI)</t>
  </si>
  <si>
    <t>Fluorescence Intensity Unit; MFI</t>
  </si>
  <si>
    <t>A unit of measure for the fluorescence intensity when the mathematic calculation is unspecified or unknown.</t>
  </si>
  <si>
    <t>Fluorescence Intensity Unit</t>
  </si>
  <si>
    <t>Cubic Micrometer; Cubic Micron; Femtoliter; um3</t>
  </si>
  <si>
    <t>The unit of volume equal 1E-15 liter.</t>
  </si>
  <si>
    <t>Femtoliter</t>
  </si>
  <si>
    <t>Femtomole</t>
  </si>
  <si>
    <t>A unit of amount of substance equal to one quadrillionth of a mole (1E-15 mole). (NCI)</t>
  </si>
  <si>
    <t>Femtomole per Gram</t>
  </si>
  <si>
    <t>A molality unit that describes the amount of substance, expressed in femtomole(s) per gram. (NCI)</t>
  </si>
  <si>
    <t>Femtomole per Liter</t>
  </si>
  <si>
    <t>A unit of concentration (molarity unit) equal to one quadrillionth of a mole (1E-15 mole) of solute in one liter of solution. (NCI)</t>
  </si>
  <si>
    <t>Femtomoles per Liter per Second; fmol/L/sec</t>
  </si>
  <si>
    <t>A concentration unit equal to one femtomole of solute in one liter of solution per unit of time equal to one second. (NCI)</t>
  </si>
  <si>
    <t>Femtomole per Liter per Second</t>
  </si>
  <si>
    <t>Fluid Ounce Imperial</t>
  </si>
  <si>
    <t>A traditional unit of liquid volume equal in the British Imperial system to 1/20 pint, or 1.733871 cubic inches or 28.413063 milliliters.</t>
  </si>
  <si>
    <t>Fluid Ounce British</t>
  </si>
  <si>
    <t>Fluid Ounce US</t>
  </si>
  <si>
    <t>A traditional unit of liquid volume equal in the US customary system to 1/16 pint, or 1.804687 cubic inches or 29.573531 milliliters.</t>
  </si>
  <si>
    <t>Proportion of 1</t>
  </si>
  <si>
    <t>A unit for expressing a percentage as a decimal whereby the total value is measured as a fraction of the numeric 1.</t>
  </si>
  <si>
    <t>Fraction of 1</t>
  </si>
  <si>
    <t>F/s; FPS; Frames per Second; Frames/sec</t>
  </si>
  <si>
    <t>A unit of measure equal to the number of visual frames per unit of time equal to one second. (NCI)</t>
  </si>
  <si>
    <t>Frames Per Second</t>
  </si>
  <si>
    <t>Foot</t>
  </si>
  <si>
    <t>A unit of length defined by the U.S. National Bureau of Standards as 30.48 centimeters. It is equal to 0.3048 meter, 12 inches, or to approximately 0.999998 survey foot.(NCI)</t>
  </si>
  <si>
    <t>International Foot</t>
  </si>
  <si>
    <t>Square Foot</t>
  </si>
  <si>
    <t>A unit of area equal to 144 square inches, 929.0304 square centimeters, or 9.290304E-2 square meters.(NCI)</t>
  </si>
  <si>
    <t>Standard Cubic Foot</t>
  </si>
  <si>
    <t>A unit used in physical chemistry to express the amount of substance of an ideal gas in one cubic foot at 60 degrees Fahrenheit and pressure of one atmosphere.(NCI)</t>
  </si>
  <si>
    <t>Gram</t>
  </si>
  <si>
    <t>A unit of mass equal to one thousandth (1E-3) of a kilogram, the kilogram being the base unit of mass in the International System of Units (SI).</t>
  </si>
  <si>
    <t>Gram per Animal</t>
  </si>
  <si>
    <t>A unit of measure expressed in gram(s) per animal.</t>
  </si>
  <si>
    <t>Gram per Animal per Day</t>
  </si>
  <si>
    <t>A unit of measure expressed in gram(s) per animal per period of time equal to twenty-four hours.</t>
  </si>
  <si>
    <t>Gram per Animal per Week</t>
  </si>
  <si>
    <t>A unit of measure expressed in gram(s) per animal per period of time equal to seven days.</t>
  </si>
  <si>
    <t>Gram per Cage</t>
  </si>
  <si>
    <t>A unit of measure expressed in gram(s) per cage.</t>
  </si>
  <si>
    <t>Gram per Cage per Day</t>
  </si>
  <si>
    <t>A unit of measure expressed in gram(s) per cage per period of time equal to twenty-four hours.</t>
  </si>
  <si>
    <t>Gram per Cage per Week</t>
  </si>
  <si>
    <t>A unit of measure expressed in gram(s) per cage per period of time equal to seven days.</t>
  </si>
  <si>
    <t>Gram per Square Centimeter</t>
  </si>
  <si>
    <t>A unit of area density defined as a spread rate at which one gram of a substance is spread over the area of one square centimeter. The unit is also used as a dose calculation unit.(NCI)</t>
  </si>
  <si>
    <t>g/24h</t>
  </si>
  <si>
    <t>A unit of mass flow rate equal to one gram per day.</t>
  </si>
  <si>
    <t>Gram per 24 Hours</t>
  </si>
  <si>
    <t>g%; Gram per Deciliter</t>
  </si>
  <si>
    <t>A unit of mass concentration defined as the concentration of one gram of a substance per unit volume of the mixture equal to one deciliter (100 milliliters). The concept also refers to the metric unit of mass density (volumic mass) defined as the density of substance which mass equal to one gram occupies the volume one deciliter.(NCI)</t>
  </si>
  <si>
    <t>Gram per Deciliter</t>
  </si>
  <si>
    <t>kg/kg; mcg/mcg; mg/mg; ug/ug</t>
  </si>
  <si>
    <t>A unit of a mass fraction expressed as a number of grams of substance per gram of mixture.</t>
  </si>
  <si>
    <t>Gram per Gram</t>
  </si>
  <si>
    <t>Gram per Gram per Day</t>
  </si>
  <si>
    <t>A unit of measure expressed in gram(s) per gram per period of time equal to twenty-four hours.</t>
  </si>
  <si>
    <t>Gram per Kilogram; mg/g; Microgram per Milligram; Milligram per Gram; ug/mg</t>
  </si>
  <si>
    <t>Grams (weight), divided by kilograms (weight) or micrograms (weight) per milligrams (weight).</t>
  </si>
  <si>
    <t>Gram per Kilogram</t>
  </si>
  <si>
    <t>Gram per Kilogram per Day; mg/g/day; Milligram per Gram per Day</t>
  </si>
  <si>
    <t>A dose administration rate unit equal to the rate at which one gram of a product per kilogram of body mass is delivered or administered over the period of one day. (NCI)</t>
  </si>
  <si>
    <t>Gram per Kilogram per Day</t>
  </si>
  <si>
    <t>g/L; Gram per Liter; kg/m3; Kilogram per Cubic Meter; mg/mL; Microgram per Microliter; Milligram per Milliliter; ug/uL</t>
  </si>
  <si>
    <t>A unit of concentration or mass density equal to one milligram of substance per milliliter of solution or one gram of substance per liter of solution.</t>
  </si>
  <si>
    <t>Kilogram per Cubic Meter</t>
  </si>
  <si>
    <t>Gram per Square Meter</t>
  </si>
  <si>
    <t>A unit of area density defined as a spread rate at which one gram of a substance is spread over the area of one square meter. It is equal to approximately 0.029 4935 ounce per square yard. Also used as a dose calculation unit.(NCI)</t>
  </si>
  <si>
    <t>g/h*m2</t>
  </si>
  <si>
    <t>A unit of measurement expressed as grams per square meter times a unit of time equal to one hour.</t>
  </si>
  <si>
    <t>Gram per Hour times Square Meter</t>
  </si>
  <si>
    <t>Gram per Square Meter per Day</t>
  </si>
  <si>
    <t>A dose calculation unit expressed in gram(s) per square meter per period of time equal to twenty-four hours.</t>
  </si>
  <si>
    <t>mg/mmol</t>
  </si>
  <si>
    <t>A unit of mass commonly used to express the molar mass of a substance in gram(s) per mole. (NCI)</t>
  </si>
  <si>
    <t>Gram per Mole</t>
  </si>
  <si>
    <t>A unit of concentration or mass density equal to one gram of substance per unit(s) of substance.</t>
  </si>
  <si>
    <t>Gram Per Unit</t>
  </si>
  <si>
    <t>Gram per Week</t>
  </si>
  <si>
    <t>A unit of mass flow rate equal to one gram per week or a dose administration rate unit equal to the rate at which a gram of a product is delivered or administered over the time period of one week.</t>
  </si>
  <si>
    <t>Gauss</t>
  </si>
  <si>
    <t>The unit of magnetic flux density. A field of one Gauss exerts a force on a conductor, placed in the field of 0.1 dyne per Ampere of current per centimeter of conductor. One Gauss represents a magnetic flux of one Maxwell per square centimeter of cross-section perpendicular to the field. One Gauss equals 10-4 Tesla.(NCI)</t>
  </si>
  <si>
    <t>Gigabecquerel</t>
  </si>
  <si>
    <t>A unit of radioactivity equal to one billion nuclear disintegrations or other nuclear transformations per second, or to 1E9 Becquerels. (NCI)</t>
  </si>
  <si>
    <t>GBq/g; Gigabecquerel per Gram; kBq/ug; Kilobecquerel per Microgram; MBq/mg; Megabecquerel per Milligram</t>
  </si>
  <si>
    <t>A unit of specific radioactivity (massic activity) equal to activity of one gigabecquerel of the sample with total mass of one gram, or equal to activity of one megabecquerel of the sample with total mass of one milligram.</t>
  </si>
  <si>
    <t>Gigabecquerel per Gram</t>
  </si>
  <si>
    <t>Gigabecquerel per Milligram; MBq/mcg; MBq/ug; Megabecquerel per Microgram</t>
  </si>
  <si>
    <t>A unit of specific radioactivity (massic activity) equal to activity of one gigabecquerel of the sample with total mass of one milligram.(NCI)</t>
  </si>
  <si>
    <t>Gigabecquerel per Milligram</t>
  </si>
  <si>
    <t>GBq/mcg; Gigabecquerel per Microgram; MBq/ng; Megabecquerel per nanogram</t>
  </si>
  <si>
    <t>A unit of specific radioactivity (massic activity) equal to activity of one gigabecquerel of the sample with total mass of one microgram.(NCI)</t>
  </si>
  <si>
    <t>Gigabecquerel per Microgram</t>
  </si>
  <si>
    <t>GE; Genomic Equivalents</t>
  </si>
  <si>
    <t>A unit defined as the number of whole organism genomes in a sample. (NCI)</t>
  </si>
  <si>
    <t>Genomic Equivalents</t>
  </si>
  <si>
    <t>GE/mL; Genomic Equivalents per Milliliter</t>
  </si>
  <si>
    <t>A unit of concentration defined as the number of genomic equivalents per milliliter. (NCI)</t>
  </si>
  <si>
    <t>Genomic Equivalents per Milliliter</t>
  </si>
  <si>
    <t>A dosing measurement based on the globule unit.</t>
  </si>
  <si>
    <t>Globule Unit</t>
  </si>
  <si>
    <t>Geometric Mean Fluorescence Intensity Unit</t>
  </si>
  <si>
    <t>A unit of measure for the geometric mean fluorescence intensity.</t>
  </si>
  <si>
    <t>A unit for measuring potency of immunologically active substance in a product determined as reactivity in a glycoprotein enzyme-linked immunosorbent assay for particular antigen or antibody and expressed per unit volume equal to one milliliter.</t>
  </si>
  <si>
    <t>Glycoprotein-ELISA Unit Per Milliliter</t>
  </si>
  <si>
    <t>[GPL'U]; Immunoglobin G Phospholipid Units</t>
  </si>
  <si>
    <t>A unit for semiquantitative measurement of IgG autoantibodies to proteins associated with negatively charged phospholipids evaluated against an established reference standard. (NCI)</t>
  </si>
  <si>
    <t>IgG Phospholipid Unit</t>
  </si>
  <si>
    <t>Immunoglobin G Phospholipid Units per Milliliter</t>
  </si>
  <si>
    <t>A unit for semiquantitative measurement of IgG autoantibodies to proteins associated with negatively charged phospholipids evaluated against an established reference standard, per unit of volume equal to one milliliter.</t>
  </si>
  <si>
    <t>Immunoglobin G Phospholipid Unit per Milliliter</t>
  </si>
  <si>
    <t>Immunoglobin G Phosphatidylserine Units; Phosphatidylserine IgG Antibody Unit</t>
  </si>
  <si>
    <t>A unit for semiquantitative measurement of IgG autoantibodies to proteins associated with phosphatidylserine evaluated against an established reference standard. (NCI)</t>
  </si>
  <si>
    <t>Phosphatidylserine IgG Antibody Unit</t>
  </si>
  <si>
    <t>Immunoglobin G Phosphatidylserine Units/mL; Phosphatidylserine IgG Antibody Unit/mL</t>
  </si>
  <si>
    <t>Unit of measure of potency of allergenic product expressed as a number of immunoglobin G phosphatidylserine units per one milliliter of formulation.</t>
  </si>
  <si>
    <t>Phosphatidylserine IgG Antibody Unit per Milliliter</t>
  </si>
  <si>
    <t>Grain</t>
  </si>
  <si>
    <t>A unit of mass derived from the weight of a grain and equal to one seven-thousandth of a pound, or 1/480 troy ounce, or 64.79891 milligrams. The original English grain unit based on the mass of a ripe grain barleycorn was larger the corresponding grain units of France and other European nations which were based on the weight of the smaller wheat grain.(NCI)</t>
  </si>
  <si>
    <t>A unit of acceleration expressed as a multiple of the force of gravity on earth (1 gravitational unit = 9.81m/s2).</t>
  </si>
  <si>
    <t>Unit of Gravity</t>
  </si>
  <si>
    <t>Metric Drop</t>
  </si>
  <si>
    <t>A unit of volume equal to 0.05 milliliter (20 drops/ml).(NCI)</t>
  </si>
  <si>
    <t>Gummy Dosing Unit</t>
  </si>
  <si>
    <t>A dosing measurement based on the gummy unit.</t>
  </si>
  <si>
    <t>Chewable Gel Dosing Unit</t>
  </si>
  <si>
    <t>Gray</t>
  </si>
  <si>
    <t>A unit of absorbed radiation dose. One gray is equal to an absorbed dose of one joule per kilogram of matter, or to 100 rads.(NCI)</t>
  </si>
  <si>
    <t>Gray/Hour</t>
  </si>
  <si>
    <t>A unit of absorbed radiation dose rate defined as the number of Grays per hour.</t>
  </si>
  <si>
    <t>Gray per Hour</t>
  </si>
  <si>
    <t>Gray/Minute</t>
  </si>
  <si>
    <t>A unit of absorbed radiation dose rate defined as the number of Grays per minute.</t>
  </si>
  <si>
    <t>Gray per Minute</t>
  </si>
  <si>
    <t>A unit of measure for the area under an effect curve (AUEC) defined as hours times percent.</t>
  </si>
  <si>
    <t>Hour Times Percent</t>
  </si>
  <si>
    <t>hours/week</t>
  </si>
  <si>
    <t>A unit of measurement equal to the number of hours within a period of time equal to one week.</t>
  </si>
  <si>
    <t>Hours Per Week</t>
  </si>
  <si>
    <t>Henry</t>
  </si>
  <si>
    <t>A unit of electric inductance. A coil with an inductance of one Henry requires a flux of one Weber for each Ampere of induced current. If it is the current which changes, then the induced field will generate a potential difference within the coil: if the inductance is one Henry a current change of one Ampere per second generates a potential difference of one volt. The Henry is a large unit; inductances in practical circuits are measured in millihenrys or microhenrys.(NCI)</t>
  </si>
  <si>
    <t>Histamine Equivalent Prick Unit</t>
  </si>
  <si>
    <t>Unit of measure of potency of allergenic product expressed as a number of histamine equivalent prick units.</t>
  </si>
  <si>
    <t>Homeopathic Dilution Unit</t>
  </si>
  <si>
    <t>A dosing measurement based on the homeopathic dilution unit.(NCI)</t>
  </si>
  <si>
    <t>HU</t>
  </si>
  <si>
    <t>The unit of measure for the radiodensity of a substance. The radiodensity of distilled water at standard temperature and pressure is zero on the Hounsfield scale.</t>
  </si>
  <si>
    <t>Hounsfield Unit</t>
  </si>
  <si>
    <t>Hectopascal</t>
  </si>
  <si>
    <t>A SI derived unit of pressure equivalent to one hundred pascals, 1 millibar or 0.0145 pounds per square inch.</t>
  </si>
  <si>
    <t>Hours per Day</t>
  </si>
  <si>
    <t>A unit of measurement equal to the number of hours within a period of time equal to one day.</t>
  </si>
  <si>
    <t>Hour per Day</t>
  </si>
  <si>
    <t>Cycle per Second; cycle/sec; Hertz</t>
  </si>
  <si>
    <t>A unit of frequency equal to one cycle per second.(NCI)</t>
  </si>
  <si>
    <t>Hertz</t>
  </si>
  <si>
    <t>Hz/sec</t>
  </si>
  <si>
    <t>A unit of frequency rate change defined as the number of Hertz per unit of time equal to one second.</t>
  </si>
  <si>
    <t>Hertz Per Second</t>
  </si>
  <si>
    <t>Implant Dosing Unit</t>
  </si>
  <si>
    <t>A dosing measurement based on the implant unit.(NCI)</t>
  </si>
  <si>
    <t>Inch</t>
  </si>
  <si>
    <t>A traditional unit of length equal to 2.54 centimeters. (NCI)</t>
  </si>
  <si>
    <t>Square Inch</t>
  </si>
  <si>
    <t>A unit of area equal to the area of a square with sides of one inch. It is equal to 6.4516 square centimeters.(NCI)</t>
  </si>
  <si>
    <t>Inhalation Dosing Unit</t>
  </si>
  <si>
    <t>A dosing measurement based on the inhalation unit.(NCI)</t>
  </si>
  <si>
    <t>IE; International Unit</t>
  </si>
  <si>
    <t>The unitage assigned by the WHO (World Health Organization) to International Biological Standards - substances, classed as biological according to the criteria provided by WHO Expert Committee on Biological Standardization, to enable the results of biological and immunological assay procedures to be expressed in the same way throughout the world. The definition of an international unit is generally arbitrary and technical, and has to be officially approved by the International Conference for Unification of Formulae.(NCI)</t>
  </si>
  <si>
    <t>International Unit</t>
  </si>
  <si>
    <t>A unit of substance (biologic activity) flow rate equal to one international unit per day.</t>
  </si>
  <si>
    <t>International Unit per Day</t>
  </si>
  <si>
    <t>Unit of arbitrary substance concentration (biologic activity concentration) defined as the concentration of one international unit per one deciliter of system volume.</t>
  </si>
  <si>
    <t>International Unit per Deciliter</t>
  </si>
  <si>
    <t>A unit of concentration (biologic activity) equal to one international unit of substance per gram of hemoglobin.</t>
  </si>
  <si>
    <t>International Unit per Gram Hemoglobin</t>
  </si>
  <si>
    <t>International Unit per Gram</t>
  </si>
  <si>
    <t>A unit of measure of quantity of substance per unit mass, expressed in terms of the International Unit per grams.(NCI)</t>
  </si>
  <si>
    <t>IU/h</t>
  </si>
  <si>
    <t>A unit of substance (biologic activity) flow rate equal to one international unit per hour.</t>
  </si>
  <si>
    <t>International Unit per Hour</t>
  </si>
  <si>
    <t>International Unit per Kilogram</t>
  </si>
  <si>
    <t>An arbitrary unit of substance content expressed in international units of biological activity per one kilogram of mass of the system. It is also used as a dose calculation unit expressed in international units of biological activity per one kilogram of body mass.(NCI)</t>
  </si>
  <si>
    <t>International units per Kilogram per Hour</t>
  </si>
  <si>
    <t>A dose calculation unit equal to one international unit (an arbitrary unit of biological activity) of a product per one kilogram of body mass administered per unit of time equal to one hour.(NCI)</t>
  </si>
  <si>
    <t>International Unit per Kilogram per Hour</t>
  </si>
  <si>
    <t>IE/L; International Unit per Liter; IU/L; mIU/mL</t>
  </si>
  <si>
    <t>A unit of concentration (biologic activity) equal to one milli-international unit of substance per milliliter of solution or one international unit of substance per liter of solution.</t>
  </si>
  <si>
    <t>International Unit per Liter</t>
  </si>
  <si>
    <t>International Unit per Milligram</t>
  </si>
  <si>
    <t>A unit of measure of quantity of substance per unit mass, expressed in terms of international units per milligram.</t>
  </si>
  <si>
    <t>IE/mL; International Unit per Milliliter; Kilo International Unit per Liter; kIU/L</t>
  </si>
  <si>
    <t>A unit of concentration (biologic activity) equal to one international unit of substance per milliliter of solution.</t>
  </si>
  <si>
    <t>International Unit per Milliliter</t>
  </si>
  <si>
    <t>A unit of concentration (biologic activity) equal to one international unit of substance per millimole of substance.</t>
  </si>
  <si>
    <t>International Unit per Millimole</t>
  </si>
  <si>
    <t>A unit of radiant exposure defined as a unit of energy equal to one Joule applied to a unit of area equal to one square centimeter.</t>
  </si>
  <si>
    <t>Joule per Square Centimeter</t>
  </si>
  <si>
    <t>Jar Dosing Unit</t>
  </si>
  <si>
    <t>A dosing measurement based on the jar unit.(NCI)</t>
  </si>
  <si>
    <t>JDF U; Juvenile Diabetes Foundation Unit</t>
  </si>
  <si>
    <t>A unit of measure, defined by the Juvenile Diabetes Foundation, used to quantify islet cell antibodies in a biological sample.</t>
  </si>
  <si>
    <t>Juvenile Diabetes Foundation Unit</t>
  </si>
  <si>
    <t>Joule</t>
  </si>
  <si>
    <t>A unit of electrical, mechanical, and thermal energy (as well as work and quantity of heat), equal to the work done when the point of application of a force of one Newton is displaced through a distance of one meter in the direction of the force or the work done when a current of one Ampere passes through a resistance of one ohm for one second. One joule is equal to 0.23889 gram-calorie (mean).(NCI)</t>
  </si>
  <si>
    <t>Kelvin</t>
  </si>
  <si>
    <t>A basic unit of thermodynamic temperature, one of the seven base units of the International System of Units (Systeme International d'Unites, SI). It is 1/273.16th of the thermodynamic temperature of the triple point of water. This sets the size of the kelvin unit for temperature differences and defines the thermodynamic temperature of an equilibrium mixture of waters ice-liquid-vapor as 273.16 K, where 0 K is the lowest possible temperature ("absolute zero").</t>
  </si>
  <si>
    <t>A unit of phosphatase concentration that can free one milligram of phenol from disodium phenylphosphate at standard conditions, per unit volume of the mixture equal to one deciliter. (NCI)</t>
  </si>
  <si>
    <t>King-Armstrong Unit per Deciliter</t>
  </si>
  <si>
    <t>Kallikrein Inhibitor Unit</t>
  </si>
  <si>
    <t>A dosing measurement based on the Kallikrein inhibitor unit.(NCI)</t>
  </si>
  <si>
    <t>Katal</t>
  </si>
  <si>
    <t>A unit for measuring catalytic (e.g. enzymatic) activity, the ability of the compound to accelerate the chemical reaction by providing a lower energy pathway between the reactants and the products. One katal is that catalytic activity which will raise the rate of reaction by one mole per second in a specified assay system. When the katal is used, the measurand should be specified by reference to the measurement procedure; the measurement procedure must identify the indicator reaction. The katal is not used to express a rate of reaction itself, which should be expressed in moles per second.(NCI)</t>
  </si>
  <si>
    <t>Kilobecquerel</t>
  </si>
  <si>
    <t>A unit of radioactivity equal to one thousand nuclear disintegrations or other nuclear transformations per second, or to 1E3 Becquerels. (NCI)</t>
  </si>
  <si>
    <t>GBq/L; Gigabecquerel per Liter; Kilobecquerel per Microliter; MBq/mL; Megabecquerel per Milliliter</t>
  </si>
  <si>
    <t>A unit of volumetric radioactivity concentration defined as a concentration of a radionuclide with an activity equal to one thousand Becquerels per unit volume equal to one millionth of a liter.(NCI)</t>
  </si>
  <si>
    <t>Kilobecquerel per Microliter</t>
  </si>
  <si>
    <t>Kilogram-Calorie</t>
  </si>
  <si>
    <t>A unit of energy defined as the amount of heat required to raise the temperature of one kilogram of pure water by one degree Centigrade under standard conditions (the specific heat of the water at 15 degrees Celsius and the constant pressure of 101.325 kilopascals or one atm being defined as unity), equal to approximately 4.1855 kJ. It is also is used by nutritionists in measuring the energy-producing potential of food as a unit of potential energy contained by a substance, which can be liberated when the material is oxidized, usually by combustion in the presence of oxygen.(NCI)</t>
  </si>
  <si>
    <t>A unit of energy equal to one kilocalorie per day. (NCI)</t>
  </si>
  <si>
    <t>Kilocalorie per Day</t>
  </si>
  <si>
    <t>Kilodalton; Kilounified Atomic Mass Unit; ku</t>
  </si>
  <si>
    <t>A mass unit equal to one thousand daltons.</t>
  </si>
  <si>
    <t>Kilodalton</t>
  </si>
  <si>
    <t>KeV; Kiloelectronvolt</t>
  </si>
  <si>
    <t>A unit of energy equal to 1000 electronvolts, or (approximately) 1,602 177 x 10-16 joule.</t>
  </si>
  <si>
    <t>Kiloelectronvolt</t>
  </si>
  <si>
    <t>Kilogram</t>
  </si>
  <si>
    <t>The base unit of mass in the International System of Units (SI) equal to the mass of the international prototype kilogram, a platinum-iridium cylinder in the custody of the International Bureau of Weights and Measures.</t>
  </si>
  <si>
    <t>A unit of measure equal to kilograms per length unit equal to one centimeter.</t>
  </si>
  <si>
    <t>Kilogram per Centimeter</t>
  </si>
  <si>
    <t>Kilogram per Square Centimeter</t>
  </si>
  <si>
    <t>A unit of spread rate of a substance by mass expressed in kilograms per area unit equal to one square centimeter, used also as a measure of area density and as a dose calculation unit.(NCI)</t>
  </si>
  <si>
    <t>g/mL; Gram per Milliliter; gram/mL; kg/L; Kilogram per Liter; mg/uL</t>
  </si>
  <si>
    <t>A unit of concentration or mass density equal to one gram of substance per milliliter of solution or one kilogram of substance per liter of solution.</t>
  </si>
  <si>
    <t>Kilogram per Liter</t>
  </si>
  <si>
    <t>Kilogram per Square Meter</t>
  </si>
  <si>
    <t>A unit expressed as kilogram of mass per square meter of area.(NCI)</t>
  </si>
  <si>
    <t>g/mmol</t>
  </si>
  <si>
    <t>A unit of mass commonly used to express the molar mass of a substance in kilogram(s) per mole.</t>
  </si>
  <si>
    <t>Kilogram per Mole</t>
  </si>
  <si>
    <t>kilohertz</t>
  </si>
  <si>
    <t>A unit of measure denoting the frequency equal to 1000 cycles per second meaning e.g. that the cylical waveform changes from one state to the other (from one polarity to the other) 1000 times per second. (NCI)</t>
  </si>
  <si>
    <t>Kilohertz</t>
  </si>
  <si>
    <t>Kit Dosing Unit</t>
  </si>
  <si>
    <t>A dosing measurement based on the kit unit.(NCI)</t>
  </si>
  <si>
    <t>Kilo International Unit</t>
  </si>
  <si>
    <t>A unit equal to one thousand international units.(NCI)</t>
  </si>
  <si>
    <t>Kilointernational Unit</t>
  </si>
  <si>
    <t>Kilometer</t>
  </si>
  <si>
    <t>A unit of distance equal to 1000 meters, 0.621 miles, 1094 yards, or 3281 feet.(NCI)</t>
  </si>
  <si>
    <t>Kilometer Per Hour</t>
  </si>
  <si>
    <t>A unit of both speed (scalar) and velocity (vector), defined as the distance of one thousand meters travelled per unit time equal to one hour.(NCI)</t>
  </si>
  <si>
    <t>Kilometer per Hour</t>
  </si>
  <si>
    <t>kdyn/cm2; Kilonewton per Centimeter Squared</t>
  </si>
  <si>
    <t>The kilonewton per centimeter squared is an SI derived unit of pressure; one newton is computed as the force necessary to accelerate a mass of one gram at the rate of one centimeter per second squared. One kilonewton per centimeter squared is descriptive of the amount of force exerted in a particular area. This measurement is frequently used when describing conditions of cellular movement. (NCI)</t>
  </si>
  <si>
    <t>Kilonewton per Centimeter Squared</t>
  </si>
  <si>
    <t>Kilopascal</t>
  </si>
  <si>
    <t>A SI derived unit of pressure equivalent to 1000 newtons per square meter or 10000 bars or to 0.145 pound per square inch. (NCI)</t>
  </si>
  <si>
    <t>kPa/L/sec; Pa/mL/sec</t>
  </si>
  <si>
    <t>A unit of resistance equal to the number of kilopascals per unit of volume equal to one liter per unit of time equal to one second. (NCI)</t>
  </si>
  <si>
    <t>Kilopascal Per Liter Per Second</t>
  </si>
  <si>
    <t>10^3 sec; Kilosecond; ksec</t>
  </si>
  <si>
    <t>A unit of time equal to one thousand seconds (1E3 seconds). (NCI)</t>
  </si>
  <si>
    <t>Kilosecond</t>
  </si>
  <si>
    <t>Kilo United States Pharmacopeia Unit</t>
  </si>
  <si>
    <t>A unit of potency equal to one thousand US Pharmacopoeia Units.(NCI)</t>
  </si>
  <si>
    <t>Kilovolt</t>
  </si>
  <si>
    <t>A unit of electric potential and electromotive force equal to one thousand volts.</t>
  </si>
  <si>
    <t>Liter</t>
  </si>
  <si>
    <t>A unit of volume equal to one thousandth (1E-3) of a cubic meter, the cubic meter being the standard derived unit of volume in the International System of Units (SI).</t>
  </si>
  <si>
    <t>A unit of flow rate equal to one liter per day.</t>
  </si>
  <si>
    <t>Liter per Day</t>
  </si>
  <si>
    <t>A unit of flow rate equal to one liter per hour.</t>
  </si>
  <si>
    <t>Liter per Hour</t>
  </si>
  <si>
    <t>(L/h)/m2; L/h/m2</t>
  </si>
  <si>
    <t>Liters per hour (flow rate), divided by meters squared (surface area).</t>
  </si>
  <si>
    <t>Liter Per Hour Per Square Meter</t>
  </si>
  <si>
    <t>L/kg; mL/g</t>
  </si>
  <si>
    <t>Liters (volume) divided by kilograms (weight) or milliliters (volume), divided by grams (weight).</t>
  </si>
  <si>
    <t>Liter per Kilogram</t>
  </si>
  <si>
    <t>dL/dL; Liter per Liter; mL/mL; uL/uL</t>
  </si>
  <si>
    <t>A unit of volume concentration equal to the number of liters per unit of volume equal to one liter.</t>
  </si>
  <si>
    <t>Liter Per Liter</t>
  </si>
  <si>
    <t>A unit of flow rate equal to one liter per minute.</t>
  </si>
  <si>
    <t>Liter per Minute</t>
  </si>
  <si>
    <t>(L/min)/m2; L/min/m2</t>
  </si>
  <si>
    <t>Liters per minute (flow rate), divided by meters squared (surface area).</t>
  </si>
  <si>
    <t>Liter Per Minute Per Square Meter</t>
  </si>
  <si>
    <t>L/sec</t>
  </si>
  <si>
    <t>Liters per second.</t>
  </si>
  <si>
    <t>Liter per Second</t>
  </si>
  <si>
    <t>A unit of conductance equal to the number of liters per unit of time equal to one second per unit of pressure equal to one kilopascal.</t>
  </si>
  <si>
    <t>Liter per Second per Kilopascal</t>
  </si>
  <si>
    <t>lb; lb_av; Pound</t>
  </si>
  <si>
    <t>A traditional unit of mass. By international agreement, one avoirdupois pound is equal to exactly 0.453 592 37 kilogram, 16 ounces, or 1.215 28 troy pounds. (NCI)</t>
  </si>
  <si>
    <t>Pound</t>
  </si>
  <si>
    <t>Lens Dosing Unit</t>
  </si>
  <si>
    <t>A dosing measurement based on the lens unit.</t>
  </si>
  <si>
    <t>Linear Foot-pound; Linear ft*lbf; Linear Pounds Feet</t>
  </si>
  <si>
    <t>A unit of measure that equals the work required to move one pound a linear distance of one foot in the direction of the applied force.</t>
  </si>
  <si>
    <t>Linear Foot Pound</t>
  </si>
  <si>
    <t>A dosing unit based on lipase activity.</t>
  </si>
  <si>
    <t>Lipase Unit</t>
  </si>
  <si>
    <t>A dosing unit based on lipase activity per kilogram of body mass.</t>
  </si>
  <si>
    <t>Lipase Units per Kilogram</t>
  </si>
  <si>
    <t>Lumen</t>
  </si>
  <si>
    <t>A unit of luminous flux. It is the amount of light that falls on a unit area at unit distance from a source of one candela.(NCI)</t>
  </si>
  <si>
    <t>Log10 50 Percent Embryo Infective Dose per Dose</t>
  </si>
  <si>
    <t>A logarithmic-scale (base 10) potency unit for measuring infectious activity of a biologic product or infectious agent preparation equal to the potency at which one dose of infectious material contains one 50 percent embryo infective dose.(NCI)</t>
  </si>
  <si>
    <t>Log10 50 Percent Cell Culture Infective Dose per Dose</t>
  </si>
  <si>
    <t>A logarithmic-scale (base 10) potency unit for measuring infectious activity of a biologic product or infectious agent preparation equal to the potency at which one dose of infectious material contains one 50 percent cell culture infective dose.(NCI)</t>
  </si>
  <si>
    <t>A logarithmic-scale (base 10) unit for measuring colony forming units per unit of mass equal to one gram.</t>
  </si>
  <si>
    <t>Log10 Colony Forming Units per Gram</t>
  </si>
  <si>
    <t>A logarithmic-scale (base 10) unit for measuring colony forming units per unit of volume equal to one milliliter.</t>
  </si>
  <si>
    <t>Log10 Colony Forming Units per Milliliter</t>
  </si>
  <si>
    <t>A logarithmic-scale (base 10) unit for measuring copies per unit of volume equal to one milliliter.</t>
  </si>
  <si>
    <t>Log10 Copies per Milliliter</t>
  </si>
  <si>
    <t>Log10 Enzyme-Linked Immunosorbent Assay Unit</t>
  </si>
  <si>
    <t>A logarithmic-scale (base 10) unit for measuring concentration and/or reactivity of a test substance (an antigen or antibody of interest) as defined in the literature reference for the particular quantitative enzyme-linked immunosorbent assay method.(NCI)</t>
  </si>
  <si>
    <t>Log10 Enzyme-Linked Immunosorbent Assay Unit per Dose</t>
  </si>
  <si>
    <t>A logarithmic-scale (base 10) unit for measuring potency of immunologically active substance in a product determined as reactivity in a quantitative immunoassay for particular antigen or antibody and expressed per quantity of preparation used as a single dose.(NCI)</t>
  </si>
  <si>
    <t>A logarithmic-scale (base 10) unit for measuring international units per unit of volume equal to one milliliter.</t>
  </si>
  <si>
    <t>Log10 International Units per Milliliter</t>
  </si>
  <si>
    <t>A logarithmic-scale (base 10) unit for measuring plaque forming units.</t>
  </si>
  <si>
    <t>Log10 Plaque Forming Unit</t>
  </si>
  <si>
    <t>A logarithmic-scale (base 10) unit for measuring plaque forming units per unit of volume equal to one milliliter.</t>
  </si>
  <si>
    <t>log10 Plaque Forming Units Per Milliliter</t>
  </si>
  <si>
    <t>Log10 50 Percent Tissue Culture Infective Dose per Dose</t>
  </si>
  <si>
    <t>A logarithmic-scale (base 10) potency unit for measuring infectious activity of a biologic product or infectious agent preparation equal to the potency at which one dose of infectious material contains one 50 percent tissue culture infective dose.(NCI)</t>
  </si>
  <si>
    <t>Log10 50 Percent Tissue Culture Infective Dose per Milliliter</t>
  </si>
  <si>
    <t>A logarithmic-scale (base 10) potency unit for measuring infectious activity of a biologic product or infectious agent preparation equal to the potency at which one milliliter of infectious material contains one 50 percent tissue culture infective dose.</t>
  </si>
  <si>
    <t>Log10 50 Percent Tissue Culture Infective Dose per Microliter</t>
  </si>
  <si>
    <t>A logarithmic-scale (base 10) potency unit for measuring infectious activity of a biologic product or infectious agent preparation equal to the potency at which one microliter of infectious material contains one 50 percent tissue culture infective dose.</t>
  </si>
  <si>
    <t>Lozenge Dosing Unit</t>
  </si>
  <si>
    <t>A dosing measurement based on the lozenge unit.(NCI)</t>
  </si>
  <si>
    <t>Lux</t>
  </si>
  <si>
    <t>A unit of illuminance equal to the direct illumination on a surface that is everywhere one meter from a uniform point source of one candela; a unit of illuminance that is equal to one lumen per square meter.(NCI)</t>
  </si>
  <si>
    <t>Meter</t>
  </si>
  <si>
    <t>A meter is defined as the length of the path traveled by light in a vacuum during a time interval of 1/299 792 458 of a second and is equal to 1.093 61 yards.(NCI)</t>
  </si>
  <si>
    <t>m%</t>
  </si>
  <si>
    <t>A unit of measure for the distance saturation product (DSP) defined as meters walked times percent oxygen saturation.</t>
  </si>
  <si>
    <t>Meters Times Percent</t>
  </si>
  <si>
    <t>m/sec; Meter Per Second</t>
  </si>
  <si>
    <t>A unit of both speed (scalar) and velocity (vector), defined as the distance of one meter travelled per unit time equal to one second.(NCI)</t>
  </si>
  <si>
    <t>Meter per Second</t>
  </si>
  <si>
    <t>m/sec2</t>
  </si>
  <si>
    <t>A unit of acceleration equal to one meter per unit of time equal to one second squared.</t>
  </si>
  <si>
    <t>Meter per Second Squared</t>
  </si>
  <si>
    <t>Square Meter</t>
  </si>
  <si>
    <t>The standard derived unit of area in the International System of Units (SI) equal to the area of a square whose sides are one meter long.</t>
  </si>
  <si>
    <t>Cubic Meter</t>
  </si>
  <si>
    <t>A unit of volume or capacity equal to the volume of a cube with edges one meter in length. It is equal to 1,000 liters; 1,000 cubic decimeters; 10(E6) cubic centimeters; 25.3 cubic feet; 6.29 barrels.(NCI)</t>
  </si>
  <si>
    <t>Minimum Alveolar Concentration 50%</t>
  </si>
  <si>
    <t>A unit of potency for inhalational gases defined as the concentration of gas in the lung required to immobilize 50 percent of individuals in response to a stimulus, such as pain.</t>
  </si>
  <si>
    <t>Minimum Alveolar Concentration 50 Percent</t>
  </si>
  <si>
    <t>Milliampere</t>
  </si>
  <si>
    <t>A unit of electric current equal to one thousandth of an ampere. (NCI)</t>
  </si>
  <si>
    <t>A unit of enzymatic activity defined a one milli-Anson unit per unit volume equal to one milliliter.</t>
  </si>
  <si>
    <t>Milli-Anson Unit per Milliliter</t>
  </si>
  <si>
    <t>Mask Dosing Unit</t>
  </si>
  <si>
    <t>A dosing measurement based on the mask unit.</t>
  </si>
  <si>
    <t>Mb; Mbp; Megabase Pair</t>
  </si>
  <si>
    <t>A number representing one million paired nucleotides in a DNA or RNA sequence.</t>
  </si>
  <si>
    <t>Megabase Pair</t>
  </si>
  <si>
    <t>Megabecquerel</t>
  </si>
  <si>
    <t>A unit of radioactivity equal to one million nuclear disintegrations or other nuclear transformations per second, or to 1E6 Becquerels. (NCI)</t>
  </si>
  <si>
    <t>GBq/mL; Gigabecquerel per Milliliter; MBq/uL; Megabecquerel per Microliter</t>
  </si>
  <si>
    <t>A unit of volumetric radioactivity concentration defined as a concentration of a radionuclide with an activity equal to one million Becquerels per unit volume equal to one millionth of a liter, or defined as a concentration of a radionuclide with an activity equal to one billion Becquerels per unit volume equal to one thousandth of a liter.</t>
  </si>
  <si>
    <t>Megabecquerel per Microliter</t>
  </si>
  <si>
    <t>Millicurie</t>
  </si>
  <si>
    <t>A unit of radioactivity equal to one thousandth of a Curie or 37 megabecquerels, and corresponding to a radioactivity of 37 millions of atomic disintegrations per second.(NCI)</t>
  </si>
  <si>
    <t>Microcurie per Gram; Millicurie per Kilogram; uCi/g</t>
  </si>
  <si>
    <t>A unit of specific radioactivity (massic activity) equal to activity of one millicurie of the sample with total mass of one kilogram.(NCI)</t>
  </si>
  <si>
    <t>Millicurie per Kilogram</t>
  </si>
  <si>
    <t>Microcurie per Milliliter; Millicurie per Liter; uCi/mL</t>
  </si>
  <si>
    <t>A unit of volumetric radioactivity concentration defined as a concentration of a radionuclide with an activity equal to one thousandth of a Curie per unit volume equal to one liter.(NCI)</t>
  </si>
  <si>
    <t>Millicurie per Liter</t>
  </si>
  <si>
    <t>Median Fluorescence Intensity Unit; MFI</t>
  </si>
  <si>
    <t>A unit of measure for the median fluorescence intensity.</t>
  </si>
  <si>
    <t>Median Fluorescence Intensity Unit</t>
  </si>
  <si>
    <t>Milliequivalent</t>
  </si>
  <si>
    <t>A unit of relative amount of a substance equal to one thousandth of an equivalent weight.(NCI)</t>
  </si>
  <si>
    <t>Milliequivalents per Day</t>
  </si>
  <si>
    <t>A unit of relative amount of substance flow rate equivalent to the rate at which one thousandth of an equivalent of substance travels to a given object or space over a period of time equal to twenty four hours.(NCI)</t>
  </si>
  <si>
    <t>Milliequivalent per 24 Hours</t>
  </si>
  <si>
    <t>Milliequivalent per Deciliter</t>
  </si>
  <si>
    <t>A concentration unit measured as a number of milliequivalents of solute per deciliter of solution. (NCI)</t>
  </si>
  <si>
    <t>Milliequivalent Per Gram</t>
  </si>
  <si>
    <t>A unit of relative amount of substance content equivalent to the content at which one gram of mixture contains one thousandth of an equivalent of a component. The unit is also used as a dose calculation unit.(NCI)</t>
  </si>
  <si>
    <t>Milliequivalent per Gram</t>
  </si>
  <si>
    <t>Milliequivalents per Hour</t>
  </si>
  <si>
    <t>A unit of relative amount of substance flow rate equivalent to the rate at which one thousandth of an equivalent of substance travels to a given object or space over a period of time equal to one hour. (NCI)</t>
  </si>
  <si>
    <t>Milliequivalent per Hour</t>
  </si>
  <si>
    <t>Milliequivalent Per Kilogram</t>
  </si>
  <si>
    <t>A unit of relative amount of substance content equivalent to the content at which one kilogram of mixture contains one thousandth of an equivalent of a component. The unit is also used as a dose calculation unit.(NCI)</t>
  </si>
  <si>
    <t>Milliequivalent per Kilogram</t>
  </si>
  <si>
    <t>Milliequivalent Per Liter; Millivalent per Liter; mval/L</t>
  </si>
  <si>
    <t>A concentration unit measured as a number of milliequivalents of solute per liter of solution.(NCI)</t>
  </si>
  <si>
    <t>Milliequivalent per Liter</t>
  </si>
  <si>
    <t>Milliequivalent per Milliliter</t>
  </si>
  <si>
    <t>A concentration unit expressed in milliequivalent(s) of solute per milliliter of solution. (NCI)</t>
  </si>
  <si>
    <t>Milliequivalent per Millimole</t>
  </si>
  <si>
    <t>A concentration unit measured as a number of one thousandth of an equivalent weight per millimole of substance. (NCI)</t>
  </si>
  <si>
    <t>mEq/mcg; Milliequivalent Per Microgram</t>
  </si>
  <si>
    <t>A unit of relative amount of substance content equivalent to the content at which one millionth of a gram of mixture contains one thousandth of an equivalent of a component. The unit is also used as a dose calculation unit.(NCI)</t>
  </si>
  <si>
    <t>Milliequivalent per Microgram</t>
  </si>
  <si>
    <t>Milliequivalent Per Microliter</t>
  </si>
  <si>
    <t>A concentration unit measured as a number of milliequivalents of solute per microliter of solution.(NCI)</t>
  </si>
  <si>
    <t>Milliequivalent per Microliter</t>
  </si>
  <si>
    <t>Molecules of Equivalent Soluble Fluorochromes</t>
  </si>
  <si>
    <t>A unit of measure of the fluorescence intensity of a fluorochrome-labeled sample, which is equivalent to the fluorescence intensity of a solution containing an equivalent number of molecules of free fluorochrome in solution, under identical experimental conditions.</t>
  </si>
  <si>
    <t>Molecule of Equivalent Soluble Fluorochrome</t>
  </si>
  <si>
    <t>Metabolic Equivalent of Task</t>
  </si>
  <si>
    <t>A unit of energy expenditure equal to the ratio of metabolic rate during physical activity versus a reference metabolic rate.</t>
  </si>
  <si>
    <t>Metabolic Equivalent of Task Unit</t>
  </si>
  <si>
    <t>A unit of energy expenditure equal to the number of metabolic equivalent of task units times the number of hours of performed activity.</t>
  </si>
  <si>
    <t>Metabolic Equivalent of Task Hours</t>
  </si>
  <si>
    <t>A unit of energy expenditure equal to the number of metabolic equivalent of task units times the number of minutes of performed activity.</t>
  </si>
  <si>
    <t>Metabolic Equivalent of Task Minute</t>
  </si>
  <si>
    <t>10^6 Electronvolts; 10^6 eV; Megaelectronvolt</t>
  </si>
  <si>
    <t>A unit of energy equal to 1,000,000 electronvolts, or (approximately) 1,602 177 x 10-13 joule.</t>
  </si>
  <si>
    <t>Megaelectronvolt</t>
  </si>
  <si>
    <t>Milligram</t>
  </si>
  <si>
    <t>A unit of mass equal to one thousandth (1E-3) of a gram.</t>
  </si>
  <si>
    <t>Milligram per Animal</t>
  </si>
  <si>
    <t>A unit of measure expressed in milligram(s) per animal.</t>
  </si>
  <si>
    <t>A unit of measure expressed in milligram(s) per inspiration or expiration of breath.</t>
  </si>
  <si>
    <t>Milligram Per Breath</t>
  </si>
  <si>
    <t>A unit of measure expressed in milligram(s) per capsule.</t>
  </si>
  <si>
    <t>Milligram per Capsule</t>
  </si>
  <si>
    <t>A unit of area density defined as a spread rate at which one milligram of a substance is spread over the area of one square centimeter. The unit is also used as a dose calculation unit.</t>
  </si>
  <si>
    <t>Milligram per Squared Centimeter</t>
  </si>
  <si>
    <t>A unit of mass flow rate equal to one milligram per day.</t>
  </si>
  <si>
    <t>Milligram per 24 Hours</t>
  </si>
  <si>
    <t>mg%; Milligram per Deciliter</t>
  </si>
  <si>
    <t>A unit of mass concentration defined as the concentration of one milligram of a substance in unit volume of the mixture equal to one cubic deciliter or 100 cubic centimeters. It is also a unit of mass density (volumic mass) defined as the density of substance which mass equal to one milligram occupies the volume one cubic deciliter or 100 cubic centimeters.(NCI)</t>
  </si>
  <si>
    <t>Milligram per Deciliter</t>
  </si>
  <si>
    <t>A unit of measure expressed in milligram(s) per dose.</t>
  </si>
  <si>
    <t>Milligram per Dose</t>
  </si>
  <si>
    <t>Milligram per Gram per Hour</t>
  </si>
  <si>
    <t>A dose calculation unit expressed in milligram(s) per gram per period of time equal to sixty minutes. (NCI)</t>
  </si>
  <si>
    <t>Milligram per Gram per Minute</t>
  </si>
  <si>
    <t>A dose calculation unit expressed in milligram(s) per gram per period of time equal to sixty seconds. (NCI)</t>
  </si>
  <si>
    <t>A unit of mass flow rate equal to one milligram per hour.</t>
  </si>
  <si>
    <t>Milligram per Hour</t>
  </si>
  <si>
    <t>Milligram per Kilogram; Nanogram per Milligram; ng/mg; ug/g</t>
  </si>
  <si>
    <t>Milligrams (weight), divided by kilograms (weight) or nanograms (weight) per milligrams (weight).</t>
  </si>
  <si>
    <t>Milligram per Kilogram</t>
  </si>
  <si>
    <t>Milligram per Kilogram per Day</t>
  </si>
  <si>
    <t>A dose calculation unit expressed in milligram(s) per kilogram per period of time equal to twenty-four hours. (NCI)</t>
  </si>
  <si>
    <t>A dose calculation unit expressed in milligram(s) per kilogram per single dose.</t>
  </si>
  <si>
    <t>Milligram per Kilogram per Dose</t>
  </si>
  <si>
    <t>Milligram per Kilogram per Hour</t>
  </si>
  <si>
    <t>A dose calculation unit equal to one thousandth of a gram of a preparation per one kilogram of body mass administered per unit of time equal to one hour.(NCI)</t>
  </si>
  <si>
    <t>Milligram per Kilogram per Minute</t>
  </si>
  <si>
    <t>A dose calculation unit equal to one thousandth of a gram of a preparation per one kilogram of body mass administered per unit of time equal to one minute.(NCI)</t>
  </si>
  <si>
    <t>Milligram per Kilogram per Week</t>
  </si>
  <si>
    <t>A dose calculation unit expressed in milligram(s) per kilogram per period of time equal to seven days. (NCI)</t>
  </si>
  <si>
    <t>Milligram Per Kilogram Per Week</t>
  </si>
  <si>
    <t>FEU mg/L; mg FEU/L; mg-L-FEU</t>
  </si>
  <si>
    <t>A unit of equivalent concentration equal to the number of milligrams of fibrinogen per unit volume equal to one liter.</t>
  </si>
  <si>
    <t>Milligram per Liter Fibrinogen Equivalent Units</t>
  </si>
  <si>
    <t>g/m3; Gram per Cubic Meter; mcg/mL; mg/L; Microgram per Milliliter; Milligram per Liter; ng/uL; ug/mL</t>
  </si>
  <si>
    <t>A unit of concentration or mass density equal to one microgram of substance per milliliter of solution or one milligram of substance per liter of solution.</t>
  </si>
  <si>
    <t>Microgram per Milliliter</t>
  </si>
  <si>
    <t>Milligram per Square Meter</t>
  </si>
  <si>
    <t>A unit of area density equal to approximately 2.94935E-5 ounce per square yard. Also used as a dose calculation unit.(NCI)</t>
  </si>
  <si>
    <t>Milligram per Square Meter per Day</t>
  </si>
  <si>
    <t>A dose calculation unit expressed in milligram(s) per square meter per period of time equal to twenty-four hours. (NCI)</t>
  </si>
  <si>
    <t>Milligram per Square Meter per Hour</t>
  </si>
  <si>
    <t>A dose calculation unit expressed in milligram(s) per square meter per period of time equal to sixty minutes. (NCI)</t>
  </si>
  <si>
    <t>Milligram per Square Meter per Minute</t>
  </si>
  <si>
    <t>A dose calculation unit expressed in milligram(s) per square meter per period of time equal to sixty seconds. (NCI)</t>
  </si>
  <si>
    <t>Milligram per Square Meter per Week</t>
  </si>
  <si>
    <t>A dose calculation unit expressed in milligram(s) per square meter per period of time equal to seven days.</t>
  </si>
  <si>
    <t>A unit of mass flow rate equal to one milligram per minute.</t>
  </si>
  <si>
    <t>Milligram per Minute</t>
  </si>
  <si>
    <t>g/L/24 Hours; g/L/day; mg/mL/24 Hours</t>
  </si>
  <si>
    <t>A dose calculation unit expressed in milligrams per milliliter per day.</t>
  </si>
  <si>
    <t>Gram per Liter per Day</t>
  </si>
  <si>
    <t>Milligram per Milliliter per Minute</t>
  </si>
  <si>
    <t>A unit expressed in milligrams per milliliter per period of time equal to sixty seconds.</t>
  </si>
  <si>
    <t>ug/mmol</t>
  </si>
  <si>
    <t>A unit of mass commonly used to express the molar mass of a substance in milligram(s) per mole.</t>
  </si>
  <si>
    <t>Milligram per Mole</t>
  </si>
  <si>
    <t>Milligram per Week</t>
  </si>
  <si>
    <t>A unit of mass flow rate equal to one milligram per week or a dose administration rate unit equal to the rate at which a milligram of a product is delivered or administered over the time period of one week.</t>
  </si>
  <si>
    <t>A unit of mass concentration defined as one square milligram of a substance in unit volume of the mixture equal to one square deciliter.</t>
  </si>
  <si>
    <t>Square Milligram per Square Deciliter</t>
  </si>
  <si>
    <t>Milligram Equivalent</t>
  </si>
  <si>
    <t>A unit of relative amount of substance equal to one thousandth of a gram of an equivalent weight.</t>
  </si>
  <si>
    <t>Megahertz</t>
  </si>
  <si>
    <t>The SI derived unit of frequency; equal to one million oscillations per second or to 1E6 hertz. (NCI)</t>
  </si>
  <si>
    <t>International Mile</t>
  </si>
  <si>
    <t>A unit of distance equal to 5280 international feet, 1760 international yards, or 1609.344 meters.(NCI)</t>
  </si>
  <si>
    <t>Mile</t>
  </si>
  <si>
    <t>Minute</t>
  </si>
  <si>
    <t>A unit of measurement of time equal to 60 seconds.</t>
  </si>
  <si>
    <t>Minutes times milligrams per milliliter (area under the curve).</t>
  </si>
  <si>
    <t>Minute Times Milligram per Milliliter</t>
  </si>
  <si>
    <t>Minutes per Day</t>
  </si>
  <si>
    <t>A unit of measurement equal to the number of minutes within a period of time equal to one day.</t>
  </si>
  <si>
    <t>Minute per Day</t>
  </si>
  <si>
    <t>mcIU/mL; Micro-International Unit per milliliter; mIE/L; mIU/L; uIU/mL</t>
  </si>
  <si>
    <t>A unit of concentration (biologic activity) equal to one micro-international unit of substance per milliliter of solution or one milli-international unit of substance per liter of solution.</t>
  </si>
  <si>
    <t>Microinternational Unit per Milliliter</t>
  </si>
  <si>
    <t>Milli-International Unit per Square Meter</t>
  </si>
  <si>
    <t>A unit expressed as a number of milli-international units per one square meter of a body surface area.</t>
  </si>
  <si>
    <t>Milliinternational Unit per Square Meter</t>
  </si>
  <si>
    <t>A unit of radiant exposure defined as a unit of energy equal to one millijoule applied to a unit of area equal to one square centimeter.</t>
  </si>
  <si>
    <t>Millijoules per Square Centimeter</t>
  </si>
  <si>
    <t>Millikatal</t>
  </si>
  <si>
    <t>A unit of catalytic activity measurement equal to one thousandth of one katal (1E-3 katal). (NCI)</t>
  </si>
  <si>
    <t>Millikatal/Liter</t>
  </si>
  <si>
    <t>A unit of catalytic activity measurement equal to one thousandth of one katal (1E-3 katal) per liter.</t>
  </si>
  <si>
    <t>Millikatal per Liter</t>
  </si>
  <si>
    <t>cm3; Milliliter</t>
  </si>
  <si>
    <t>A unit of volume equal to one thousandth (1E-3) of a liter.</t>
  </si>
  <si>
    <t>Milliliter</t>
  </si>
  <si>
    <t>A unit of volume defined as milliliters times centimeter of water.</t>
  </si>
  <si>
    <t>Milliliter Times Centimeter of Water</t>
  </si>
  <si>
    <t>A unit of flow rate expressed as the number of milliliters, divided by the number of minutes times a unit of volume equal to 100 milliliters.</t>
  </si>
  <si>
    <t>Milliliter Per Minute Times One Hundred Milliliters</t>
  </si>
  <si>
    <t>A unit of flow rate expressed as the number of milliliters per 100g of material (e.g., tissue) per minute.</t>
  </si>
  <si>
    <t>Milliliter per 100 Grams per Minute</t>
  </si>
  <si>
    <t>Milliliter per Animal</t>
  </si>
  <si>
    <t>A unit of measure expressed in milliliter(s) per animal.</t>
  </si>
  <si>
    <t>Milliliter per Animal per Day</t>
  </si>
  <si>
    <t>A unit of measure expressed in milliliter(s) per animal per period of time equal to twenty-four hours.</t>
  </si>
  <si>
    <t>Milliliter per Animal per Week</t>
  </si>
  <si>
    <t>A unit of measure expressed in milliliter(s) per animal per period of time equal to seven days.</t>
  </si>
  <si>
    <t>A unit of measure expressed in milliliter(s) per heart beat.</t>
  </si>
  <si>
    <t>Milliliter per Heartbeat</t>
  </si>
  <si>
    <t>Milliliter per Breath</t>
  </si>
  <si>
    <t>A unit of measure expressed in milliliter(s) per inspiration or expiration of breath.</t>
  </si>
  <si>
    <t>Milliliter per Cage</t>
  </si>
  <si>
    <t>A unit of measure expressed in milliliter(s) per cage.</t>
  </si>
  <si>
    <t>Milliliter per Cage per Day</t>
  </si>
  <si>
    <t>A unit of measure expressed in milliliter(s) per cage per period of time equal to twenty-four hours.</t>
  </si>
  <si>
    <t>Milliliter per Cage per Week</t>
  </si>
  <si>
    <t>A unit of measure expressed in milliliter(s) per cage expressed per period of time equal to seven days.</t>
  </si>
  <si>
    <t>A unit of pressure expressed in milliliter(s) per centimeter of water. (NCI)</t>
  </si>
  <si>
    <t>Milliliter per Centimeter of Water</t>
  </si>
  <si>
    <t>dL/m; Milliliter per Centimeter</t>
  </si>
  <si>
    <t>A unit of measure equal to the number of milliliters per unit of length equal to one centimeter. (NCI)</t>
  </si>
  <si>
    <t>Milliliter per Centimeter</t>
  </si>
  <si>
    <t>mL/mL/min</t>
  </si>
  <si>
    <t>A unit of flow rate equal to one milliliter per cubic centimeter per unit of time equal to one minute.</t>
  </si>
  <si>
    <t>Milliliter per Cubic Centimeter per Minute</t>
  </si>
  <si>
    <t>mL/24h</t>
  </si>
  <si>
    <t>A unit of flow rate equal to one milliliter per day.</t>
  </si>
  <si>
    <t>Milliliter per 24 Hours</t>
  </si>
  <si>
    <t>Milliliters per Deciliter</t>
  </si>
  <si>
    <t>A unit of volume concentration equal to the number of milliliters per unit of volume equal to one deciliter.</t>
  </si>
  <si>
    <t>Milliliter per Deciliter</t>
  </si>
  <si>
    <t>A unit of measure expressed in milliliter(s) per dose.</t>
  </si>
  <si>
    <t>Milliliter per Dose</t>
  </si>
  <si>
    <t>(L/day)/kg; (mL/day)/g; mL/g/day</t>
  </si>
  <si>
    <t>Milliliters per gram per day or liters per day (flow rate), divided by kilograms (weight) or milliliters per day (flow rate), divided by grams (weight).</t>
  </si>
  <si>
    <t>Milliliter per Gram per Day</t>
  </si>
  <si>
    <t>(L/h)/kg; (mL/h)/g; mL/g/h</t>
  </si>
  <si>
    <t>Milliliters per gram per hour or liters per hour (flow rate), divided by kilograms (weight) or milliliters per hour (flow rate), divided by grams (weight).</t>
  </si>
  <si>
    <t>Milliliter per Gram per Hour</t>
  </si>
  <si>
    <t>(L/min)/kg; (mL/min)/g; mL/g/min</t>
  </si>
  <si>
    <t>Milliliters per gram per minute or liters per minute (flow rate), divided by kilograms (weight) or milliliters per minute (flow rate), divided by grams (weight).</t>
  </si>
  <si>
    <t>Milliliter per Gram per Minute</t>
  </si>
  <si>
    <t>cc/hr; cm3/h</t>
  </si>
  <si>
    <t>A unit of flow rate equal to one milliliter per hour.</t>
  </si>
  <si>
    <t>Milliliter per Hour</t>
  </si>
  <si>
    <t>Milliliters (volume) divided by kilograms (weight).</t>
  </si>
  <si>
    <t>Milliliter per Kilogram</t>
  </si>
  <si>
    <t>(mL/day)/kg; mL/kg/day</t>
  </si>
  <si>
    <t>Milliliters per kilogram per day or milliliters per day (flow rate), divided by kilograms (weight).</t>
  </si>
  <si>
    <t>Milliliter per Kilogram per Day</t>
  </si>
  <si>
    <t>(mL/h)/kg; mL/kg/h</t>
  </si>
  <si>
    <t>Milliliters per kilogram per hour or milliliters per hour (flow rate), divided by kilograms (weight).</t>
  </si>
  <si>
    <t>Milliliter per Kilogram per Hour</t>
  </si>
  <si>
    <t>(mL/min)/kg; mL/kg/min</t>
  </si>
  <si>
    <t>Milliliters per kilogram per minute or milliliters per minute (flow rate), divided by kilograms (weight).</t>
  </si>
  <si>
    <t>Milliliter per Kilogram per Minute</t>
  </si>
  <si>
    <t>Milliliters (volume) divided by meters squared (surface area).</t>
  </si>
  <si>
    <t>Milliliter per Square Meter</t>
  </si>
  <si>
    <t>Milliliter per Square Meter per Day</t>
  </si>
  <si>
    <t>A dose calculation unit expressed in milliliter(s) per square meter per period of time equal to twenty-four hours. (NCI)</t>
  </si>
  <si>
    <t>Milliliter per Square Meter per Hour</t>
  </si>
  <si>
    <t>A dose calculation unit expressed in milliliter(s) per square meter per period of time equal to sixty minutes. (NCI)</t>
  </si>
  <si>
    <t>Milliliter per Square Meter per Minute; mL/min/m2</t>
  </si>
  <si>
    <t>A dose calculation unit expressed in milliliter(s) per square meter per period of time equal to sixty seconds. (NCI)</t>
  </si>
  <si>
    <t>Milliliter per Square Meter per Minute</t>
  </si>
  <si>
    <t>A unit of flow rate equal to one milliliter per minute.</t>
  </si>
  <si>
    <t>Milliliter per Minute</t>
  </si>
  <si>
    <t>A metric unit of volumetric flow rate defined as the rate at which one milliliter of matter travels during the period of time equal to one minute per 1.73 meters squared of body surface area.</t>
  </si>
  <si>
    <t>Milliliter per Minute per 1.73 m2 of Body Surface Area</t>
  </si>
  <si>
    <t>Milliliter per Minute per Torr</t>
  </si>
  <si>
    <t>A unit of measure equal to the number of milliliters per unit of time equal to one minute per unit of pressure equal to one milliter of mercury (mmHg).</t>
  </si>
  <si>
    <t>Milliliter per Minute per Millimeters of Mercury</t>
  </si>
  <si>
    <t>Milliliters per Millimeter of Mercury</t>
  </si>
  <si>
    <t>A unit equal to the volume in milliliters per one millimeter rise of mercury in a barometer at the Earth's surface. (NCI)</t>
  </si>
  <si>
    <t>Milliliters Per Millimeter of Mercury</t>
  </si>
  <si>
    <t>A unit of gas diffusion capacity equal to one milliliter per millimeter of mercury per minute per liter of volume.</t>
  </si>
  <si>
    <t>Milliliter per Minute per Millimeters of Mercury per Liter</t>
  </si>
  <si>
    <t>mL/sec</t>
  </si>
  <si>
    <t>Milliliters per second.</t>
  </si>
  <si>
    <t>Milliliter per Second</t>
  </si>
  <si>
    <t>mL/sec/1.73m2</t>
  </si>
  <si>
    <t>A metric unit of volumetric flow rate defined as the rate at which one milliliter of matter travels during the period of time equal to one second per 1.73 meters squared of body surface area.</t>
  </si>
  <si>
    <t>Milliliter Per Second Per 1.73 Meter Squared</t>
  </si>
  <si>
    <t>mL/kg/s</t>
  </si>
  <si>
    <t>A metric unit of volumetric flow rate defined as the rate at which one milliliter of substance travels during the period of time equal to one second per kilogram.</t>
  </si>
  <si>
    <t>Milliliter per Kilogram per Second</t>
  </si>
  <si>
    <t>mL/sec/m2</t>
  </si>
  <si>
    <t>A metric unit of volumetric flow rate defined as the rate at which one milliliter of matter travels during the period of time equal to one second per meter squared.</t>
  </si>
  <si>
    <t>Milliliter Per Second Per Square Meter</t>
  </si>
  <si>
    <t>Millimeter</t>
  </si>
  <si>
    <t>A unit of measure equal to one thousandth of a meter. (NCI)</t>
  </si>
  <si>
    <t>Millimeters per Two Hours</t>
  </si>
  <si>
    <t>A unit of both speed (scalar) and velocity (vector), defined as the distance of one centimeter travelled per unit time equal to two hours. (NCI)</t>
  </si>
  <si>
    <t>Millimeter per Two Hours</t>
  </si>
  <si>
    <t>Millimeter per Hour</t>
  </si>
  <si>
    <t>A unit of both speed (scalar) and velocity (vector), defined as the distance of one millimeter travels per unit time equal to one hour.(NCI)</t>
  </si>
  <si>
    <t>Millimeters per Minute</t>
  </si>
  <si>
    <t>A unit of both speed (scalar) and velocity (vector), defined as the distance of one millimeter travelled per unit time equal to one minute. (NCI)</t>
  </si>
  <si>
    <t>Millimeter Per Minute</t>
  </si>
  <si>
    <t>Millimeters per Second; mm/sec</t>
  </si>
  <si>
    <t>A unit of both speed (scalar) and velocity (vector), defined as the distance of one millimeter travelled per unit time equal to one second. (NCI)</t>
  </si>
  <si>
    <t>Millimeter Per Second</t>
  </si>
  <si>
    <t>Square Millimeter</t>
  </si>
  <si>
    <t>A unit of area measurement equal to a square measuring one millimeter on each side. One square millimeter is equal to 10(E-2) square centimeter and 10(E-6) square meter.(NCI)</t>
  </si>
  <si>
    <t>Square Millimeters per Microsecond</t>
  </si>
  <si>
    <t>A SI derived metric unit of kinematic viscosity expressed as millimeters squared per microsecond.</t>
  </si>
  <si>
    <t>Square Millimeter per Microsecond</t>
  </si>
  <si>
    <t>A unit defined as the volume, in cubic millimeters, per area equal to one square millimeter per unit of time equal to one year.</t>
  </si>
  <si>
    <t>Cubic Millimeter per Square Millimeter per Year</t>
  </si>
  <si>
    <t>Millimeters of Aluminum Equivalents</t>
  </si>
  <si>
    <t>A unit defined as the thickness, in millimeters, of aluminum that has the equivalent degree of attenuation, under specified conditions, as the material that is the target of the procedure.</t>
  </si>
  <si>
    <t>Millimeter of Mercury</t>
  </si>
  <si>
    <t>A unit of pressure equal to 0.001316 atmosphere and equal to the pressure indicated by one millimeter rise of mercury in a barometer at the Earth's surface. (NCI)</t>
  </si>
  <si>
    <t>A unit of pressure equal to millimeters of mercury times the number of heartbeats measured per minute unit of time.</t>
  </si>
  <si>
    <t>Millimeters of Mercury times Beats per Minute</t>
  </si>
  <si>
    <t>Hybrid Resistance Units; Wood Units</t>
  </si>
  <si>
    <t>A unit of resistance equal to the number of millimeters of mercury times minutes, per unit of volume equal to one liter.</t>
  </si>
  <si>
    <t>Hybrid Resistance Units</t>
  </si>
  <si>
    <t>A unit of resistance equal to the number of millimeters of mercury per unit of volume equal to one liter per unit of time equal to one minute.</t>
  </si>
  <si>
    <t>Millimeter Mercury Per Liter Per Minute</t>
  </si>
  <si>
    <t>Millimeter of Mercury per Second; mmHg/sec</t>
  </si>
  <si>
    <t>A rate of inflation or deflation of a manometric device based on the unit of pressure equal to 133,332 Pa or 1.316E10-3 standard atmosphere during period of time equal to one sixtieth of a minute. (NCI)</t>
  </si>
  <si>
    <t>Millimeter of Mercury per Second</t>
  </si>
  <si>
    <t>Millimole</t>
  </si>
  <si>
    <t>A unit of amount of substance equal to one thousandth (1E-3) of a mole.</t>
  </si>
  <si>
    <t>mmol/24h</t>
  </si>
  <si>
    <t>A unit of substance flow rate equal to one millimole per day.</t>
  </si>
  <si>
    <t>Millimole per 24 Hours</t>
  </si>
  <si>
    <t>Millimole per Gram</t>
  </si>
  <si>
    <t>A unit amount of substance content (molality unit) defined as one mole of solute per one kilogram of solvent.(NCI)</t>
  </si>
  <si>
    <t>Mole per Kilogram</t>
  </si>
  <si>
    <t>A unit of substance flow rate equal to one millimole per hour.</t>
  </si>
  <si>
    <t>Millimole per Hour</t>
  </si>
  <si>
    <t>Millimole per Kilogram</t>
  </si>
  <si>
    <t>A unit of amount of substance content (molality unit) defined as one thousandth of mole (1E-3 mole) of solute per one kilogram of solvent. (NCI)</t>
  </si>
  <si>
    <t>mcmol/mL; Micromole per Milliliter; Millimole per Liter; mmol/L; mol/m3; Mole per Cubic Meter; nmol/uL; umol/mL</t>
  </si>
  <si>
    <t>A unit of concentration (molarity unit) equal to one millimole of solute per liter of solution.</t>
  </si>
  <si>
    <t>Millimole per Liter</t>
  </si>
  <si>
    <t>mmol/(day*L); mmol/(L*day); mmol/day/L</t>
  </si>
  <si>
    <t>A concentration unit equal to one millimole of solute in one liter of solution per unit of time equal to 24 hours.</t>
  </si>
  <si>
    <t>Millimole per Liter per Day</t>
  </si>
  <si>
    <t>mmol/(h*L); mmol/(L*h); mmol/h/L; umol/(h*mL); umol/(mL*h); umol/h/mL; umol/mL/h</t>
  </si>
  <si>
    <t>A concentration unit equal to one millimole of solute in one liter of solution per unit of time equal to one hour.</t>
  </si>
  <si>
    <t>Millimole per Liter per Hour</t>
  </si>
  <si>
    <t>A unit of gas diffusion capacity equal to one millimole per minute per kilopascal.</t>
  </si>
  <si>
    <t>Millimoles per Minute per Kilopascal</t>
  </si>
  <si>
    <t>A unit of gas diffusion capacity equal to one millimole per minute per kilopascal per liter of volume.</t>
  </si>
  <si>
    <t>Millimole per Minute per Thousand Pascal per Liter</t>
  </si>
  <si>
    <t>umol/mmol</t>
  </si>
  <si>
    <t>A unit of fraction expressed as the ratio of the amount of a substance in solution, in millimoles, to the amount of a different substance in the mixture, in moles.</t>
  </si>
  <si>
    <t>Millimole per Mole</t>
  </si>
  <si>
    <t>Millimoles per Second; mmol/sec</t>
  </si>
  <si>
    <t>A unit of substance flow rate equal to one millimole per second.</t>
  </si>
  <si>
    <t>Millimole per Second</t>
  </si>
  <si>
    <t>A unit of concentration (molarity unit) equal to one square millimole of solute per square liter of solution.</t>
  </si>
  <si>
    <t>Square Millimole per Square Liter</t>
  </si>
  <si>
    <t>MilliMerck Unit per Milliliter</t>
  </si>
  <si>
    <t>A unit of concentration based on the vaccine specific number of titers that are the geometric mean titer at which an individual is considered to convert from a seronegative to a seropositive response due to the vaccine.</t>
  </si>
  <si>
    <t>Millinewton</t>
  </si>
  <si>
    <t>A unit of force equal to one thousandth of a Newton.</t>
  </si>
  <si>
    <t>Mean Fluorescence Intensity Unit; MFI</t>
  </si>
  <si>
    <t>A unit of measure for the mean fluorescence intensity when the mathematic calculation is unspecified or unknown.</t>
  </si>
  <si>
    <t>Mean Fluorescence Intensity Unit</t>
  </si>
  <si>
    <t>Mole</t>
  </si>
  <si>
    <t>The base unit of amount of substance in the International System of Units (SI). It is equal to the same number of elementary units as there are atoms in 0.012 kg of carbon-12.</t>
  </si>
  <si>
    <t>A unit of substance flow rate equal to one mole per day.</t>
  </si>
  <si>
    <t>Mole per Day</t>
  </si>
  <si>
    <t>mmol/mg</t>
  </si>
  <si>
    <t>A unit of amount of substance content (molality unit) defined as one mole of solute per one gram of solvent.(NCI)</t>
  </si>
  <si>
    <t>Mole per Gram</t>
  </si>
  <si>
    <t>mmol/mL; mol/L; Mole per Liter</t>
  </si>
  <si>
    <t>A unit of concentration (molarity unit) equal to one mole of solute in one liter of solution.(NCI)</t>
  </si>
  <si>
    <t>Mole per Liter</t>
  </si>
  <si>
    <t>Mole per Milligram</t>
  </si>
  <si>
    <t>A unit of amount of substance content (molality unit) defined as one mole of solute per one milligram of solvent.(NCI)</t>
  </si>
  <si>
    <t>Mole per Milliliter</t>
  </si>
  <si>
    <t>A unit of concentration (molarity unit) equal to one mole of solute in one milliliter of solution.(NCI)</t>
  </si>
  <si>
    <t>mmol/mmol; Mole per Mole</t>
  </si>
  <si>
    <t>A unit of fraction expressed as the ratio of the amount of substance of solute in moles to the amount of substance of the mixture in moles.(NCI)</t>
  </si>
  <si>
    <t>Mole per Mole</t>
  </si>
  <si>
    <t>Milliosmole</t>
  </si>
  <si>
    <t>A unit of osmotic pressure equal to one thousandth of an osmole or osmotic pressure of 0.001 molar solution of a substance that does not dissociate. (NCI)</t>
  </si>
  <si>
    <t>Milliosmole per Kilogram</t>
  </si>
  <si>
    <t>A unit of osmotic pressure equal to one thousandth of an osmole per kilogram substance.</t>
  </si>
  <si>
    <t>A unit of osmotic pressure equal to one thousandth of an osmole per unit of volume equal to one Liter.</t>
  </si>
  <si>
    <t>Milliosmole per Liter</t>
  </si>
  <si>
    <t>Millipascal</t>
  </si>
  <si>
    <t>A SI derived unit of pressure equivalent to one thousandth of one pascal. (NCI)</t>
  </si>
  <si>
    <t>Miles per Hour</t>
  </si>
  <si>
    <t>A unit of both speed (scalar) and velocity (vector), defined as the distance of one mile travelled per unit time equal to one hour. (NCI)</t>
  </si>
  <si>
    <t>Mile Per Hour</t>
  </si>
  <si>
    <t>[MPL'U]; Immunoglobin M Phospholipid Units</t>
  </si>
  <si>
    <t>A unit for semiquantitative measurement of IgM autoantibodies to proteins associated with negatively charged phospholipids evaluated against an established reference standard.</t>
  </si>
  <si>
    <t>IgM Phospholipid Unit</t>
  </si>
  <si>
    <t>Immunoglobin M Phospholipid Units per Milliliter</t>
  </si>
  <si>
    <t>A unit for semiquantitative measurement of IgM autoantibodies to proteins associated with negatively charged phospholipids evaluated against an established reference standard, per unit of volume equal to one milliliter.</t>
  </si>
  <si>
    <t>Immunoglobin M Phospholipid Unit per Milliliter</t>
  </si>
  <si>
    <t>Immunoglobin M Phosphatidylserine Units; Phosphatidylserine IgM Antibody Unit</t>
  </si>
  <si>
    <t>A unit for semiquantitative measurement of IgM autoantibodies to proteins associated with phosphatidylserine evaluated against an established reference standard. (NCI)</t>
  </si>
  <si>
    <t>Phosphatidylserine IgM Antibody Unit</t>
  </si>
  <si>
    <t>Immunoglobin M Phosphatidylserine Units/mL; Phosphatidylserine IgM Antibody Unit/mL</t>
  </si>
  <si>
    <t>Unit of measure of potency of allergenic product expressed as a number of immunoglobin M phosphatidylserine units per one milliliter of formulation.</t>
  </si>
  <si>
    <t>Phosphatidylserine IgM Antibody Unit per Milliliter</t>
  </si>
  <si>
    <t>Megarad; Mrd</t>
  </si>
  <si>
    <t>A unit of absorbed radiation dose equal to one million rad (10E6 rad), or 10000 Gy (10E4 Gy).</t>
  </si>
  <si>
    <t>Megarad</t>
  </si>
  <si>
    <t>Millisecond; ms; msec</t>
  </si>
  <si>
    <t>A unit of time, which is equal to one thousandth of a second.(NCI)</t>
  </si>
  <si>
    <t>Millisecond</t>
  </si>
  <si>
    <t>A unit of measure equal to one millisecond per one millimeter of mercury (mmHg).</t>
  </si>
  <si>
    <t>Millisecond per Millimeter Mercury</t>
  </si>
  <si>
    <t>A unit of time, which is equal to one thousandth of a second squared.</t>
  </si>
  <si>
    <t>Square Millisecond</t>
  </si>
  <si>
    <t>Milliunit</t>
  </si>
  <si>
    <t>A quantity equivalent to one thousandth of a unit (10E-3 unit).</t>
  </si>
  <si>
    <t>An arbitrary unit of substance content expressed in milliunit(s) per gram.</t>
  </si>
  <si>
    <t>Milliunit per Gram</t>
  </si>
  <si>
    <t>uU/mL</t>
  </si>
  <si>
    <t>An arbitrary unit of substance concentration equal to the concentration at which one liter of mixture contains one thousandth of a unit of a substance.</t>
  </si>
  <si>
    <t>Microunit per Milliliter</t>
  </si>
  <si>
    <t>Millivolt</t>
  </si>
  <si>
    <t>A unit of electric potential and electromotive force equal to one thousandth of a volt.(NCI)</t>
  </si>
  <si>
    <t>Millivolt * Minutes</t>
  </si>
  <si>
    <t>A SI derived unit of magnetic flux, equal to the flux that produces in a circuit of one turn an electromotive force of one millivolt, when the flux is uniformly reduced to zero within one minute. (NCI)</t>
  </si>
  <si>
    <t>Millivolt Minute</t>
  </si>
  <si>
    <t>mV/sec; uV/msec</t>
  </si>
  <si>
    <t>A SI derived rate unit equal to one millivolt per unit of time equal to one second.</t>
  </si>
  <si>
    <t>Millivolt per Second</t>
  </si>
  <si>
    <t>Millivolt Squared per Hertz; Millivolt^2/Hertz</t>
  </si>
  <si>
    <t>A unit equal to one thousandth of a volt squared per unit of frequency equal to one Hertz.</t>
  </si>
  <si>
    <t>Millivolt Squared per Hertz</t>
  </si>
  <si>
    <t>Nanocurie</t>
  </si>
  <si>
    <t>A unit of radioactivity equal to one billionth of Curie or 37 Becquerels, and corresponding to a radioactivity of 37 atomic disintegrations per second.(NCI)</t>
  </si>
  <si>
    <t>Nebule Dosing Unit</t>
  </si>
  <si>
    <t>A unit of measurement based on the nebule dosing unit.(NCI)</t>
  </si>
  <si>
    <t>Newton</t>
  </si>
  <si>
    <t>A unit of force which, when applied in a vacuum to a body having a mass of one kilogram, causes an acceleration of one meter per second squared. It is equal to 1E5 dynes. (NCI)</t>
  </si>
  <si>
    <t>NFIU; NIU; Normalized Fluorescence Intensity Unit; Normalized Intensity Unit</t>
  </si>
  <si>
    <t>A relative fluorescence intensity unit that is adjusted to a reference standard. (NCI)</t>
  </si>
  <si>
    <t>Normalized Fluorescence Intensity Unit</t>
  </si>
  <si>
    <t>Nanogram</t>
  </si>
  <si>
    <t>A unit of mass equal to one billionth (1E-9) of a gram.</t>
  </si>
  <si>
    <t>A unit of mass flow rate equal to one nanogram per day.</t>
  </si>
  <si>
    <t>Nanogram per Day</t>
  </si>
  <si>
    <t>Nanogram per Deciliter</t>
  </si>
  <si>
    <t>A unit of mass concentration defined as the concentration of one nanogram of a substance in unit volume of the mixture equal to one deciliter. The concept also refers to the unit of mass density (volumic mass) defined as the density of substance which mass equal to one nanogram occupies the volume one deciliter.(NCI)</t>
  </si>
  <si>
    <t>fg/mg; Nanogram per Kilogram; pg/g</t>
  </si>
  <si>
    <t>A unit expressed as the number of nanogram(s) per kilogram.</t>
  </si>
  <si>
    <t>Nanogram per Kilogram</t>
  </si>
  <si>
    <t>Microgram per Cubic Meter; ng/L; pg/mL; ug/m3</t>
  </si>
  <si>
    <t>A unit of concentration or mass density equal to one picogram of substance per milliliter of solution or one nanogram of substance per liter of solution.</t>
  </si>
  <si>
    <t>Nanogram per Liter</t>
  </si>
  <si>
    <t>fg/umol; pg/mmol</t>
  </si>
  <si>
    <t>A unit of mass commonly used to express the molar mass of a substance in nanogram(s) per mole.</t>
  </si>
  <si>
    <t>Nanogram per Mole</t>
  </si>
  <si>
    <t>Nanogram Equivalent</t>
  </si>
  <si>
    <t>A unit of relative amount of substance equal to one billionth of a gram of an equivalent weight.</t>
  </si>
  <si>
    <t>Nanogram Equivalents</t>
  </si>
  <si>
    <t>Nanogram equivalents of a radiolabeled substance per gram of matrix or tissue.</t>
  </si>
  <si>
    <t>Nanogram Equivalents Per Gram</t>
  </si>
  <si>
    <t>pgEq/mL</t>
  </si>
  <si>
    <t>A concentration unit measured as a number of nanogram equivalent of solute per liter of solution.</t>
  </si>
  <si>
    <t>Nanogram Equivalents Per Liter</t>
  </si>
  <si>
    <t>Nanokatal</t>
  </si>
  <si>
    <t>A unit of catalytic activity measurement equal to one billionth of one katal (1E-9 katal). (NCI)</t>
  </si>
  <si>
    <t>Nanokatals per Gram Hemoglobin</t>
  </si>
  <si>
    <t>A unit of catalytic activity equal to one billionth of one katal (10E-9 katal) per gram of hemoglobin.</t>
  </si>
  <si>
    <t>Nanokatal per Gram Hemoglobin</t>
  </si>
  <si>
    <t>Nanokatal per Liter</t>
  </si>
  <si>
    <t>A unit of catalytic activity concentration defined as the catalytic activity of the component equal to one billionth of one katal (1E-9 katal) in the unit volume of the system equal to one liter. (NCI)</t>
  </si>
  <si>
    <t>Nanoliter</t>
  </si>
  <si>
    <t>A unit of volume equal to one billionth of a liter (1E-9 liter). (NCI)</t>
  </si>
  <si>
    <t>Nanometer</t>
  </si>
  <si>
    <t>A unit of length equal to one billionth of a meter (1E-9 meter). Nanometer is used as a unit for light wavelength measurement. (NCI)</t>
  </si>
  <si>
    <t>Nanometers per Minute</t>
  </si>
  <si>
    <t>A unit of both speed (scalar) and velocity (vector), defined as the distance of one nanometer travelled per unit time equal to one minute.</t>
  </si>
  <si>
    <t>Nanometer Per Minute</t>
  </si>
  <si>
    <t>Nanomoles Bone Collagen Equivalents per Liter</t>
  </si>
  <si>
    <t>A unit of relative amount of substance concentration equal to nanomoles of bone collagen equivalent weight per unit of volume equal to one liter.</t>
  </si>
  <si>
    <t>Nanomole Bone Collagen Equivalent per Liter</t>
  </si>
  <si>
    <t>Nanomoles Bone Collagen Equivalents per Millimole</t>
  </si>
  <si>
    <t>A unit of relative amount of substance concentration equal to nanomoles of bone collagen equivalent weight per unit of substance concentration equal to one millimole.</t>
  </si>
  <si>
    <t>Nanomole Bone Collagen Equivalent per Millimole</t>
  </si>
  <si>
    <t>Nanomoles Bone Collagen Equivalents per Nanomole</t>
  </si>
  <si>
    <t>A unit of relative amount of substance concentration equal to nanomoles of bone collagen equivalent weight per unit of substance concentration equal to one nanomole.</t>
  </si>
  <si>
    <t>Nanomole Bone Collagen Equivalents per Nanomole</t>
  </si>
  <si>
    <t>Nanomole</t>
  </si>
  <si>
    <t>A unit of amount of substance equal to one billionth (1E-9) of a mole. (NCI)</t>
  </si>
  <si>
    <t>A unit of substance flow rate equal to one nanomole per day.</t>
  </si>
  <si>
    <t>Nanomole per Day</t>
  </si>
  <si>
    <t>nmol/g; pmol/mg; umol/kg</t>
  </si>
  <si>
    <t>Nanomoles per gram.</t>
  </si>
  <si>
    <t>Nanomole per Gram</t>
  </si>
  <si>
    <t>pmol/g/day</t>
  </si>
  <si>
    <t>A dose calculation unit expressed in nanomole(s) per kilogram per period of time equal to twenty-four hours.</t>
  </si>
  <si>
    <t>Nanomole per Kilogram per Day</t>
  </si>
  <si>
    <t>Nanomole per Liter; pmol/mL</t>
  </si>
  <si>
    <t>A unit of concentration (molarity unit) equal to one nanomole of solute per liter of solution.</t>
  </si>
  <si>
    <t>Nanomole per Liter</t>
  </si>
  <si>
    <t>pmol/mL/h</t>
  </si>
  <si>
    <t>A rate unit expressed in nanomole(s) per liter of solution per period of time equal to sixty minutes.</t>
  </si>
  <si>
    <t>Nanomole per Liter per Hour</t>
  </si>
  <si>
    <t>nmol*min/L; pmol/mL/min</t>
  </si>
  <si>
    <t>A rate unit equal to the number of nanomoles per unit of volume equal to one liter per unit of time equal to one minute.</t>
  </si>
  <si>
    <t>Nanomole per Liter per Minute</t>
  </si>
  <si>
    <t>nmol/(L*s); nmol/(s*L); nmol/s/L</t>
  </si>
  <si>
    <t>A concentration unit equal to one nanomole of solute in one liter of solution per unit of time equal to one second.</t>
  </si>
  <si>
    <t>Nanomole per Liter per Second</t>
  </si>
  <si>
    <t>Nanomole per Milliliter per Minute</t>
  </si>
  <si>
    <t>A unit of concentration (molarity unit) equal to one billionth of a mole (1E-9 mole) of solute in one milliliter of solution to be administered per minute of time.</t>
  </si>
  <si>
    <t>Nanomole per Minute per Milliliter</t>
  </si>
  <si>
    <t>pmol/mmol</t>
  </si>
  <si>
    <t>A unit of fraction expressed as the ratio of the amount of a substance in solution, in nanomoles, to the amount of a different substance in the mixture, in moles.</t>
  </si>
  <si>
    <t>Nanomole per Mole</t>
  </si>
  <si>
    <t>Nanosecond; nsec</t>
  </si>
  <si>
    <t>A unit of time equal to one billionth of a second. (NCI)</t>
  </si>
  <si>
    <t>Nanosecond</t>
  </si>
  <si>
    <t>Nanounit per Centiliter</t>
  </si>
  <si>
    <t>An arbitrary unit of substance content expressed in nanounit(s) per centiliter. (NCI)</t>
  </si>
  <si>
    <t>Nanounit Per Centiliter</t>
  </si>
  <si>
    <t>OD; OD_Unit; Optical Density Unit</t>
  </si>
  <si>
    <t>A unit of optical density expressed as the degree of absorption of light at a specified wavelength by a solution or suspension.</t>
  </si>
  <si>
    <t>Unit of Optical Density</t>
  </si>
  <si>
    <t>Ohm</t>
  </si>
  <si>
    <t>A unit of electrical resistance equal to the resistance between two points on a conductor when a potential difference of one volt between them produces a current of one Ampere. Ohm is also used to measure impedance and reactance for complex resistance. A measurement in ohms is the reciprocal of a measurement in Siemens. (NCI)</t>
  </si>
  <si>
    <t>Opsonization Index 50%</t>
  </si>
  <si>
    <t>A potency unit equal to the dilution of serum that causes opsonization and phagocytosis of 50% of the bacteria in a sample. (NCI)</t>
  </si>
  <si>
    <t>Osmole</t>
  </si>
  <si>
    <t>A unit of osmotic pressure equal to that of an ideal solution of a nondissociating substance that has a concentration of one mole of solute per liter of solution.(NCI)</t>
  </si>
  <si>
    <t>Ounce Equivalent; oz-eq</t>
  </si>
  <si>
    <t>A unit of relative amount of a substance equal to one ounce.</t>
  </si>
  <si>
    <t>Ounce Equivalent</t>
  </si>
  <si>
    <t>Ounce</t>
  </si>
  <si>
    <t>A unit of mass, the avoirdupois ounce is equal to 1/16 pound, or 28.3495 grams, or 0.911 457 troy ounce.(NCI)</t>
  </si>
  <si>
    <t>Poise</t>
  </si>
  <si>
    <t>A unit of dynamic viscosity equal to one pascal-second.</t>
  </si>
  <si>
    <t>Pascal</t>
  </si>
  <si>
    <t>A unit of pressure equivalent to one Newton per square meter or 10 bars or to 1.45x10(E-4) pounds per square inch.(NCI)</t>
  </si>
  <si>
    <t>A quantification of lifetime tobacco exposure defined as (number of cigarettes smoked per day x number of years smoked)/20. One pack-year is smoking 20 cigarettes a day for one year.</t>
  </si>
  <si>
    <t>Pack Year</t>
  </si>
  <si>
    <t>A number of individual items packaged as a unit.</t>
  </si>
  <si>
    <t>Pack Dosage Form</t>
  </si>
  <si>
    <t>Pack Dosing Unit; Package Dosing Unit</t>
  </si>
  <si>
    <t>A dosing measurement based on the package unit.(NCI)</t>
  </si>
  <si>
    <t>Package Dosing Unit</t>
  </si>
  <si>
    <t>Packet Dosing Unit</t>
  </si>
  <si>
    <t>A dosing measurement based on the packet unit.(NCI)</t>
  </si>
  <si>
    <t>Patch Dosing Unit</t>
  </si>
  <si>
    <t>A dosing measurement based on the patch unit.(NCI)</t>
  </si>
  <si>
    <t>Pellet Dosing Unit</t>
  </si>
  <si>
    <t>A dosing measurement based on the pellet unit.(NCI)</t>
  </si>
  <si>
    <t>Plaque Forming Unit</t>
  </si>
  <si>
    <t>A unit of measurement of plaque forming cells or microorganisms.</t>
  </si>
  <si>
    <t>A unit of measure expressed in plaque forming unit(s) per animal.</t>
  </si>
  <si>
    <t>Plaque Forming Units per Animal</t>
  </si>
  <si>
    <t>Plaque Forming Unit per Dose</t>
  </si>
  <si>
    <t>A unit of measure expressed in plaque forming unit(s) per dose.</t>
  </si>
  <si>
    <t>Plaque Forming Unit per Milliliter</t>
  </si>
  <si>
    <t>A unit of measure expressed in plaque forming unit(s) per milliliter of dosing volume.</t>
  </si>
  <si>
    <t>Picogram</t>
  </si>
  <si>
    <t>A unit of mass equal to one trillionth of a gram (1E-12 gram). (NCI)</t>
  </si>
  <si>
    <t>A unit of mass equal to one trillionth of a gram (1E-12 gram) per cell.</t>
  </si>
  <si>
    <t>Picogram Per Cell</t>
  </si>
  <si>
    <t>Picogram per Deciliter</t>
  </si>
  <si>
    <t>Picograms per deciliter.</t>
  </si>
  <si>
    <t>fg/mL; pg/L</t>
  </si>
  <si>
    <t>A unit of concentration or mass density equal to one femtogram of substance per milliliter of solution or one picogram of substance per liter of solution.</t>
  </si>
  <si>
    <t>Femtogram per Milliliter</t>
  </si>
  <si>
    <t>An arbitrary unit of substance concentration equal to the yield from a blood pheresis procedure.</t>
  </si>
  <si>
    <t>Pheresis Unit</t>
  </si>
  <si>
    <t>Pill Dosing Unit</t>
  </si>
  <si>
    <t>A dosing measurement based on the pill unit.</t>
  </si>
  <si>
    <t>Pipe Dosing Unit</t>
  </si>
  <si>
    <t>A dosing measurement based on the pipe unit.</t>
  </si>
  <si>
    <t>The smallest resolvable rectangular area of an image, either on a screen or stored in memory. (NCI)</t>
  </si>
  <si>
    <t>Pixel</t>
  </si>
  <si>
    <t>Pixels per Centimeter; PPCM</t>
  </si>
  <si>
    <t>A unit of image resolution expressed in the numbers of pixels per centimeter in the horizontal or vertical direction.</t>
  </si>
  <si>
    <t>Pixels per Centimeter</t>
  </si>
  <si>
    <t>Pixels per Inch; PPI</t>
  </si>
  <si>
    <t>A unit of image resolution expressed in the numbers of pixels per inch in the horizontal or vertical direction.</t>
  </si>
  <si>
    <t>Pixels per Inch</t>
  </si>
  <si>
    <t>Picokatal</t>
  </si>
  <si>
    <t>A unit of catalytic activity measurement equal to trillionth of one katal (1E-12 katal). (NCI)</t>
  </si>
  <si>
    <t>Picokatal per Liter</t>
  </si>
  <si>
    <t>Unit of catalytic activity concentration defined as activity equal to a picokatal per one liter of the system volume.</t>
  </si>
  <si>
    <t>Picoliter</t>
  </si>
  <si>
    <t>A unit of volume equal to one trillionth of a liter (1E-12 liter). (NCI)</t>
  </si>
  <si>
    <t>Plug Dosing Unit</t>
  </si>
  <si>
    <t>A dosing measurement based on the plug unit.</t>
  </si>
  <si>
    <t>Picometer</t>
  </si>
  <si>
    <t>A unit of length equal to one trillionth of a meter (1E-12 meter). (NCI)</t>
  </si>
  <si>
    <t>Picomole</t>
  </si>
  <si>
    <t>A unit of amount of substance equal to a trillionth (1E-12) of a mole. (NCI)</t>
  </si>
  <si>
    <t>A unit of concentration (molarity unit) equal to one picomole of substance per 10^10 cells.</t>
  </si>
  <si>
    <t>Picomole per Ten Billion Cells</t>
  </si>
  <si>
    <t>A unit of concentration (molarity unit) equal to one picomole of substance per 10^9 cells.</t>
  </si>
  <si>
    <t>Picomole per Billion Cells</t>
  </si>
  <si>
    <t>A unit of substance flow rate equal to one picomole per day.</t>
  </si>
  <si>
    <t>Picomole per Day</t>
  </si>
  <si>
    <t>Picomoles per Deciliter</t>
  </si>
  <si>
    <t>A unit of concentration (molarity unit) equal to one picomole of solute per deciliter of solution.</t>
  </si>
  <si>
    <t>Picomole per Deciliter</t>
  </si>
  <si>
    <t>nmol/kg; pmol/g</t>
  </si>
  <si>
    <t>Nanomoles (amount), divided by kilograms (weight) or picomoles per gram.</t>
  </si>
  <si>
    <t>Nanomole per Kilogram</t>
  </si>
  <si>
    <t>Femtomole per Milliliter; fmol/mL; Picomole per Liter</t>
  </si>
  <si>
    <t>A unit of concentration (molarity unit) equal to one picomole of solute per liter of solution.</t>
  </si>
  <si>
    <t>Picomole per Liter</t>
  </si>
  <si>
    <t>Picomoles per Liter per Hour</t>
  </si>
  <si>
    <t>A rate unit expressed in picomole(s) per liter of solution per period of time equal to sixty minutes.</t>
  </si>
  <si>
    <t>Picomole per Liter per Hour</t>
  </si>
  <si>
    <t>Protein Nitrogen Unit per Milliliter</t>
  </si>
  <si>
    <t>Unit of measure of potency of an allergenic product expressed as a number of protein nitrogen units per one milliliter of formulation.</t>
  </si>
  <si>
    <t>Allergenic Protein Nitrogen Unit per Milliliter</t>
  </si>
  <si>
    <t>A numeric unit used to quantify a score.</t>
  </si>
  <si>
    <t>Point</t>
  </si>
  <si>
    <t>Pouch Dosing Unit</t>
  </si>
  <si>
    <t>A dosing measurement based on the pouch unit.(NCI)</t>
  </si>
  <si>
    <t>Part per Billion</t>
  </si>
  <si>
    <t>A unit of measure referring to one entity counted per one billion entities.(NCI)</t>
  </si>
  <si>
    <t>Part Per Billion</t>
  </si>
  <si>
    <t>Part per Million</t>
  </si>
  <si>
    <t>A unit of measurement referring to one entity counted per one million entities.(NCI)</t>
  </si>
  <si>
    <t>Part Per Million</t>
  </si>
  <si>
    <t>Part per Thousand; per mil; per mille; permil</t>
  </si>
  <si>
    <t>A unit of proportion equal to 1E-3. (NCI)</t>
  </si>
  <si>
    <t>Part per Thousand</t>
  </si>
  <si>
    <t>Parts per Trillion</t>
  </si>
  <si>
    <t>A unit of measure referring to one entity counted per one trillion entities.(NCI)</t>
  </si>
  <si>
    <t>Part Per Trillion</t>
  </si>
  <si>
    <t>Pressor Unit</t>
  </si>
  <si>
    <t>A dosing measurement based on the pressor unit.(NCI)</t>
  </si>
  <si>
    <t>Picosecond; psec</t>
  </si>
  <si>
    <t>A unit of time equal to one trillionth of a second. (NCI)</t>
  </si>
  <si>
    <t>Picosecond</t>
  </si>
  <si>
    <t>Pounds per Square Inch</t>
  </si>
  <si>
    <t>A unit of pressure equivalent to 6.894757 kilopascals, or 703.0696 kilograms per square meter, or 51.71507 millimeters of mercury.(NCI)</t>
  </si>
  <si>
    <t>Pound per Square Inch</t>
  </si>
  <si>
    <t>British Pint; Imperial Pint</t>
  </si>
  <si>
    <t>A traditional unit of volume equal to 20 British fluid ounces, 34.678 cubic inches or approximately 568.261 milliliters.</t>
  </si>
  <si>
    <t>Pint British</t>
  </si>
  <si>
    <t>US Pint</t>
  </si>
  <si>
    <t>A United States liquid unit equal to 16 US fluid ounces or 28.875 cubic inches or approximately 473.177 milliliters.</t>
  </si>
  <si>
    <t>Pint</t>
  </si>
  <si>
    <t>Puff Dosing Unit</t>
  </si>
  <si>
    <t>A means of delivering a defined dose of a therapeutic aerolized solution into either the upper or lower respiratory tract. Metered-dose inhalers or spray pumps are devices that provide a puff dose for delivery into either the oral or the nasal cavity.(NCI)</t>
  </si>
  <si>
    <t>Pump Dosing Unit</t>
  </si>
  <si>
    <t>A dosing measurement based on the pump unit.</t>
  </si>
  <si>
    <t>Quantity Sufficient</t>
  </si>
  <si>
    <t>A quantity of an ingredient or product needed to bring up a volume or weight of the preparation to a final amount as it is indicated in the prescription; also refers to a determination of an adequate supply of medicine to fulfill either a prescribed amount or a sufficient quantity to provide treatment over a specified time frame.(NCI)</t>
  </si>
  <si>
    <t>Rad</t>
  </si>
  <si>
    <t>The special unit for absorbed radiation dose, which is the amount of energy from any type of ionizing radiation (e.g., alpha, beta, gamma, neutrons, etc.) deposited in any medium (e.g., water, tissue, air). A dose of one rad means the absorption of 100 ergs per gram of absorbing tissue. One rad is equal to 0.01 gray.(NCI)</t>
  </si>
  <si>
    <t>radian/s; Radians Per Second</t>
  </si>
  <si>
    <t>A unit of angular velocity equal to one radian per second.</t>
  </si>
  <si>
    <t>Radians Per Second</t>
  </si>
  <si>
    <t>Radioactive Seed Implant Dosing Unit</t>
  </si>
  <si>
    <t>A dosing measurement based on the radioactive seed implant unit.</t>
  </si>
  <si>
    <t>Retinol Activity Equivalent</t>
  </si>
  <si>
    <t>A unit of biological activity expressed in equivalents of retinol activity.</t>
  </si>
  <si>
    <t>Retinol Equivalent</t>
  </si>
  <si>
    <t>The quotient of one quantity divided by another, with the same units of measurement.</t>
  </si>
  <si>
    <t>Ratio</t>
  </si>
  <si>
    <t>Relative Fluorescence Intensity Unit; Relative Fluorescence Unit; Relative Intensity Unit; RFIU; RIU</t>
  </si>
  <si>
    <t>An arbitrary unit used to measure the intensity of the emitted fluorescent light in a sample; it is dependent on instrument and measurement parameters.</t>
  </si>
  <si>
    <t>Relative Fluorescence Intensity Unit</t>
  </si>
  <si>
    <t>Ring Dosing Unit</t>
  </si>
  <si>
    <t>A dosing measurement based on the ring unit.(NCI)</t>
  </si>
  <si>
    <t>Light Unit; LU; Luminometer Unit; Relative Light Unit; Relative Luminescence Unit</t>
  </si>
  <si>
    <t>An arbitrary unit used to measure the intensity of the emitted light from a sample; it is dependent on instrument and measurement parameters.</t>
  </si>
  <si>
    <t>Relative Luminescence Unit</t>
  </si>
  <si>
    <t>RNA Copies per Milliliter</t>
  </si>
  <si>
    <t>The unit of concentration of Ribonucleic Acid (RNA) copies expressed as a number of copies in unit volume equal to one milliliter.(NCI)</t>
  </si>
  <si>
    <t>RNA Copy per Milliliter</t>
  </si>
  <si>
    <t>Roentgen</t>
  </si>
  <si>
    <t>A unit of exposure to ionizing radiation. One Roentgen is the amount of gamma or x-rays required to produce ions resulting in a charge of 2.58E-4 Coulombs/kilogram of air under standard conditions.(NCI)</t>
  </si>
  <si>
    <t>Revolution per Minute</t>
  </si>
  <si>
    <t>A unit of frequency equal to one revolution per unit of time equal to one minute.(NCI)</t>
  </si>
  <si>
    <t>sec; Second</t>
  </si>
  <si>
    <t>The base unit of time in the International System of Units (SI) equal to the duration of 9,192,631,770 periods of the specified light radiation corresponding to the transition between the two hyperfine levels of the cesium 133 atom in its ground state at 0 K.</t>
  </si>
  <si>
    <t>Second</t>
  </si>
  <si>
    <t>A unit of resistance equal to one second times one kilopascal.</t>
  </si>
  <si>
    <t>Second Times Kilopascal</t>
  </si>
  <si>
    <t>sec/hr; Seconds per Hour</t>
  </si>
  <si>
    <t>A rate unit expressed in seconds per period of time equal to sixty minutes.</t>
  </si>
  <si>
    <t>Seconds Per Hour</t>
  </si>
  <si>
    <t>A unit of oxygen transfer function expressed as the reciprocal of time in seconds, times the reciprocal of oxygen concentration.</t>
  </si>
  <si>
    <t>Reciprocal of Seconds Times Percent O2 Concentration</t>
  </si>
  <si>
    <t>Sachet dosing unit</t>
  </si>
  <si>
    <t>A dosing unit that contains a solid pharmaceutical preparation in the form of a small packet or bag made from a flexible, often porous material.(NCI)</t>
  </si>
  <si>
    <t>Sachet Dosing Unit</t>
  </si>
  <si>
    <t>Standardized Biological Unit per Milliliter</t>
  </si>
  <si>
    <t>Unit of measure of potency of allergenic product expressed as a number of standardized biological units per one milliliter of formulation.</t>
  </si>
  <si>
    <t>Standardized Allergy Biological Unit per Milliliter</t>
  </si>
  <si>
    <t>Standard Cubic Meter</t>
  </si>
  <si>
    <t>A unit used in physical chemistry to express the amount of substance of an ideal gas in one cubic meter at standard conditions: temperature 273.15 K and pressure of one atmosphere (101.325 kilopascals).(NCI)</t>
  </si>
  <si>
    <t>Scoopful Dosing Unit</t>
  </si>
  <si>
    <t>A dosing measurement based on the scoopful unit.(NCI)</t>
  </si>
  <si>
    <t>A dosing measurement based on the serving unit.</t>
  </si>
  <si>
    <t>Serving Dosing Unit</t>
  </si>
  <si>
    <t>SFU/10^5 PBMC; Spots/10^5 PBMC</t>
  </si>
  <si>
    <t>A unit of activity of cell-mediated immunity expressed as a quantity of spot forming cells per one hundred thousand peripheral blood mononuclear cells.</t>
  </si>
  <si>
    <t>Spot Forming Units Per Ten Thousand Peripheral Blood Mononuclear Cells</t>
  </si>
  <si>
    <t>SFU/10^6 PBMC; Spots/10^6 PBMC</t>
  </si>
  <si>
    <t>A unit of activity of cell-mediated immunity expressed as a quantity of spot forming cells per million peripheral blood mononuclear cells.</t>
  </si>
  <si>
    <t>Spot Forming Units Per Million Peripheral Blood Mononuclear Cells</t>
  </si>
  <si>
    <t>SFU/2x10^5 PBMC; Spots/2x10^5 PBMC</t>
  </si>
  <si>
    <t>A unit of activity of cell-mediated immunity expressed as a quantity of spot forming cells per two hundred thousand peripheral blood mononuclear cells.</t>
  </si>
  <si>
    <t>Spot Forming Units Per Twenty Thousand Peripheral Blood Mononuclear Cells</t>
  </si>
  <si>
    <t>Shockwave Dosing Unit</t>
  </si>
  <si>
    <t>A dosing measurement based on the shock wave unit.</t>
  </si>
  <si>
    <t>Siemens</t>
  </si>
  <si>
    <t>A unit of electrical conductance, admittance, and susceptance. A conductor has a conductance of one Siemens if an electrical potential difference of one volt produces a one Ampere current in it. The conductance in Siemens is the reciprocal of its resistance in ohms.(NCI)</t>
  </si>
  <si>
    <t>Spray Dosing Unit</t>
  </si>
  <si>
    <t>A dosing measurement based on the spray unit.(NCI)</t>
  </si>
  <si>
    <t>SQ-u/mL; Standardized Quality Unit per Milliliter; Standardized Quality Unit/mL</t>
  </si>
  <si>
    <t>Unit of measure of potency of allergenic product expressed as a number of standardized quality units per one milliliter of formulation.</t>
  </si>
  <si>
    <t>Standardized Allergy Quality Unit per Milliliter</t>
  </si>
  <si>
    <t>A unit of measure to quantify the number of strides taken during a normal walking gait.</t>
  </si>
  <si>
    <t>Step Unit of Distance</t>
  </si>
  <si>
    <t>The number of steps, picking up one foot and putting it back down, occurring within a minute unit of time.</t>
  </si>
  <si>
    <t>Steps Per Minute</t>
  </si>
  <si>
    <t>Strip Dosing Unit</t>
  </si>
  <si>
    <t>A dosing measurement based on the strip unit.(NCI)</t>
  </si>
  <si>
    <t>Suppository Dosing Unit</t>
  </si>
  <si>
    <t>A dosing measurement based on the suppository unit.(NCI)</t>
  </si>
  <si>
    <t>Sievert</t>
  </si>
  <si>
    <t>A unit of equivalent radiation dose. One Sv is received when the actual absorbed dose of ionizing radiation, after being multiplied by the dimensionless factors Q (the relative biological efficiency or quality factor) and N (the product of any other multiplying factors that takes into account the distribution of energy throughout the dose), is one joule per kilogram. In this scheme, the relationship between the absorbed dose of radiation D and the dose equivalent H is, therefore, given by H = QND. Both Q and N are stipulated by the International Commission on Radiological Protection. One Sv is equal to 100 rem.(NCI)</t>
  </si>
  <si>
    <t>Syringe Dosing Unit</t>
  </si>
  <si>
    <t>A dosing measurement based on the syringe unit.(NCI)</t>
  </si>
  <si>
    <t>tab; Tablet Dosing Unit</t>
  </si>
  <si>
    <t>A dosing measurement based on the tablet unit.(NCI)</t>
  </si>
  <si>
    <t>Tablet Dosing Unit</t>
  </si>
  <si>
    <t>Tampon Dosing Unit</t>
  </si>
  <si>
    <t>A dosing measurement based on the tampon unit.(NCI)</t>
  </si>
  <si>
    <t>Tablespoon Dosing Unit</t>
  </si>
  <si>
    <t>A dosing measurement based on the tablespoon unit.</t>
  </si>
  <si>
    <t>50 Percent Tissue Culture Infective Dose per Dose</t>
  </si>
  <si>
    <t>A potency unit equal to the potency at which one dose of preparation contains one 50 percent tissue culture infective dose.(NCI)</t>
  </si>
  <si>
    <t>Tesla</t>
  </si>
  <si>
    <t>A unit of magnetic flux density equal to the magnitude of the magnetic field vector necessary to produce a force of one Newton on a charge of one coulomb moving perpendicular to the direction of the magnetic field vector with a velocity of one meter per second. It is equivalent to one Weber per square meter.(NCI)</t>
  </si>
  <si>
    <t>A dosing unit for the number of therapeutic cells administered.</t>
  </si>
  <si>
    <t>Therapeutic Cells Dosing Unit</t>
  </si>
  <si>
    <t>A dosing unit for the number of therapeutic cells given per meter squared of body surface area.</t>
  </si>
  <si>
    <t>Therapeutic Cells per Square Meter</t>
  </si>
  <si>
    <t>Titr; Titre</t>
  </si>
  <si>
    <t>Concentration of a substance in a solution as determined by the quantitative reaction with added measured volume(s) of a solution of the precisely known concentration(s) of a standard reagent.</t>
  </si>
  <si>
    <t>Titer</t>
  </si>
  <si>
    <t>Torr</t>
  </si>
  <si>
    <t>A non-SI manometric unit of pressure equal to 1/760 of a standard atmosphere (a standard atmosphere being defined as equal to 101325 pascals). One Torr is equal to 133.3223684 pascals.</t>
  </si>
  <si>
    <t>Trace Dosing Unit</t>
  </si>
  <si>
    <t>An extremely small amount.(NCI)</t>
  </si>
  <si>
    <t>A unit of biological activity described as the number of viral particles in solution that are capable of infecting a cell and stimulating expression of a transgene.</t>
  </si>
  <si>
    <t>Transducing Unit</t>
  </si>
  <si>
    <t>Unit of measure of potency expressed as a number of transducing units per one milliliter of solution.</t>
  </si>
  <si>
    <t>Transducing Unit per Milliliter</t>
  </si>
  <si>
    <t>Troche Dosing Unit</t>
  </si>
  <si>
    <t>A dosing measurement based on the troche unit.(NCI)</t>
  </si>
  <si>
    <t>Teaspoon Equivalent; tsp-eq</t>
  </si>
  <si>
    <t>A unit of relative amount of a substance equal to one teaspoon.</t>
  </si>
  <si>
    <t>Teaspoon Equivalent</t>
  </si>
  <si>
    <t>Teaspoon Dosing Unit</t>
  </si>
  <si>
    <t>A dosing measurement based on the teaspoon unit.</t>
  </si>
  <si>
    <t>Tube Dosing Unit</t>
  </si>
  <si>
    <t>A dosing measurement based on the tube unit.(NCI)</t>
  </si>
  <si>
    <t>Tuberculin Unit</t>
  </si>
  <si>
    <t>An arbitrary unit of tuberculin dosage defined by comparison of clinical response with a preparation of the purified protein derivative standardized for use in humans for tuberculin skin test reaction.(NCI)</t>
  </si>
  <si>
    <t>Tuberculin Unit per 100 Microliters</t>
  </si>
  <si>
    <t>A unit of biologic activity of tuberculin expressed as a number of arbitrary units of tuberculin in 0.1mL, or 100uL, of preparation.</t>
  </si>
  <si>
    <t>Tuberculin Unit per Milliliter</t>
  </si>
  <si>
    <t>A unit of biologic activity of tuberculin expressed as a number of arbitrary units of tuberculin in one milliliter of preparation.(NCI)</t>
  </si>
  <si>
    <t>A single undivided thing occurring in the composition of something else; a unit representing equivalence with a reference measurement.</t>
  </si>
  <si>
    <t>CARR U; Carratelli Unit</t>
  </si>
  <si>
    <t>An arbitrary unit of substance concentration expressed in milligrams per a volume of hydrogen peroxide. One Carratelli unit is equal to 0.8mg substance per liter of hydrogen peroxide.</t>
  </si>
  <si>
    <t>Carratelli Unit</t>
  </si>
  <si>
    <t>A unit of substance content expressed in units of biological activity per 10^12 red blood cells.</t>
  </si>
  <si>
    <t>Unit per Trillion Red Blood Cells</t>
  </si>
  <si>
    <t>Unit per Animal</t>
  </si>
  <si>
    <t>A dosing unit expressed in unit(s) per animal.</t>
  </si>
  <si>
    <t>Unit per Centiliter</t>
  </si>
  <si>
    <t>A unit of substance content expressed in unit(s) per centiliter.</t>
  </si>
  <si>
    <t>Unit Per Centiliter</t>
  </si>
  <si>
    <t>Unit per Deciliter</t>
  </si>
  <si>
    <t>A unit of substance content expressed in unit(s) per deciliter.</t>
  </si>
  <si>
    <t>Unit Per Deciliter</t>
  </si>
  <si>
    <t>A unit of concentration (biologic activity) equal to one unit of substance per gram of hemoglobin.</t>
  </si>
  <si>
    <t>Unit Per Gram Hemoglobin</t>
  </si>
  <si>
    <t>Unit per Gram</t>
  </si>
  <si>
    <t>A unit of substance content expressed in unit(s) per gram.</t>
  </si>
  <si>
    <t>Unit per Gram per Day</t>
  </si>
  <si>
    <t>A unit of substance rate expressed in unit(s) per gram per period of time equal to twenty-four hours.</t>
  </si>
  <si>
    <t>Unit per Gram per Hour</t>
  </si>
  <si>
    <t>A unit of substance rate expressed in unit(s) per gram per period of time equal to sixty minutes.</t>
  </si>
  <si>
    <t>Unit per Gram per Minute</t>
  </si>
  <si>
    <t>A unit of substance rate expressed in unit(s) per gram per period of time equal to sixty seconds.</t>
  </si>
  <si>
    <t>Unit per Hour; Unit/h</t>
  </si>
  <si>
    <t>A unit of measure equal to unit(s) per period of time equal to sixty minutes.</t>
  </si>
  <si>
    <t>Unit per Hour</t>
  </si>
  <si>
    <t>Unit per Kilogram</t>
  </si>
  <si>
    <t>A unit of substance content expressed in units of biological activity per unit of mass equal to one kilogram. Unit per kilogram is also used as a dose calculation unit expressed in arbitrary units per one kilogram of body mass.</t>
  </si>
  <si>
    <t>Unit per Kilogram per Day</t>
  </si>
  <si>
    <t>A unit of substance rate expressed in unit(s) per kilogram per period of time equal to twenty-four hours.</t>
  </si>
  <si>
    <t>Unit per Kilogram per Hour</t>
  </si>
  <si>
    <t>A unit of substance rate expressed in unit(s) per kilogram per period of time equal to sixty minutes.</t>
  </si>
  <si>
    <t>Unit per Kilogram per Minute</t>
  </si>
  <si>
    <t>A unit of substance rate expressed in unit(s) per kilogram per period of time equal to sixty seconds.</t>
  </si>
  <si>
    <t>mU/mL; Unit per Liter</t>
  </si>
  <si>
    <t>A unit of substance concentration equal to the concentration at which one liter of mixture contains one unit of a substance.</t>
  </si>
  <si>
    <t>Unit per Liter</t>
  </si>
  <si>
    <t>Unit per Square Meter</t>
  </si>
  <si>
    <t>A unit expressed as a number of arbitrary units of substance per one square meter of a body surface area.</t>
  </si>
  <si>
    <t>Unit per Square Meter per Day</t>
  </si>
  <si>
    <t>A unit of substance rate expressed in unit(s) per square meter per period of time equal to twenty-four hours.</t>
  </si>
  <si>
    <t>Unit per Square Meter per Hour</t>
  </si>
  <si>
    <t>A unit of substance rate expressed in unit(s) per square meter per period of time equal to sixty minutes.</t>
  </si>
  <si>
    <t>Unit per Square Meter per Minute</t>
  </si>
  <si>
    <t>A unit of substance rate expressed in unit(s) per square meter per period of time equal to sixty seconds.</t>
  </si>
  <si>
    <t>Unit per Milligram</t>
  </si>
  <si>
    <t>A unit of substance content expressed in unit(s) per milligram.</t>
  </si>
  <si>
    <t>kU/L; Unit per Milliliter</t>
  </si>
  <si>
    <t>A unit of substance content expressed in unit(s) per milliliter.</t>
  </si>
  <si>
    <t>Unit per Milliliter</t>
  </si>
  <si>
    <t>Unit per Millimole</t>
  </si>
  <si>
    <t>A unit of substance concentration equal to the concentration at which one millimole of a mixture contains one unit of a substance.</t>
  </si>
  <si>
    <t>mcCi; Microcurie</t>
  </si>
  <si>
    <t>A unit of radioactivity equal to one millionth of a Curie or 37 kilobecquerels, and corresponding to a radioactivity of 37 000 atomic disintegrations per second.(NCI)</t>
  </si>
  <si>
    <t>Microcurie</t>
  </si>
  <si>
    <t>mcCi/kg; Microcurie per Kilogram</t>
  </si>
  <si>
    <t>A unit of specific radioactivity (massic activity) equal to activity of one microcurie of the sample with total mass of one kilogram.(NCI)</t>
  </si>
  <si>
    <t>Microcurie per Kilogram</t>
  </si>
  <si>
    <t>mcCi/L; Microcurie per Liter</t>
  </si>
  <si>
    <t>A unit of volumetric radioactivity concentration defined as a concentration of a radionuclide with an activity equal to one millionth of a Curie per unit volume equal to one liter.(NCI)</t>
  </si>
  <si>
    <t>Microcurie per Liter</t>
  </si>
  <si>
    <t>Microequivalent</t>
  </si>
  <si>
    <t>A unit of relative amount of a substance equal to one millionth of an equivalent weight.(NCI)</t>
  </si>
  <si>
    <t>Microequivalent per Liter; Nanoequivalent per Milliliter; nEq/mL</t>
  </si>
  <si>
    <t>A concentration unit measured as a number of microequivalents of solute per liter of solution.</t>
  </si>
  <si>
    <t>Microequivalent per Liter</t>
  </si>
  <si>
    <t>mcg; Microgram</t>
  </si>
  <si>
    <t>A unit of mass equal to one millionth (1E-6) of a gram.</t>
  </si>
  <si>
    <t>Microgram</t>
  </si>
  <si>
    <t>Microgram per Animal</t>
  </si>
  <si>
    <t>A unit of measure expressed in microgram(s) per animal.</t>
  </si>
  <si>
    <t>mcg/cm2</t>
  </si>
  <si>
    <t>A unit of area density defined as a spread rate at which one microgram of a substance is spread over the area of one square centimeter. The unit is also used as a dose calculation unit.</t>
  </si>
  <si>
    <t>Microgram per Square Centimeter</t>
  </si>
  <si>
    <t>mcg/day</t>
  </si>
  <si>
    <t>A unit of mass flow rate equal to one microgram per day.</t>
  </si>
  <si>
    <t>Microgram per Day</t>
  </si>
  <si>
    <t>Microgram per Deciliter</t>
  </si>
  <si>
    <t>A unit of mass concentration defined as the concentration of one microgram of a substance per unit volume of the mixture equal to one deciliter. The concept also refers to the unit of mass density (volumic mass) defined as the density of substance which mass equal to one microgram occupies the volume one deciliter. (NCI)</t>
  </si>
  <si>
    <t>A unit of measure expressed in microgram(s) per dose.</t>
  </si>
  <si>
    <t>Microgram per Dose</t>
  </si>
  <si>
    <t>Microgram per Gram per Day</t>
  </si>
  <si>
    <t>A dose calculation unit expressed in microgram(s) per gram per period of time equal to twenty-four hours. (NCI)</t>
  </si>
  <si>
    <t>Microgram per Gram per Hour</t>
  </si>
  <si>
    <t>A dose calculation unit expressed in microgram(s) per gram per period of time equal to sixty minutes. (NCI)</t>
  </si>
  <si>
    <t>Microgram per Gram per Minute</t>
  </si>
  <si>
    <t>A dose calculation unit expressed in microgram(s) per gram per period of time equal to sixty seconds. (NCI)</t>
  </si>
  <si>
    <t>mcg/h</t>
  </si>
  <si>
    <t>A unit of mass flow rate equal to one microgram per hour.</t>
  </si>
  <si>
    <t>Microgram per Hour</t>
  </si>
  <si>
    <t>mcg/kg; Microgram per Kilogram; ng/g; pg/mg; ug/kg</t>
  </si>
  <si>
    <t>A unit of a mass fraction expressed as a number of micrograms of substance per kilogram of mixture. The unit is also used as a dose calculation unit.(NCI)</t>
  </si>
  <si>
    <t>Microgram per Kilogram</t>
  </si>
  <si>
    <t>Microgram per Kilogram per Day</t>
  </si>
  <si>
    <t>A dose calculation unit expressed in microgram(s) per kilogram per period of time equal to twenty-four hours. (NCI)</t>
  </si>
  <si>
    <t>Microgram per Kilogram per Hour</t>
  </si>
  <si>
    <t>A dose calculation unit expressed in microgram(s) per kilogram per period of time equal to sixty minutes. (NCI)</t>
  </si>
  <si>
    <t>Gamma per Kilogram per Minute; gamma/kg/min; mcg/kg/min; Microgram per Kilogram per Minute</t>
  </si>
  <si>
    <t>A dose calculation unit equal to one millionth of a gram of a preparation per one kilogram of body mass administered per unit of time equal to one minute.(NCI)</t>
  </si>
  <si>
    <t>Microgram per Kilogram per Minute</t>
  </si>
  <si>
    <t>Microgram per Kilogram per Week</t>
  </si>
  <si>
    <t>A dose calculation unit expressed in microgram(s) per kilogram per period of time equal to seven days.</t>
  </si>
  <si>
    <t>A unit of equivalent concentration equal to the number of micrograms of D-dimer per unit volume equal to one liter. (NCI)</t>
  </si>
  <si>
    <t>Micrograms DDU Per Liter</t>
  </si>
  <si>
    <t>FEU ug/L; ng/mL FEU; ug FEU/L; ug-L-FEU</t>
  </si>
  <si>
    <t>A unit of equivalent concentration equal to the number of micrograms of fibrinogen per unit volume equal to one liter.</t>
  </si>
  <si>
    <t>Microgram per Liter Fibrinogen Equivalent Units</t>
  </si>
  <si>
    <t>mcg/L; mg/m3; Microgram per Liter; Milligram per Cubic Meter; Nanogram per Milliliter; ng/mL; ug/L</t>
  </si>
  <si>
    <t>A unit of concentration or mass density equal to one nanogram of substance per milliliter of solution or one microgram of substance per liter of solution.</t>
  </si>
  <si>
    <t>Microgram per Liter</t>
  </si>
  <si>
    <t>ng/mL/h</t>
  </si>
  <si>
    <t>A rate unit equal to the number of micrograms per unit of volume equal to one liter per unit of time equal to one hour.</t>
  </si>
  <si>
    <t>Microgram per Liter per Hour</t>
  </si>
  <si>
    <t>Microgram per Square Meter</t>
  </si>
  <si>
    <t>A dose calculation unit expressed in microgram(s) per square meter.</t>
  </si>
  <si>
    <t>Microgram per Square Meter per Day</t>
  </si>
  <si>
    <t>A dose calculation unit expressed in microgram(s) per square meter per period of time equal to twenty-four hours. (NCI)</t>
  </si>
  <si>
    <t>Microgram per Square Meter per Hour</t>
  </si>
  <si>
    <t>A dose calculation unit expressed in microgram(s) per square meter per period of time equal to sixty minutes. (NCI)</t>
  </si>
  <si>
    <t>Microgram per Square Meter per Minute</t>
  </si>
  <si>
    <t>A dose calculation unit expressed in microgram(s) per square meter per period of time equal to sixty seconds. (NCI)</t>
  </si>
  <si>
    <t>mcg/min</t>
  </si>
  <si>
    <t>A unit of mass flow rate equal to one microgram per minute.</t>
  </si>
  <si>
    <t>Microgram per Minute</t>
  </si>
  <si>
    <t>Microgram per Milliliter per Hour</t>
  </si>
  <si>
    <t>A dose calculation unit expressed in microgram(s) per milliliter of solution per period of time equal to sixty minutes. (NCI)</t>
  </si>
  <si>
    <t>ng/mmol; pg/umol</t>
  </si>
  <si>
    <t>A unit of mass commonly used to express the molar mass of a substance in microgram(s) per mole.</t>
  </si>
  <si>
    <t>Microgram per Mole</t>
  </si>
  <si>
    <t>Microgram Equivalent</t>
  </si>
  <si>
    <t>A unit of relative amount of substance equal to one millionth of a gram of an equivalent weight.</t>
  </si>
  <si>
    <t>ngEq/mL; ugEq/L</t>
  </si>
  <si>
    <t>A concentration unit measured as the number of microgram equivalents of solute per liter of solution, or as the number of nanogram equivalents of solute per milliliter of solution.</t>
  </si>
  <si>
    <t>Microgram Equivalent per Liter</t>
  </si>
  <si>
    <t>A unit of concentration (biologic activity) equal to one micro-international unit of substance per deciliter of solution.</t>
  </si>
  <si>
    <t>Micro-International Unit per Deciliter</t>
  </si>
  <si>
    <t>A unit of concentration (biologic activity) equal to one micro-international unit of substance per liter of solution.</t>
  </si>
  <si>
    <t>Micro-International Unit per Liter</t>
  </si>
  <si>
    <t>mckat; Microkatal</t>
  </si>
  <si>
    <t>A unit of catalytic activity measurement equal to one millionth of katal (1E-6 katal). (NCI)</t>
  </si>
  <si>
    <t>Microkatal</t>
  </si>
  <si>
    <t>mckat/10^12 RBC</t>
  </si>
  <si>
    <t>Unit of catalytic activity concentration defined as activity equal to one millionth of katal per 10^12 erythrocytes.</t>
  </si>
  <si>
    <t>Microkatal per Trillion Erythrocytes</t>
  </si>
  <si>
    <t>Microkatals per Gram Hemoglobin</t>
  </si>
  <si>
    <t>A unit of catalytic activity equal to one millionth of one katal (10E-6 katal) per gram of hemoglobin.</t>
  </si>
  <si>
    <t>Microkatal per Gram Hemoglobin</t>
  </si>
  <si>
    <t>mckat/L; Microkatal per Liter</t>
  </si>
  <si>
    <t>Unit of catalytic activity concentration defined as activity equal to one millionth of katal per one liter of the system volume.(NCI)</t>
  </si>
  <si>
    <t>Microkatal per Liter</t>
  </si>
  <si>
    <t>mcL; Microliter; mm3</t>
  </si>
  <si>
    <t>A unit of volume accepted for use with the SI and equal to one millionth of a liter (1E-6 liter). (NCI)</t>
  </si>
  <si>
    <t>Microliter</t>
  </si>
  <si>
    <t>A unit of measure expressed in microliter(s) per dose.</t>
  </si>
  <si>
    <t>Microliter per Dose</t>
  </si>
  <si>
    <t>(uL/day)/kg; uL/kg/day</t>
  </si>
  <si>
    <t>Microliters per kilogram per day or microliters per day (flow rate), divided by kilograms (weight).</t>
  </si>
  <si>
    <t>Microliter per Kilogram per Day</t>
  </si>
  <si>
    <t>mcL/mL; Microliter per Milliliter; mL/L</t>
  </si>
  <si>
    <t>A unit of volume fraction expressed as a number of microliters of the constituent per the volume of the system represented in milliliters.(NCI)</t>
  </si>
  <si>
    <t>Microliter per Milliliter</t>
  </si>
  <si>
    <t>mcm; Micron</t>
  </si>
  <si>
    <t>A unit of length in metric system equal to 1E-6 meter, or micrometer. (NCI)</t>
  </si>
  <si>
    <t>Micron</t>
  </si>
  <si>
    <t>A unit of length equal to one micrometer per unit of time equal to one day.</t>
  </si>
  <si>
    <t>Micrometer per Day</t>
  </si>
  <si>
    <t>Micrometers per Second; micron/sec; um/sec</t>
  </si>
  <si>
    <t>A unit of both speed (scalar) and velocity (vector), defined as the distance of one micrometer travelled per unit time equal to one second.</t>
  </si>
  <si>
    <t>Micrometer per Second</t>
  </si>
  <si>
    <t>MicroSquare Meter</t>
  </si>
  <si>
    <t>A SI unit of area measurement equal to a square whose sides are one micrometer long. (NCI)</t>
  </si>
  <si>
    <t>Square Micrometer</t>
  </si>
  <si>
    <t>mcmol; Micromole</t>
  </si>
  <si>
    <t>A unit of amount of substance equal to one millionth (1E-6) of a mole. (NCI)</t>
  </si>
  <si>
    <t>Micromole</t>
  </si>
  <si>
    <t>mcmol/day</t>
  </si>
  <si>
    <t>A unit of substance flow rate equal to one micromole per day.</t>
  </si>
  <si>
    <t>Micromole per 24 Hours</t>
  </si>
  <si>
    <t>A unit of concentration (molarity unit) equal to one micromole of solute per deciliter of solution. (NCI)</t>
  </si>
  <si>
    <t>Micromole per Deciliter</t>
  </si>
  <si>
    <t>A unit of fraction expressed as the ratio of the number of micromoles of substance per unit of time equal to one hour, to the amount of a different substance, in millimoles.</t>
  </si>
  <si>
    <t>Micromole per Hour per Millimole</t>
  </si>
  <si>
    <t>A unit of concentration (molarity unit) equal to one millionth of a mole (1E-6 mole) per kilogram of a substance per period of time equal to sixty seconds.</t>
  </si>
  <si>
    <t>Micromole per Kilogram per Minute</t>
  </si>
  <si>
    <t>nmol/mL</t>
  </si>
  <si>
    <t>A unit of concentration (molarity unit) equal to one micromole of solute per liter of solution.</t>
  </si>
  <si>
    <t>Micromole per Liter</t>
  </si>
  <si>
    <t>A concentration unit equal to one micromole of solute in one liter of solution per unit of time equal to one hour.</t>
  </si>
  <si>
    <t>Micromole per Liter per Hour</t>
  </si>
  <si>
    <t>A concentration unit equal to one micromole of solute in one liter of solution per unit of time equal to one minute.</t>
  </si>
  <si>
    <t>Micromole per Liter per Minute</t>
  </si>
  <si>
    <t>Micromoles per Liter per Second; umol/(L*s); umol/(s*L); umol/L/sec; umol/s/L</t>
  </si>
  <si>
    <t>A concentration unit equal to one micromole of solute in one liter of solution per unit of time equal to one second. (NCI)</t>
  </si>
  <si>
    <t>Micromole Per Liter Per Second</t>
  </si>
  <si>
    <t>Micromole per Milligram per Minute</t>
  </si>
  <si>
    <t>A unit of concentration (molarity unit) equal to one millionth of a mole (1E-6 mole) per milligram of a substance per period of time equal to sixty seconds. (NCI)</t>
  </si>
  <si>
    <t>mcmol/min</t>
  </si>
  <si>
    <t>A unit of substance flow rate equal to one micromole per minute.</t>
  </si>
  <si>
    <t>Micromole per Minute</t>
  </si>
  <si>
    <t>nmol/mmol</t>
  </si>
  <si>
    <t>A unit of fraction expressed as the ratio of the amount of a substance in solution, in micromoles, to the amount of a different substance in the mixture, in moles.</t>
  </si>
  <si>
    <t>Micromole per Mole</t>
  </si>
  <si>
    <t>Microosmole</t>
  </si>
  <si>
    <t>A unit of osmotic pressure equal to one millionth of an osmole or the osmotic pressure of a 1E-6 molar solution of a substance that does not dissociate. (NCI)</t>
  </si>
  <si>
    <t>Microsecond; usec</t>
  </si>
  <si>
    <t>A unit of time equal to one millionth of a second. (NCI)</t>
  </si>
  <si>
    <t>Microsecond</t>
  </si>
  <si>
    <t>uS</t>
  </si>
  <si>
    <t>A unit of electrical conductance, admittance, and susceptance equal to one millionth of a Siemens (10E-6 Siemens). (NCI)</t>
  </si>
  <si>
    <t>Microsiemens</t>
  </si>
  <si>
    <t>United States Pharmacopeia Unit</t>
  </si>
  <si>
    <t>An arbitrary unit established and approved by the United States Pharmacopeia.</t>
  </si>
  <si>
    <t>An arbitrary unit of substance content expressed in microunit(s) per deciliter.</t>
  </si>
  <si>
    <t>Micro-Unit per Deciliter</t>
  </si>
  <si>
    <t>An arbitrary unit of substance content expressed in microunit(s) per liter.</t>
  </si>
  <si>
    <t>Micro-Unit per Liter</t>
  </si>
  <si>
    <t>mcV; Microvolt</t>
  </si>
  <si>
    <t>A unit of an electric potential and electromotive force equal to one millionth of a volt.(NCI)</t>
  </si>
  <si>
    <t>Microvolt</t>
  </si>
  <si>
    <t>Microvolt * Seconds; uV*sec</t>
  </si>
  <si>
    <t>A SI derived unit of magnetic flux, equal to the flux that produces in a circuit of one turn an electromotive force of one microvolt, when the flux is uniformly reduced to zero within one second. (NCI)</t>
  </si>
  <si>
    <t>Microvolt Second</t>
  </si>
  <si>
    <t>A unit of electromotive force equal to a microvolt squared.</t>
  </si>
  <si>
    <t>Microvolts Squared</t>
  </si>
  <si>
    <t>Volt</t>
  </si>
  <si>
    <t>A unit of electric potential and electromotive force, equal to the difference of electric potential between two points on a conducting wire carrying a constant current of one Ampere when the power dissipated between the points is one watt. This is equivalent to the potential difference across a resistance of one ohm when one Ampere of current flows through it.(NCI)</t>
  </si>
  <si>
    <t>V/s; V/sec; Volt per Second</t>
  </si>
  <si>
    <t>A SI derived rate unit equal to one volt per unit of time equal to one second.</t>
  </si>
  <si>
    <t>Volt Per Second</t>
  </si>
  <si>
    <t>Vector Genomes/dose</t>
  </si>
  <si>
    <t>A unit for cloning vector amount expressed as the number of vector genomes per dose.</t>
  </si>
  <si>
    <t>Vector Genomes per Dose</t>
  </si>
  <si>
    <t>Vector Genomes per Kilogram</t>
  </si>
  <si>
    <t>A unit for the vector amount expressed as the number of vector genomes per kilogram of body weight.</t>
  </si>
  <si>
    <t>Vector Genomes/mL</t>
  </si>
  <si>
    <t>A unit for cloning vector concentration expressed as the number of vector genomes per milliliter.</t>
  </si>
  <si>
    <t>Vector Genomes per Milliliter</t>
  </si>
  <si>
    <t>Vial Dosing Unit</t>
  </si>
  <si>
    <t>A dosing measurement based on the vial unit.(NCI)</t>
  </si>
  <si>
    <t>A type of pixel created from overlying two adjacent real pixels to create an additional virtual image of a pixel that is visible to the human eye.</t>
  </si>
  <si>
    <t>Virtual Pixel</t>
  </si>
  <si>
    <t>Volume Pixel</t>
  </si>
  <si>
    <t>The smallest distinguishable part or element of a three-dimensional space or image.</t>
  </si>
  <si>
    <t>Voxel</t>
  </si>
  <si>
    <t>Viral Particles/dose</t>
  </si>
  <si>
    <t>A unit for virus amount expressed as the number of viral particles per dose.</t>
  </si>
  <si>
    <t>Viral Particles per Dose</t>
  </si>
  <si>
    <t>Viral Particles/mL</t>
  </si>
  <si>
    <t>A unit for virus concentration expressed as the number of viral particles per milliliter.</t>
  </si>
  <si>
    <t>Viral Particles per Milliliter</t>
  </si>
  <si>
    <t>Wafer Dosing Unit</t>
  </si>
  <si>
    <t>A dosing measurement based on the wafer unit.(NCI)</t>
  </si>
  <si>
    <t>A unit of power equal to the power which in one second produces or transfers the energy of one joule. The unit is used in measurements of power emitted, transferred or received as radiation, sound waves, heat flow rate, and rate of energy transfer. Equal to 1/746 of horsepower.(NCI)</t>
  </si>
  <si>
    <t>Watt</t>
  </si>
  <si>
    <t>V*s; V*sec; Volt Second; Volt-second; Weber</t>
  </si>
  <si>
    <t>A unit of magnetic flux, equal to the flux that produces in a circuit of one turn an electromotive force of one volt, when the flux is uniformly reduced to zero within one second.(NCI)</t>
  </si>
  <si>
    <t>Weber</t>
  </si>
  <si>
    <t>Yard</t>
  </si>
  <si>
    <t>A unit of length equal to 3 feet, or 36 inches, or 0.9144 meter.(NCI)</t>
  </si>
  <si>
    <t>% INHIBITION</t>
  </si>
  <si>
    <t>%</t>
  </si>
  <si>
    <t>%(v/v)</t>
  </si>
  <si>
    <t>%(w/v)</t>
  </si>
  <si>
    <t>%(w/w)</t>
  </si>
  <si>
    <t>%*min/h</t>
  </si>
  <si>
    <t>%/min</t>
  </si>
  <si>
    <t>%/s</t>
  </si>
  <si>
    <t>/10 HPFs</t>
  </si>
  <si>
    <t>/100 HPFs</t>
  </si>
  <si>
    <t>/100 RBC</t>
  </si>
  <si>
    <t>/100 WBC</t>
  </si>
  <si>
    <t>/10^3 RBC</t>
  </si>
  <si>
    <t>/10^3</t>
  </si>
  <si>
    <t>/10^4</t>
  </si>
  <si>
    <t>/10^5</t>
  </si>
  <si>
    <t>/10^6</t>
  </si>
  <si>
    <t>/2 mm2</t>
  </si>
  <si>
    <t>/200 HPFs</t>
  </si>
  <si>
    <t>/2000 RBC</t>
  </si>
  <si>
    <t>/2500 WBC</t>
  </si>
  <si>
    <t>/4.0 mL</t>
  </si>
  <si>
    <t>/40 HPFs</t>
  </si>
  <si>
    <t>/400 Cells</t>
  </si>
  <si>
    <t>/500 WBC</t>
  </si>
  <si>
    <t>/5x10^4 WBC</t>
  </si>
  <si>
    <t>/7.5 mL</t>
  </si>
  <si>
    <t>/cmH2O</t>
  </si>
  <si>
    <t>/day</t>
  </si>
  <si>
    <t>/h</t>
  </si>
  <si>
    <t>/HPF</t>
  </si>
  <si>
    <t>/kg</t>
  </si>
  <si>
    <t>/LPF</t>
  </si>
  <si>
    <t>/LSQN</t>
  </si>
  <si>
    <t>/MBP</t>
  </si>
  <si>
    <t>/min</t>
  </si>
  <si>
    <t>/mm</t>
  </si>
  <si>
    <t>/mm2</t>
  </si>
  <si>
    <t>/month</t>
  </si>
  <si>
    <t>/ms</t>
  </si>
  <si>
    <t>/s</t>
  </si>
  <si>
    <t>/VF</t>
  </si>
  <si>
    <t>/wk</t>
  </si>
  <si>
    <t>1/(s*kPa)</t>
  </si>
  <si>
    <t>100 IU/mL</t>
  </si>
  <si>
    <t>10^10/L</t>
  </si>
  <si>
    <t>10^11/L</t>
  </si>
  <si>
    <t>10^12 IU/L</t>
  </si>
  <si>
    <t>10^12/L</t>
  </si>
  <si>
    <t>10^3 CFU</t>
  </si>
  <si>
    <t>10^3 CFU/g</t>
  </si>
  <si>
    <t>10^3 CFU/mL</t>
  </si>
  <si>
    <t>10^3 copies/mL</t>
  </si>
  <si>
    <t>10^3 DNA copies/mL</t>
  </si>
  <si>
    <t>10^3 organisms</t>
  </si>
  <si>
    <t>10^3 organisms/g</t>
  </si>
  <si>
    <t>10^3 organisms/mL</t>
  </si>
  <si>
    <t>10^3 RNA copies/mL</t>
  </si>
  <si>
    <t>10^3 Therapeutic Cells</t>
  </si>
  <si>
    <t>10^3/hpf</t>
  </si>
  <si>
    <t>10^3/L</t>
  </si>
  <si>
    <t>10^4 CFU</t>
  </si>
  <si>
    <t>10^4 CFU/mL</t>
  </si>
  <si>
    <t>10^4/hpf</t>
  </si>
  <si>
    <t>10^4/L</t>
  </si>
  <si>
    <t>10^5 CFU/mL</t>
  </si>
  <si>
    <t>10^5 Therapeutic Cells</t>
  </si>
  <si>
    <t>10^5/hpf</t>
  </si>
  <si>
    <t>10^5/kg</t>
  </si>
  <si>
    <t>10^5/L</t>
  </si>
  <si>
    <t>10^6 CFU</t>
  </si>
  <si>
    <t>10^6 CFU/g</t>
  </si>
  <si>
    <t>10^6 CFU/mL</t>
  </si>
  <si>
    <t>10^6 copies/mL</t>
  </si>
  <si>
    <t>10^6 DNA copies/mL</t>
  </si>
  <si>
    <t>10^6 IU</t>
  </si>
  <si>
    <t>10^6 IU/mL</t>
  </si>
  <si>
    <t>10^6 organisms</t>
  </si>
  <si>
    <t>10^6 organisms/g</t>
  </si>
  <si>
    <t>10^6 organisms/mg</t>
  </si>
  <si>
    <t>10^6 organisms/mL</t>
  </si>
  <si>
    <t>10^6 PFU</t>
  </si>
  <si>
    <t>10^6 RNA copies/mL</t>
  </si>
  <si>
    <t>10^6 TCID 50/dose</t>
  </si>
  <si>
    <t>10^6 Therapeutic Cells</t>
  </si>
  <si>
    <t>10^6 U</t>
  </si>
  <si>
    <t>10^6/Ejaculate U</t>
  </si>
  <si>
    <t>10^6/g</t>
  </si>
  <si>
    <t>10^6/hpf</t>
  </si>
  <si>
    <t>10^6/L</t>
  </si>
  <si>
    <t>10^7 CFU</t>
  </si>
  <si>
    <t>10^7 CFU/mL</t>
  </si>
  <si>
    <t>10^7 PFU</t>
  </si>
  <si>
    <t>10^7 TCID 50/dose</t>
  </si>
  <si>
    <t>10^7/kg</t>
  </si>
  <si>
    <t>10^7/L</t>
  </si>
  <si>
    <t>10^8 IU</t>
  </si>
  <si>
    <t>10^8 PFU</t>
  </si>
  <si>
    <t>10^8 TCID 50/dose</t>
  </si>
  <si>
    <t>10^8/L</t>
  </si>
  <si>
    <t>10^9 CFU</t>
  </si>
  <si>
    <t>10^9 CFU/g</t>
  </si>
  <si>
    <t>10^9 CFU/mL</t>
  </si>
  <si>
    <t>10^9 organisms</t>
  </si>
  <si>
    <t>10^9 organisms/g</t>
  </si>
  <si>
    <t>10^9 organisms/mg</t>
  </si>
  <si>
    <t>10^9 organisms/mL</t>
  </si>
  <si>
    <t>10^9 PFU</t>
  </si>
  <si>
    <t>10^9 Therapeutic Cells</t>
  </si>
  <si>
    <t>10^9/dose</t>
  </si>
  <si>
    <t>10^9/g</t>
  </si>
  <si>
    <t>10^9/L</t>
  </si>
  <si>
    <t>Absorbance U</t>
  </si>
  <si>
    <t>Absorbance U/min</t>
  </si>
  <si>
    <t>Absorbance U/mL</t>
  </si>
  <si>
    <t>AFU</t>
  </si>
  <si>
    <t>ag</t>
  </si>
  <si>
    <t>AgU/mL</t>
  </si>
  <si>
    <t>aMFI</t>
  </si>
  <si>
    <t>amol</t>
  </si>
  <si>
    <t>amp</t>
  </si>
  <si>
    <t>AMPULE</t>
  </si>
  <si>
    <t>amu</t>
  </si>
  <si>
    <t>Anson U</t>
  </si>
  <si>
    <t>anti-Xa IU</t>
  </si>
  <si>
    <t>anti-Xa IU/mL</t>
  </si>
  <si>
    <t>APL U</t>
  </si>
  <si>
    <t>APL U/mL</t>
  </si>
  <si>
    <t>APPLICATION</t>
  </si>
  <si>
    <t>APS U</t>
  </si>
  <si>
    <t>APS U/mL</t>
  </si>
  <si>
    <t>Arbitrary U</t>
  </si>
  <si>
    <t>Arbitrary U/mL</t>
  </si>
  <si>
    <t>ARMOUR UNIT</t>
  </si>
  <si>
    <t>atm</t>
  </si>
  <si>
    <t>AU/mL</t>
  </si>
  <si>
    <t>BAG</t>
  </si>
  <si>
    <t>BAR</t>
  </si>
  <si>
    <t>BAU</t>
  </si>
  <si>
    <t>BAU/mL</t>
  </si>
  <si>
    <t>BE/mL</t>
  </si>
  <si>
    <t>BEAM BREAKS</t>
  </si>
  <si>
    <t>beats/min</t>
  </si>
  <si>
    <t>bel</t>
  </si>
  <si>
    <t>Binding Ab Unit/mL</t>
  </si>
  <si>
    <t>BISCUIT</t>
  </si>
  <si>
    <t>BLOCKS</t>
  </si>
  <si>
    <t>BOLUS</t>
  </si>
  <si>
    <t>BOTTLE</t>
  </si>
  <si>
    <t>BOWL</t>
  </si>
  <si>
    <t>BOX</t>
  </si>
  <si>
    <t>BP</t>
  </si>
  <si>
    <t>Bq</t>
  </si>
  <si>
    <t>Bq/g</t>
  </si>
  <si>
    <t>Bq/kg</t>
  </si>
  <si>
    <t>Bq/L</t>
  </si>
  <si>
    <t>Bq/mg</t>
  </si>
  <si>
    <t>Bq/mL</t>
  </si>
  <si>
    <t>Bq/ug</t>
  </si>
  <si>
    <t>Bq/uL</t>
  </si>
  <si>
    <t>breaths/30 s</t>
  </si>
  <si>
    <t>breaths/min</t>
  </si>
  <si>
    <t>BU</t>
  </si>
  <si>
    <t>BU/mL</t>
  </si>
  <si>
    <t>C</t>
  </si>
  <si>
    <t>CAE Unit</t>
  </si>
  <si>
    <t>cal</t>
  </si>
  <si>
    <t>CAN</t>
  </si>
  <si>
    <t>CAPFUL</t>
  </si>
  <si>
    <t>CARTRIDGE</t>
  </si>
  <si>
    <t>CCID 50/dose</t>
  </si>
  <si>
    <t>CCID 50/mL</t>
  </si>
  <si>
    <t>cd</t>
  </si>
  <si>
    <t>cd*s/m2</t>
  </si>
  <si>
    <t>cd/m2</t>
  </si>
  <si>
    <t>CFU/g</t>
  </si>
  <si>
    <t>CFU/mL</t>
  </si>
  <si>
    <t>cg</t>
  </si>
  <si>
    <t>CGE</t>
  </si>
  <si>
    <t>cGy</t>
  </si>
  <si>
    <t>Ci</t>
  </si>
  <si>
    <t>Ci/g</t>
  </si>
  <si>
    <t>Ci/kg</t>
  </si>
  <si>
    <t>Ci/L</t>
  </si>
  <si>
    <t>Ci/mg</t>
  </si>
  <si>
    <t>Ci/mL</t>
  </si>
  <si>
    <t>Ci/ug</t>
  </si>
  <si>
    <t>Ci/uL</t>
  </si>
  <si>
    <t>CIGAR</t>
  </si>
  <si>
    <t>cL</t>
  </si>
  <si>
    <t>cm H2O</t>
  </si>
  <si>
    <t>cm</t>
  </si>
  <si>
    <t>cm/min</t>
  </si>
  <si>
    <t>cm/s</t>
  </si>
  <si>
    <t>cm2</t>
  </si>
  <si>
    <t>cmH2O*s/mL</t>
  </si>
  <si>
    <t>cmH2O*s2/mL</t>
  </si>
  <si>
    <t>cmH2O/mL</t>
  </si>
  <si>
    <t>cmHg</t>
  </si>
  <si>
    <t>cmol</t>
  </si>
  <si>
    <t>cmol/L</t>
  </si>
  <si>
    <t>COAT</t>
  </si>
  <si>
    <t>CONTAINER</t>
  </si>
  <si>
    <t>copies/mL</t>
  </si>
  <si>
    <t>copies/ug</t>
  </si>
  <si>
    <t>copies/uL</t>
  </si>
  <si>
    <t>cP</t>
  </si>
  <si>
    <t>cpm</t>
  </si>
  <si>
    <t>cs</t>
  </si>
  <si>
    <t>cup eq</t>
  </si>
  <si>
    <t>CUP</t>
  </si>
  <si>
    <t>cy/cm</t>
  </si>
  <si>
    <t>cycle/min</t>
  </si>
  <si>
    <t>CYLINDER</t>
  </si>
  <si>
    <t>DAgU</t>
  </si>
  <si>
    <t>DAgU/mL</t>
  </si>
  <si>
    <t>damol/L</t>
  </si>
  <si>
    <t>daPa</t>
  </si>
  <si>
    <t>days/month</t>
  </si>
  <si>
    <t>days/wk</t>
  </si>
  <si>
    <t>dB</t>
  </si>
  <si>
    <t>DDU</t>
  </si>
  <si>
    <t>deg</t>
  </si>
  <si>
    <t>deg/mm</t>
  </si>
  <si>
    <t>deg/s</t>
  </si>
  <si>
    <t>deg2</t>
  </si>
  <si>
    <t>DIOPTER</t>
  </si>
  <si>
    <t>DIP</t>
  </si>
  <si>
    <t>DISK</t>
  </si>
  <si>
    <t>dL</t>
  </si>
  <si>
    <t>dmol</t>
  </si>
  <si>
    <t>DNA copies/mL</t>
  </si>
  <si>
    <t>DNA copies/ug</t>
  </si>
  <si>
    <t>DPM</t>
  </si>
  <si>
    <t>dpm/0.5 mL</t>
  </si>
  <si>
    <t>dpm/100 mg</t>
  </si>
  <si>
    <t>dpm/g</t>
  </si>
  <si>
    <t>dpm/mg</t>
  </si>
  <si>
    <t>dpm/mL</t>
  </si>
  <si>
    <t>dram</t>
  </si>
  <si>
    <t>DRINK</t>
  </si>
  <si>
    <t>DROP</t>
  </si>
  <si>
    <t>DRUM</t>
  </si>
  <si>
    <t>dyn</t>
  </si>
  <si>
    <t>ECL unit</t>
  </si>
  <si>
    <t>EIA unit</t>
  </si>
  <si>
    <t>EID 50/dose</t>
  </si>
  <si>
    <t>EID 50/mL</t>
  </si>
  <si>
    <t>Ejaculate U</t>
  </si>
  <si>
    <t>ELISA unit</t>
  </si>
  <si>
    <t>ELISA unit/dose</t>
  </si>
  <si>
    <t>ELISA unit/mL</t>
  </si>
  <si>
    <t>ENVELOPE</t>
  </si>
  <si>
    <t>Enzyme U</t>
  </si>
  <si>
    <t>Enzyme U/g Hb</t>
  </si>
  <si>
    <t>Enzyme U/L</t>
  </si>
  <si>
    <t>Enzyme U/m2</t>
  </si>
  <si>
    <t>EP U</t>
  </si>
  <si>
    <t>eq</t>
  </si>
  <si>
    <t>EU</t>
  </si>
  <si>
    <t>EVENTS</t>
  </si>
  <si>
    <t>FEU</t>
  </si>
  <si>
    <t>FFU</t>
  </si>
  <si>
    <t>FFU/mL</t>
  </si>
  <si>
    <t>fg</t>
  </si>
  <si>
    <t>FINGERTIP UNIT</t>
  </si>
  <si>
    <t>FIU</t>
  </si>
  <si>
    <t>fL</t>
  </si>
  <si>
    <t>fmol</t>
  </si>
  <si>
    <t>fmol/g</t>
  </si>
  <si>
    <t>fmol/L</t>
  </si>
  <si>
    <t>fmol/L/s</t>
  </si>
  <si>
    <t>foz_br</t>
  </si>
  <si>
    <t>foz_us</t>
  </si>
  <si>
    <t>fraction of 1</t>
  </si>
  <si>
    <t>Frames/s</t>
  </si>
  <si>
    <t>ft</t>
  </si>
  <si>
    <t>ft2</t>
  </si>
  <si>
    <t>ft3</t>
  </si>
  <si>
    <t>g</t>
  </si>
  <si>
    <t>g/animal</t>
  </si>
  <si>
    <t>g/animal/day</t>
  </si>
  <si>
    <t>g/animal/wk</t>
  </si>
  <si>
    <t>g/cage</t>
  </si>
  <si>
    <t>g/cage/day</t>
  </si>
  <si>
    <t>g/cage/wk</t>
  </si>
  <si>
    <t>g/cm2</t>
  </si>
  <si>
    <t>g/day</t>
  </si>
  <si>
    <t>g/dL</t>
  </si>
  <si>
    <t>g/g</t>
  </si>
  <si>
    <t>g/g/day</t>
  </si>
  <si>
    <t>g/kg</t>
  </si>
  <si>
    <t>g/kg/day</t>
  </si>
  <si>
    <t>g/L</t>
  </si>
  <si>
    <t>g/m2</t>
  </si>
  <si>
    <t>g/m2*h</t>
  </si>
  <si>
    <t>g/m2/day</t>
  </si>
  <si>
    <t>g/mol</t>
  </si>
  <si>
    <t>g/U</t>
  </si>
  <si>
    <t>g/wk</t>
  </si>
  <si>
    <t>GBq</t>
  </si>
  <si>
    <t>GBq/g</t>
  </si>
  <si>
    <t>GBq/mg</t>
  </si>
  <si>
    <t>GBq/ug</t>
  </si>
  <si>
    <t>genEq</t>
  </si>
  <si>
    <t>genEq/mL</t>
  </si>
  <si>
    <t>gMFI</t>
  </si>
  <si>
    <t>gpELISA unit/mL</t>
  </si>
  <si>
    <t>GPL U</t>
  </si>
  <si>
    <t>GPL U/mL</t>
  </si>
  <si>
    <t>GPS U</t>
  </si>
  <si>
    <t>GPS U/mL</t>
  </si>
  <si>
    <t>grain</t>
  </si>
  <si>
    <t>Gravitational Unit</t>
  </si>
  <si>
    <t>gtt</t>
  </si>
  <si>
    <t>GUMMY</t>
  </si>
  <si>
    <t>Gy</t>
  </si>
  <si>
    <t>Gy/h</t>
  </si>
  <si>
    <t>Gy/min</t>
  </si>
  <si>
    <t>h*%</t>
  </si>
  <si>
    <t>h/wk</t>
  </si>
  <si>
    <t>HEP</t>
  </si>
  <si>
    <t>HOMEOPATHIC DILUTION</t>
  </si>
  <si>
    <t>hPa</t>
  </si>
  <si>
    <t>hr/day</t>
  </si>
  <si>
    <t>Hz</t>
  </si>
  <si>
    <t>Hz/s</t>
  </si>
  <si>
    <t>in</t>
  </si>
  <si>
    <t>in2</t>
  </si>
  <si>
    <t>INHALATION</t>
  </si>
  <si>
    <t>IU</t>
  </si>
  <si>
    <t>IU/day</t>
  </si>
  <si>
    <t>IU/dL</t>
  </si>
  <si>
    <t>IU/g Hb</t>
  </si>
  <si>
    <t>IU/g</t>
  </si>
  <si>
    <t>IU/kg</t>
  </si>
  <si>
    <t>IU/kg/h</t>
  </si>
  <si>
    <t>IU/L</t>
  </si>
  <si>
    <t>IU/mg</t>
  </si>
  <si>
    <t>IU/mL</t>
  </si>
  <si>
    <t>IU/mmol</t>
  </si>
  <si>
    <t>J/cm2</t>
  </si>
  <si>
    <t>JAR</t>
  </si>
  <si>
    <t>JDF Unit</t>
  </si>
  <si>
    <t>K</t>
  </si>
  <si>
    <t>ka_u/dL</t>
  </si>
  <si>
    <t>KALLIKREIN INHIBITOR UNIT</t>
  </si>
  <si>
    <t>kat</t>
  </si>
  <si>
    <t>kBq</t>
  </si>
  <si>
    <t>kBq/uL</t>
  </si>
  <si>
    <t>kcal</t>
  </si>
  <si>
    <t>kcal/day</t>
  </si>
  <si>
    <t>kDa</t>
  </si>
  <si>
    <t>keV</t>
  </si>
  <si>
    <t>kg</t>
  </si>
  <si>
    <t>kg/cm</t>
  </si>
  <si>
    <t>kg/cm2</t>
  </si>
  <si>
    <t>kg/L</t>
  </si>
  <si>
    <t>kg/m2</t>
  </si>
  <si>
    <t>kg/mol</t>
  </si>
  <si>
    <t>kHz</t>
  </si>
  <si>
    <t>kIU</t>
  </si>
  <si>
    <t>km</t>
  </si>
  <si>
    <t>km/h</t>
  </si>
  <si>
    <t>kN/cm2</t>
  </si>
  <si>
    <t>kPa</t>
  </si>
  <si>
    <t>kPa/L/s</t>
  </si>
  <si>
    <t>ks</t>
  </si>
  <si>
    <t>kUSP</t>
  </si>
  <si>
    <t>kV</t>
  </si>
  <si>
    <t>L</t>
  </si>
  <si>
    <t>L/day</t>
  </si>
  <si>
    <t>L/h</t>
  </si>
  <si>
    <t>L/h/m2</t>
  </si>
  <si>
    <t>L/kg</t>
  </si>
  <si>
    <t>L/L</t>
  </si>
  <si>
    <t>L/min</t>
  </si>
  <si>
    <t>L/min/m2</t>
  </si>
  <si>
    <t>L/s</t>
  </si>
  <si>
    <t>L/s/kPa</t>
  </si>
  <si>
    <t>LENS</t>
  </si>
  <si>
    <t>Linear ft*LB</t>
  </si>
  <si>
    <t>Lipase Units</t>
  </si>
  <si>
    <t>Lipase Units/kg</t>
  </si>
  <si>
    <t>lm</t>
  </si>
  <si>
    <t>log EID 50/dose</t>
  </si>
  <si>
    <t>log10 CCID 50/dose</t>
  </si>
  <si>
    <t>log10 CFU/g</t>
  </si>
  <si>
    <t>log10 CFU/mL</t>
  </si>
  <si>
    <t>log10 copies/mL</t>
  </si>
  <si>
    <t>Log10 ELISA unit</t>
  </si>
  <si>
    <t>Log10 ELISA unit/dose</t>
  </si>
  <si>
    <t>log10 IU/mL</t>
  </si>
  <si>
    <t>log10 PFU</t>
  </si>
  <si>
    <t>log10 PFU/mL</t>
  </si>
  <si>
    <t>log10 TCID 50/dose</t>
  </si>
  <si>
    <t>log10 TCID 50/mL</t>
  </si>
  <si>
    <t>log10 TCID 50/uL</t>
  </si>
  <si>
    <t>lx</t>
  </si>
  <si>
    <t>m</t>
  </si>
  <si>
    <t>m*%</t>
  </si>
  <si>
    <t>m/s</t>
  </si>
  <si>
    <t>m/s2</t>
  </si>
  <si>
    <t>m2</t>
  </si>
  <si>
    <t>m3</t>
  </si>
  <si>
    <t>MAC50</t>
  </si>
  <si>
    <t>mAmp</t>
  </si>
  <si>
    <t>mAnson U/mL</t>
  </si>
  <si>
    <t>MASK</t>
  </si>
  <si>
    <t>MBP</t>
  </si>
  <si>
    <t>MBq</t>
  </si>
  <si>
    <t>MBq/uL</t>
  </si>
  <si>
    <t>mCi</t>
  </si>
  <si>
    <t>mCi/kg</t>
  </si>
  <si>
    <t>mCi/L</t>
  </si>
  <si>
    <t>MdFI</t>
  </si>
  <si>
    <t>mEq</t>
  </si>
  <si>
    <t>mEq/day</t>
  </si>
  <si>
    <t>mEq/dL</t>
  </si>
  <si>
    <t>mEq/g</t>
  </si>
  <si>
    <t>meq/h</t>
  </si>
  <si>
    <t>mEq/kg</t>
  </si>
  <si>
    <t>mEq/L</t>
  </si>
  <si>
    <t>mEq/mL</t>
  </si>
  <si>
    <t>mEq/mmol</t>
  </si>
  <si>
    <t>mEq/ug</t>
  </si>
  <si>
    <t>mEq/uL</t>
  </si>
  <si>
    <t>MESF</t>
  </si>
  <si>
    <t>MET</t>
  </si>
  <si>
    <t>MET*h</t>
  </si>
  <si>
    <t>MET*min</t>
  </si>
  <si>
    <t>MeV</t>
  </si>
  <si>
    <t>mg</t>
  </si>
  <si>
    <t>mg/animal</t>
  </si>
  <si>
    <t>mg/breath</t>
  </si>
  <si>
    <t>mg/CAPSULE</t>
  </si>
  <si>
    <t>mg/cm2</t>
  </si>
  <si>
    <t>mg/day</t>
  </si>
  <si>
    <t>mg/dL</t>
  </si>
  <si>
    <t>mg/dose</t>
  </si>
  <si>
    <t>mg/g/h</t>
  </si>
  <si>
    <t>mg/g/min</t>
  </si>
  <si>
    <t>mg/h</t>
  </si>
  <si>
    <t>mg/kg</t>
  </si>
  <si>
    <t>mg/kg/day</t>
  </si>
  <si>
    <t>mg/kg/dose</t>
  </si>
  <si>
    <t>mg/kg/h</t>
  </si>
  <si>
    <t>mg/kg/min</t>
  </si>
  <si>
    <t>mg/kg/week</t>
  </si>
  <si>
    <t>mg/L FEU</t>
  </si>
  <si>
    <t>mg/L</t>
  </si>
  <si>
    <t>mg/m2</t>
  </si>
  <si>
    <t>mg/m2/day</t>
  </si>
  <si>
    <t>mg/m2/h</t>
  </si>
  <si>
    <t>mg/m2/min</t>
  </si>
  <si>
    <t>mg/m2/wk</t>
  </si>
  <si>
    <t>mg/min</t>
  </si>
  <si>
    <t>mg/mL/day</t>
  </si>
  <si>
    <t>mg/mL/min</t>
  </si>
  <si>
    <t>mg/mol</t>
  </si>
  <si>
    <t>mg/wk</t>
  </si>
  <si>
    <t>mg2/dL2</t>
  </si>
  <si>
    <t>mgEq</t>
  </si>
  <si>
    <t>MHz</t>
  </si>
  <si>
    <t>min</t>
  </si>
  <si>
    <t>min*mg/mL</t>
  </si>
  <si>
    <t>min/day</t>
  </si>
  <si>
    <t>mIU/L</t>
  </si>
  <si>
    <t>mIU/m2</t>
  </si>
  <si>
    <t>mJoule/cm2</t>
  </si>
  <si>
    <t>mkat</t>
  </si>
  <si>
    <t>mkat/L</t>
  </si>
  <si>
    <t>mL</t>
  </si>
  <si>
    <t>mL*cmH2O</t>
  </si>
  <si>
    <t>mL/(min*100mL)</t>
  </si>
  <si>
    <t>mL/100g/min</t>
  </si>
  <si>
    <t>mL/animal</t>
  </si>
  <si>
    <t>mL/animal/day</t>
  </si>
  <si>
    <t>mL/animal/wk</t>
  </si>
  <si>
    <t>mL/beat</t>
  </si>
  <si>
    <t>mL/breath</t>
  </si>
  <si>
    <t>mL/cage</t>
  </si>
  <si>
    <t>mL/cage/day</t>
  </si>
  <si>
    <t>mL/cage/wk</t>
  </si>
  <si>
    <t>mL/cm H2O</t>
  </si>
  <si>
    <t>mL/cm</t>
  </si>
  <si>
    <t>mL/cm3/min</t>
  </si>
  <si>
    <t>mL/day</t>
  </si>
  <si>
    <t>mL/dL</t>
  </si>
  <si>
    <t>mL/dose</t>
  </si>
  <si>
    <t>mL/g/day</t>
  </si>
  <si>
    <t>mL/g/h</t>
  </si>
  <si>
    <t>mL/g/min</t>
  </si>
  <si>
    <t>mL/h</t>
  </si>
  <si>
    <t>mL/kg</t>
  </si>
  <si>
    <t>mL/kg/day</t>
  </si>
  <si>
    <t>mL/kg/h</t>
  </si>
  <si>
    <t>mL/kg/min</t>
  </si>
  <si>
    <t>mL/m2</t>
  </si>
  <si>
    <t>mL/m2/day</t>
  </si>
  <si>
    <t>mL/m2/h</t>
  </si>
  <si>
    <t>mL/m2/min</t>
  </si>
  <si>
    <t>mL/min</t>
  </si>
  <si>
    <t>mL/min/1.73 m2</t>
  </si>
  <si>
    <t>mL/min/mmHg</t>
  </si>
  <si>
    <t>mL/mmHg</t>
  </si>
  <si>
    <t>mL/mmHg/min/L</t>
  </si>
  <si>
    <t>mL/s</t>
  </si>
  <si>
    <t>mL/s/1.73 m2</t>
  </si>
  <si>
    <t>mL/s/kg</t>
  </si>
  <si>
    <t>mL/s/m2</t>
  </si>
  <si>
    <t>mm</t>
  </si>
  <si>
    <t>mm/2h</t>
  </si>
  <si>
    <t>mm/h</t>
  </si>
  <si>
    <t>mm/min</t>
  </si>
  <si>
    <t>mm/s</t>
  </si>
  <si>
    <t>mm2</t>
  </si>
  <si>
    <t>mm2/us</t>
  </si>
  <si>
    <t>mm3/mm2/year</t>
  </si>
  <si>
    <t>mmAL</t>
  </si>
  <si>
    <t>mmHg</t>
  </si>
  <si>
    <t>mmHg*beats/min</t>
  </si>
  <si>
    <t>mmHg*min/L</t>
  </si>
  <si>
    <t>mmHg/L/min</t>
  </si>
  <si>
    <t>mmHg/s</t>
  </si>
  <si>
    <t>mmol</t>
  </si>
  <si>
    <t>mmol/day</t>
  </si>
  <si>
    <t>mmol/g</t>
  </si>
  <si>
    <t>mmol/h</t>
  </si>
  <si>
    <t>mmol/kg</t>
  </si>
  <si>
    <t>mmol/L</t>
  </si>
  <si>
    <t>mmol/L/day</t>
  </si>
  <si>
    <t>mmol/L/h</t>
  </si>
  <si>
    <t>mmol/min/kPa</t>
  </si>
  <si>
    <t>mmol/min/kPa/L</t>
  </si>
  <si>
    <t>mmol/mol</t>
  </si>
  <si>
    <t>mmol/s</t>
  </si>
  <si>
    <t>mmol2/L2</t>
  </si>
  <si>
    <t>mMU/mL</t>
  </si>
  <si>
    <t>mN</t>
  </si>
  <si>
    <t>MnFI</t>
  </si>
  <si>
    <t>mol</t>
  </si>
  <si>
    <t>mol/day</t>
  </si>
  <si>
    <t>mol/g</t>
  </si>
  <si>
    <t>mol/L</t>
  </si>
  <si>
    <t>mol/mg</t>
  </si>
  <si>
    <t>mol/mL</t>
  </si>
  <si>
    <t>mol/mol</t>
  </si>
  <si>
    <t>mOsm</t>
  </si>
  <si>
    <t>mOsm/kg</t>
  </si>
  <si>
    <t>mOsm/L</t>
  </si>
  <si>
    <t>mPa</t>
  </si>
  <si>
    <t>mph</t>
  </si>
  <si>
    <t>MPL U</t>
  </si>
  <si>
    <t>MPL U/mL</t>
  </si>
  <si>
    <t>MPS U</t>
  </si>
  <si>
    <t>MPS U/mL</t>
  </si>
  <si>
    <t>Mrad</t>
  </si>
  <si>
    <t>ms</t>
  </si>
  <si>
    <t>ms/mmHg</t>
  </si>
  <si>
    <t>ms2</t>
  </si>
  <si>
    <t>mU</t>
  </si>
  <si>
    <t>mU/g</t>
  </si>
  <si>
    <t>mU/L</t>
  </si>
  <si>
    <t>mV</t>
  </si>
  <si>
    <t>mV*min</t>
  </si>
  <si>
    <t>mV/s</t>
  </si>
  <si>
    <t>mV2/Hz</t>
  </si>
  <si>
    <t>nCi</t>
  </si>
  <si>
    <t>NEBULE</t>
  </si>
  <si>
    <t>NFIU</t>
  </si>
  <si>
    <t>ng</t>
  </si>
  <si>
    <t>ng/day</t>
  </si>
  <si>
    <t>ng/dL</t>
  </si>
  <si>
    <t>ng/kg</t>
  </si>
  <si>
    <t>ng/L</t>
  </si>
  <si>
    <t>ng/mol</t>
  </si>
  <si>
    <t>ngEq</t>
  </si>
  <si>
    <t>ngEq/g</t>
  </si>
  <si>
    <t>ngEq/L</t>
  </si>
  <si>
    <t>nkat</t>
  </si>
  <si>
    <t>nkat/g Hb</t>
  </si>
  <si>
    <t>nkat/L</t>
  </si>
  <si>
    <t>nL</t>
  </si>
  <si>
    <t>nm</t>
  </si>
  <si>
    <t>nm/min</t>
  </si>
  <si>
    <t>nmol BCE/L</t>
  </si>
  <si>
    <t>nmol BCE/mmol</t>
  </si>
  <si>
    <t>nmol BCE/nmol</t>
  </si>
  <si>
    <t>nmol</t>
  </si>
  <si>
    <t>nmol/day</t>
  </si>
  <si>
    <t>nmol/g</t>
  </si>
  <si>
    <t>nmol/kg/day</t>
  </si>
  <si>
    <t>nmol/L</t>
  </si>
  <si>
    <t>nmol/L/h</t>
  </si>
  <si>
    <t>nmol/L/min</t>
  </si>
  <si>
    <t>nmol/L/s</t>
  </si>
  <si>
    <t>nmol/mL/min</t>
  </si>
  <si>
    <t>nmol/mol</t>
  </si>
  <si>
    <t>ns</t>
  </si>
  <si>
    <t>nU/cL</t>
  </si>
  <si>
    <t>OD Unit</t>
  </si>
  <si>
    <t>ohm</t>
  </si>
  <si>
    <t>OI50</t>
  </si>
  <si>
    <t>Osm</t>
  </si>
  <si>
    <t>oz eq</t>
  </si>
  <si>
    <t>oz</t>
  </si>
  <si>
    <t>P</t>
  </si>
  <si>
    <t>Pa</t>
  </si>
  <si>
    <t>PACK</t>
  </si>
  <si>
    <t>PACKAGE</t>
  </si>
  <si>
    <t>PACKET</t>
  </si>
  <si>
    <t>PFU</t>
  </si>
  <si>
    <t>PFU/animal</t>
  </si>
  <si>
    <t>PFU/dose</t>
  </si>
  <si>
    <t>PFU/mL</t>
  </si>
  <si>
    <t>pg</t>
  </si>
  <si>
    <t>pg/cell</t>
  </si>
  <si>
    <t>pg/dL</t>
  </si>
  <si>
    <t>pg/L</t>
  </si>
  <si>
    <t>PHERESIS UNIT</t>
  </si>
  <si>
    <t>PIPE</t>
  </si>
  <si>
    <t>PIXEL</t>
  </si>
  <si>
    <t>PIXELS/cm</t>
  </si>
  <si>
    <t>PIXELS/in</t>
  </si>
  <si>
    <t>pkat</t>
  </si>
  <si>
    <t>pkat/L</t>
  </si>
  <si>
    <t>pL</t>
  </si>
  <si>
    <t>PLUG</t>
  </si>
  <si>
    <t>pm</t>
  </si>
  <si>
    <t>pmol</t>
  </si>
  <si>
    <t>pmol/10^10 cells</t>
  </si>
  <si>
    <t>pmol/10^9 cells</t>
  </si>
  <si>
    <t>pmol/day</t>
  </si>
  <si>
    <t>pmol/dL</t>
  </si>
  <si>
    <t>pmol/g</t>
  </si>
  <si>
    <t>pmol/L</t>
  </si>
  <si>
    <t>pmol/L/h</t>
  </si>
  <si>
    <t>PNU/mL</t>
  </si>
  <si>
    <t>POINT</t>
  </si>
  <si>
    <t>POUCH</t>
  </si>
  <si>
    <t>ppb</t>
  </si>
  <si>
    <t>ppm</t>
  </si>
  <si>
    <t>ppth</t>
  </si>
  <si>
    <t>pptr</t>
  </si>
  <si>
    <t>PRESSOR UNITS</t>
  </si>
  <si>
    <t>ps</t>
  </si>
  <si>
    <t>psi</t>
  </si>
  <si>
    <t>pt_br</t>
  </si>
  <si>
    <t>pt_us</t>
  </si>
  <si>
    <t>PUFF</t>
  </si>
  <si>
    <t>PUMP</t>
  </si>
  <si>
    <t>QUANTITY SUFFICIENT</t>
  </si>
  <si>
    <t>rad/s</t>
  </si>
  <si>
    <t>RADIOACTIVE SEED IMPLANT</t>
  </si>
  <si>
    <t>RAE</t>
  </si>
  <si>
    <t>RATIO</t>
  </si>
  <si>
    <t>RFU</t>
  </si>
  <si>
    <t>RLU</t>
  </si>
  <si>
    <t>RNA copies/mL</t>
  </si>
  <si>
    <t>rpm</t>
  </si>
  <si>
    <t>s</t>
  </si>
  <si>
    <t>s*kPa</t>
  </si>
  <si>
    <t>s/h</t>
  </si>
  <si>
    <t>s^-1(%O2)^-1</t>
  </si>
  <si>
    <t>SACHET</t>
  </si>
  <si>
    <t>SBE/mL</t>
  </si>
  <si>
    <t>scm</t>
  </si>
  <si>
    <t>SCOOPFUL</t>
  </si>
  <si>
    <t>SERVING</t>
  </si>
  <si>
    <t>SFC/10^5 PBMC</t>
  </si>
  <si>
    <t>SFC/10^6 PBMC</t>
  </si>
  <si>
    <t>SFC/2x10^5 PBMC</t>
  </si>
  <si>
    <t>Shock Wave</t>
  </si>
  <si>
    <t>SQU/mL</t>
  </si>
  <si>
    <t>STEPS</t>
  </si>
  <si>
    <t>steps/min</t>
  </si>
  <si>
    <t>Sv</t>
  </si>
  <si>
    <t>SYRINGE</t>
  </si>
  <si>
    <t>Tbsp</t>
  </si>
  <si>
    <t>TCID 50/dose</t>
  </si>
  <si>
    <t>Therapeutic Cells</t>
  </si>
  <si>
    <t>Therapeutic Cells/m2</t>
  </si>
  <si>
    <t>titer</t>
  </si>
  <si>
    <t>TRACE</t>
  </si>
  <si>
    <t>TRANSDUCING UNIT</t>
  </si>
  <si>
    <t>TRANSDUCING UNIT/mL</t>
  </si>
  <si>
    <t>tsp eq</t>
  </si>
  <si>
    <t>tsp</t>
  </si>
  <si>
    <t>TUBE</t>
  </si>
  <si>
    <t>tuberculin unit</t>
  </si>
  <si>
    <t>tuberculin unit/0.1mL</t>
  </si>
  <si>
    <t>tuberculin unit/mL</t>
  </si>
  <si>
    <t>U.CARR</t>
  </si>
  <si>
    <t>U/10^12 RBC</t>
  </si>
  <si>
    <t>U/animal</t>
  </si>
  <si>
    <t>U/cL</t>
  </si>
  <si>
    <t>U/dL</t>
  </si>
  <si>
    <t>U/g Hb</t>
  </si>
  <si>
    <t>U/g</t>
  </si>
  <si>
    <t>U/g/day</t>
  </si>
  <si>
    <t>U/g/h</t>
  </si>
  <si>
    <t>U/g/min</t>
  </si>
  <si>
    <t>U/h</t>
  </si>
  <si>
    <t>U/kg</t>
  </si>
  <si>
    <t>U/kg/day</t>
  </si>
  <si>
    <t>U/kg/h</t>
  </si>
  <si>
    <t>U/kg/min</t>
  </si>
  <si>
    <t>U/L</t>
  </si>
  <si>
    <t>U/m2</t>
  </si>
  <si>
    <t>U/m2/day</t>
  </si>
  <si>
    <t>U/m2/h</t>
  </si>
  <si>
    <t>U/m2/min</t>
  </si>
  <si>
    <t>U/mg</t>
  </si>
  <si>
    <t>U/mL</t>
  </si>
  <si>
    <t>U/mmol</t>
  </si>
  <si>
    <t>uCi</t>
  </si>
  <si>
    <t>uCi/kg</t>
  </si>
  <si>
    <t>uCi/L</t>
  </si>
  <si>
    <t>uEq</t>
  </si>
  <si>
    <t>uEq/L</t>
  </si>
  <si>
    <t>ug</t>
  </si>
  <si>
    <t>ug/animal</t>
  </si>
  <si>
    <t>ug/cm2</t>
  </si>
  <si>
    <t>ug/day</t>
  </si>
  <si>
    <t>ug/dL</t>
  </si>
  <si>
    <t>ug/dose</t>
  </si>
  <si>
    <t>ug/g/day</t>
  </si>
  <si>
    <t>ug/g/h</t>
  </si>
  <si>
    <t>ug/g/min</t>
  </si>
  <si>
    <t>ug/h</t>
  </si>
  <si>
    <t>ug/kg</t>
  </si>
  <si>
    <t>ug/kg/day</t>
  </si>
  <si>
    <t>ug/kg/h</t>
  </si>
  <si>
    <t>ug/kg/min</t>
  </si>
  <si>
    <t>ug/kg/wk</t>
  </si>
  <si>
    <t>ug/L DDU</t>
  </si>
  <si>
    <t>ug/L FEU</t>
  </si>
  <si>
    <t>ug/L</t>
  </si>
  <si>
    <t>ug/L/h</t>
  </si>
  <si>
    <t>ug/m2</t>
  </si>
  <si>
    <t>ug/m2/day</t>
  </si>
  <si>
    <t>ug/m2/h</t>
  </si>
  <si>
    <t>ug/m2/min</t>
  </si>
  <si>
    <t>ug/min</t>
  </si>
  <si>
    <t>ug/mL/h</t>
  </si>
  <si>
    <t>ug/mol</t>
  </si>
  <si>
    <t>ugEq</t>
  </si>
  <si>
    <t>ugEq/L</t>
  </si>
  <si>
    <t>uIU/dL</t>
  </si>
  <si>
    <t>uIU/L</t>
  </si>
  <si>
    <t>ukat</t>
  </si>
  <si>
    <t>ukat/10^12 RBC</t>
  </si>
  <si>
    <t>ukat/g Hb</t>
  </si>
  <si>
    <t>ukat/L</t>
  </si>
  <si>
    <t>uL</t>
  </si>
  <si>
    <t>uL/dose</t>
  </si>
  <si>
    <t>uL/kg/day</t>
  </si>
  <si>
    <t>uL/mL</t>
  </si>
  <si>
    <t>um</t>
  </si>
  <si>
    <t>um/day</t>
  </si>
  <si>
    <t>um/s</t>
  </si>
  <si>
    <t>um2</t>
  </si>
  <si>
    <t>umol</t>
  </si>
  <si>
    <t>umol/day</t>
  </si>
  <si>
    <t>umol/dL</t>
  </si>
  <si>
    <t>umol/h/mmol</t>
  </si>
  <si>
    <t>umol/kg/min</t>
  </si>
  <si>
    <t>umol/L</t>
  </si>
  <si>
    <t>umol/L/h</t>
  </si>
  <si>
    <t>umol/L/min</t>
  </si>
  <si>
    <t>umol/L/s</t>
  </si>
  <si>
    <t>umol/mg/min</t>
  </si>
  <si>
    <t>umol/min</t>
  </si>
  <si>
    <t>umol/mol</t>
  </si>
  <si>
    <t>uOsm</t>
  </si>
  <si>
    <t>us</t>
  </si>
  <si>
    <t>uSiemens</t>
  </si>
  <si>
    <t>USP U</t>
  </si>
  <si>
    <t>uU/dL</t>
  </si>
  <si>
    <t>uU/L</t>
  </si>
  <si>
    <t>uV</t>
  </si>
  <si>
    <t>uV*s</t>
  </si>
  <si>
    <t>uV2</t>
  </si>
  <si>
    <t>V</t>
  </si>
  <si>
    <t>V/s</t>
  </si>
  <si>
    <t>vg/dose</t>
  </si>
  <si>
    <t>vg/kg</t>
  </si>
  <si>
    <t>vg/mL</t>
  </si>
  <si>
    <t>VIAL</t>
  </si>
  <si>
    <t>VIRTUAL PIXEL</t>
  </si>
  <si>
    <t>VOXEL</t>
  </si>
  <si>
    <t>vp/dose</t>
  </si>
  <si>
    <t>vp/mL</t>
  </si>
  <si>
    <t>yd</t>
  </si>
  <si>
    <t>C117963</t>
  </si>
  <si>
    <t>C25613</t>
  </si>
  <si>
    <t>C48571</t>
  </si>
  <si>
    <t>C48527</t>
  </si>
  <si>
    <t>C48528</t>
  </si>
  <si>
    <t>C187981</t>
  </si>
  <si>
    <t>C114240</t>
  </si>
  <si>
    <t>C163560</t>
  </si>
  <si>
    <t>C158699</t>
  </si>
  <si>
    <t>C102695</t>
  </si>
  <si>
    <t>C191358</t>
  </si>
  <si>
    <t>C67219</t>
  </si>
  <si>
    <t>C191359</t>
  </si>
  <si>
    <t>C123634</t>
  </si>
  <si>
    <t>C135515</t>
  </si>
  <si>
    <t>C135516</t>
  </si>
  <si>
    <t>C184719</t>
  </si>
  <si>
    <t>C189646</t>
  </si>
  <si>
    <t>C132472</t>
  </si>
  <si>
    <t>C132473</t>
  </si>
  <si>
    <t>C132474</t>
  </si>
  <si>
    <t>C122197</t>
  </si>
  <si>
    <t>C132475</t>
  </si>
  <si>
    <t>C191355</t>
  </si>
  <si>
    <t>C132476</t>
  </si>
  <si>
    <t>C170636</t>
  </si>
  <si>
    <t>C122198</t>
  </si>
  <si>
    <t>C135517</t>
  </si>
  <si>
    <t>C66966</t>
  </si>
  <si>
    <t>C96619</t>
  </si>
  <si>
    <t>C120844</t>
  </si>
  <si>
    <t>C96620</t>
  </si>
  <si>
    <t>C130187</t>
  </si>
  <si>
    <t>C176387</t>
  </si>
  <si>
    <t>C66967</t>
  </si>
  <si>
    <t>C130188</t>
  </si>
  <si>
    <t>C122199</t>
  </si>
  <si>
    <t>C161490</t>
  </si>
  <si>
    <t>C66965</t>
  </si>
  <si>
    <t>C105516</t>
  </si>
  <si>
    <t>C127804</t>
  </si>
  <si>
    <t>C71185</t>
  </si>
  <si>
    <t>C105517</t>
  </si>
  <si>
    <t>C105488</t>
  </si>
  <si>
    <t>C105518</t>
  </si>
  <si>
    <t>C67308</t>
  </si>
  <si>
    <t>C68895</t>
  </si>
  <si>
    <t>C68899</t>
  </si>
  <si>
    <t>C68903</t>
  </si>
  <si>
    <t>C100897</t>
  </si>
  <si>
    <t>C98788</t>
  </si>
  <si>
    <t>C71187</t>
  </si>
  <si>
    <t>C71190</t>
  </si>
  <si>
    <t>C71195</t>
  </si>
  <si>
    <t>C98790</t>
  </si>
  <si>
    <t>C187975</t>
  </si>
  <si>
    <t>C98789</t>
  </si>
  <si>
    <t>C105519</t>
  </si>
  <si>
    <t>C158293</t>
  </si>
  <si>
    <t>C166095</t>
  </si>
  <si>
    <t>C98787</t>
  </si>
  <si>
    <t>C73771</t>
  </si>
  <si>
    <t>C181551</t>
  </si>
  <si>
    <t>C187971</t>
  </si>
  <si>
    <t>C98743</t>
  </si>
  <si>
    <t>C184715</t>
  </si>
  <si>
    <t>C105490</t>
  </si>
  <si>
    <t>C68896</t>
  </si>
  <si>
    <t>C68900</t>
  </si>
  <si>
    <t>C68904</t>
  </si>
  <si>
    <t>C100898</t>
  </si>
  <si>
    <t>C98756</t>
  </si>
  <si>
    <t>C67335</t>
  </si>
  <si>
    <t>C98757</t>
  </si>
  <si>
    <t>C71188</t>
  </si>
  <si>
    <t>C71191</t>
  </si>
  <si>
    <t>C71193</t>
  </si>
  <si>
    <t>C71196</t>
  </si>
  <si>
    <t>C67268</t>
  </si>
  <si>
    <t>C98760</t>
  </si>
  <si>
    <t>C150415</t>
  </si>
  <si>
    <t>C187973</t>
  </si>
  <si>
    <t>C67310</t>
  </si>
  <si>
    <t>C130189</t>
  </si>
  <si>
    <t>C98758</t>
  </si>
  <si>
    <t>C98759</t>
  </si>
  <si>
    <t>C67452</t>
  </si>
  <si>
    <t>C158294</t>
  </si>
  <si>
    <t>C166096</t>
  </si>
  <si>
    <t>C67265</t>
  </si>
  <si>
    <t>C150416</t>
  </si>
  <si>
    <t>C184717</t>
  </si>
  <si>
    <t>C98786</t>
  </si>
  <si>
    <t>C156119</t>
  </si>
  <si>
    <t>C67266</t>
  </si>
  <si>
    <t>C150417</t>
  </si>
  <si>
    <t>C105489</t>
  </si>
  <si>
    <t>C68897</t>
  </si>
  <si>
    <t>C68901</t>
  </si>
  <si>
    <t>C68905</t>
  </si>
  <si>
    <t>C71189</t>
  </si>
  <si>
    <t>C71192</t>
  </si>
  <si>
    <t>C71194</t>
  </si>
  <si>
    <t>C71197</t>
  </si>
  <si>
    <t>C67267</t>
  </si>
  <si>
    <t>C187998</t>
  </si>
  <si>
    <t>C163561</t>
  </si>
  <si>
    <t>C122200</t>
  </si>
  <si>
    <t>C67255</t>
  </si>
  <si>
    <t>C73686</t>
  </si>
  <si>
    <t>C73687</t>
  </si>
  <si>
    <t>C126078</t>
  </si>
  <si>
    <t>C77534</t>
  </si>
  <si>
    <t>C64553</t>
  </si>
  <si>
    <t>C70500</t>
  </si>
  <si>
    <t>C163562</t>
  </si>
  <si>
    <t>C68855</t>
  </si>
  <si>
    <t>C42536</t>
  </si>
  <si>
    <t>C48473</t>
  </si>
  <si>
    <t>C64559</t>
  </si>
  <si>
    <t>C122201</t>
  </si>
  <si>
    <t>C70497</t>
  </si>
  <si>
    <t>C70498</t>
  </si>
  <si>
    <t>C111129</t>
  </si>
  <si>
    <t>C122202</t>
  </si>
  <si>
    <t>C117965</t>
  </si>
  <si>
    <t>C25397</t>
  </si>
  <si>
    <t>C161498</t>
  </si>
  <si>
    <t>C186219</t>
  </si>
  <si>
    <t>C75765</t>
  </si>
  <si>
    <t>C191361</t>
  </si>
  <si>
    <t>C189642</t>
  </si>
  <si>
    <t>C54711</t>
  </si>
  <si>
    <t>C70504</t>
  </si>
  <si>
    <t>C48474</t>
  </si>
  <si>
    <t>C48475</t>
  </si>
  <si>
    <t>C70505</t>
  </si>
  <si>
    <t>C116235</t>
  </si>
  <si>
    <t>C116231</t>
  </si>
  <si>
    <t>C129002</t>
  </si>
  <si>
    <t>C49673</t>
  </si>
  <si>
    <t>C71200</t>
  </si>
  <si>
    <t>C189647</t>
  </si>
  <si>
    <t>C111139</t>
  </si>
  <si>
    <t>C111140</t>
  </si>
  <si>
    <t>C48476</t>
  </si>
  <si>
    <t>C48477</t>
  </si>
  <si>
    <t>C151970</t>
  </si>
  <si>
    <t>C48478</t>
  </si>
  <si>
    <t>C132477</t>
  </si>
  <si>
    <t>C42562</t>
  </si>
  <si>
    <t>C70522</t>
  </si>
  <si>
    <t>C70521</t>
  </si>
  <si>
    <t>C71165</t>
  </si>
  <si>
    <t>C70524</t>
  </si>
  <si>
    <t>C71167</t>
  </si>
  <si>
    <t>C70523</t>
  </si>
  <si>
    <t>C71166</t>
  </si>
  <si>
    <t>C176382</t>
  </si>
  <si>
    <t>C49674</t>
  </si>
  <si>
    <t>C117966</t>
  </si>
  <si>
    <t>C117967</t>
  </si>
  <si>
    <t>C42559</t>
  </si>
  <si>
    <t>C67270</t>
  </si>
  <si>
    <t>C67193</t>
  </si>
  <si>
    <t>C48479</t>
  </si>
  <si>
    <t>C102405</t>
  </si>
  <si>
    <t>C64696</t>
  </si>
  <si>
    <t>C48480</t>
  </si>
  <si>
    <t>C48481</t>
  </si>
  <si>
    <t>C70535</t>
  </si>
  <si>
    <t>C120845</t>
  </si>
  <si>
    <t>C42538</t>
  </si>
  <si>
    <t>C122203</t>
  </si>
  <si>
    <t>C122204</t>
  </si>
  <si>
    <t>C68898</t>
  </si>
  <si>
    <t>C68902</t>
  </si>
  <si>
    <t>C64554</t>
  </si>
  <si>
    <t>C128269</t>
  </si>
  <si>
    <t>C64693</t>
  </si>
  <si>
    <t>C48466</t>
  </si>
  <si>
    <t>C70528</t>
  </si>
  <si>
    <t>C70529</t>
  </si>
  <si>
    <t>C71170</t>
  </si>
  <si>
    <t>C70531</t>
  </si>
  <si>
    <t>C71172</t>
  </si>
  <si>
    <t>C70530</t>
  </si>
  <si>
    <t>C71171</t>
  </si>
  <si>
    <t>C116244</t>
  </si>
  <si>
    <t>C116245</t>
  </si>
  <si>
    <t>C69087</t>
  </si>
  <si>
    <t>C91060</t>
  </si>
  <si>
    <t>C49668</t>
  </si>
  <si>
    <t>C105481</t>
  </si>
  <si>
    <t>C102406</t>
  </si>
  <si>
    <t>C48460</t>
  </si>
  <si>
    <t>C135518</t>
  </si>
  <si>
    <t>C135519</t>
  </si>
  <si>
    <t>C135520</t>
  </si>
  <si>
    <t>C147129</t>
  </si>
  <si>
    <t>C68687</t>
  </si>
  <si>
    <t>C68886</t>
  </si>
  <si>
    <t>C48483</t>
  </si>
  <si>
    <t>C48484</t>
  </si>
  <si>
    <t>C100900</t>
  </si>
  <si>
    <t>C126079</t>
  </si>
  <si>
    <t>C116237</t>
  </si>
  <si>
    <t>C42550</t>
  </si>
  <si>
    <t>C69092</t>
  </si>
  <si>
    <t>C73688</t>
  </si>
  <si>
    <t>C105482</t>
  </si>
  <si>
    <t>C172604</t>
  </si>
  <si>
    <t>C54703</t>
  </si>
  <si>
    <t>C114242</t>
  </si>
  <si>
    <t>C71176</t>
  </si>
  <si>
    <t>C48489</t>
  </si>
  <si>
    <t>C70501</t>
  </si>
  <si>
    <t>C70502</t>
  </si>
  <si>
    <t>C105483</t>
  </si>
  <si>
    <t>C191360</t>
  </si>
  <si>
    <t>C170634</t>
  </si>
  <si>
    <t>C170633</t>
  </si>
  <si>
    <t>C102407</t>
  </si>
  <si>
    <t>C161494</t>
  </si>
  <si>
    <t>C68667</t>
  </si>
  <si>
    <t>C161488</t>
  </si>
  <si>
    <t>C166097</t>
  </si>
  <si>
    <t>C166098</t>
  </si>
  <si>
    <t>C100899</t>
  </si>
  <si>
    <t>C82483</t>
  </si>
  <si>
    <t>C48490</t>
  </si>
  <si>
    <t>C64697</t>
  </si>
  <si>
    <t>C68685</t>
  </si>
  <si>
    <t>C98719</t>
  </si>
  <si>
    <t>C170632</t>
  </si>
  <si>
    <t>C73710</t>
  </si>
  <si>
    <t>C120846</t>
  </si>
  <si>
    <t>C117968</t>
  </si>
  <si>
    <t>C187969</t>
  </si>
  <si>
    <t>C117969</t>
  </si>
  <si>
    <t>C117970</t>
  </si>
  <si>
    <t>C64564</t>
  </si>
  <si>
    <t>C161487</t>
  </si>
  <si>
    <t>C69441</t>
  </si>
  <si>
    <t>C48492</t>
  </si>
  <si>
    <t>C70470</t>
  </si>
  <si>
    <t>C161491</t>
  </si>
  <si>
    <t>C122205</t>
  </si>
  <si>
    <t>C70533</t>
  </si>
  <si>
    <t>C120847</t>
  </si>
  <si>
    <t>C130046</t>
  </si>
  <si>
    <t>C68875</t>
  </si>
  <si>
    <t>C68876</t>
  </si>
  <si>
    <t>C68877</t>
  </si>
  <si>
    <t>C186220</t>
  </si>
  <si>
    <t>C64778</t>
  </si>
  <si>
    <t>C154856</t>
  </si>
  <si>
    <t>C147130</t>
  </si>
  <si>
    <t>C156467</t>
  </si>
  <si>
    <t>C176384</t>
  </si>
  <si>
    <t>C67273</t>
  </si>
  <si>
    <t>C96599</t>
  </si>
  <si>
    <t>C150901</t>
  </si>
  <si>
    <t>C44277</t>
  </si>
  <si>
    <t>C42552</t>
  </si>
  <si>
    <t>C96649</t>
  </si>
  <si>
    <t>C75303</t>
  </si>
  <si>
    <t>C189650</t>
  </si>
  <si>
    <t>C64552</t>
  </si>
  <si>
    <t>C71321</t>
  </si>
  <si>
    <t>C163045</t>
  </si>
  <si>
    <t>C64780</t>
  </si>
  <si>
    <t>C68854</t>
  </si>
  <si>
    <t>C73711</t>
  </si>
  <si>
    <t>C68887</t>
  </si>
  <si>
    <t>C122206</t>
  </si>
  <si>
    <t>C48577</t>
  </si>
  <si>
    <t>C48494</t>
  </si>
  <si>
    <t>C105484</t>
  </si>
  <si>
    <t>C106524</t>
  </si>
  <si>
    <t>C71253</t>
  </si>
  <si>
    <t>C48461</t>
  </si>
  <si>
    <t>C68859</t>
  </si>
  <si>
    <t>C48155</t>
  </si>
  <si>
    <t>C73713</t>
  </si>
  <si>
    <t>C73714</t>
  </si>
  <si>
    <t>C73715</t>
  </si>
  <si>
    <t>C73716</t>
  </si>
  <si>
    <t>C73717</t>
  </si>
  <si>
    <t>C73718</t>
  </si>
  <si>
    <t>C71201</t>
  </si>
  <si>
    <t>C67372</t>
  </si>
  <si>
    <t>C64783</t>
  </si>
  <si>
    <t>C70453</t>
  </si>
  <si>
    <t>C73720</t>
  </si>
  <si>
    <t>C69104</t>
  </si>
  <si>
    <t>C66975</t>
  </si>
  <si>
    <t>C42576</t>
  </si>
  <si>
    <t>C67282</t>
  </si>
  <si>
    <t>C187982</t>
  </si>
  <si>
    <t>C73722</t>
  </si>
  <si>
    <t>C73721</t>
  </si>
  <si>
    <t>C166099</t>
  </si>
  <si>
    <t>C89829</t>
  </si>
  <si>
    <t>C68915</t>
  </si>
  <si>
    <t>C70513</t>
  </si>
  <si>
    <t>C70525</t>
  </si>
  <si>
    <t>C70527</t>
  </si>
  <si>
    <t>C70526</t>
  </si>
  <si>
    <t>C161493</t>
  </si>
  <si>
    <t>C161492</t>
  </si>
  <si>
    <t>C91803</t>
  </si>
  <si>
    <t>C163563</t>
  </si>
  <si>
    <t>C130190</t>
  </si>
  <si>
    <t>C67347</t>
  </si>
  <si>
    <t>C117971</t>
  </si>
  <si>
    <t>C161497</t>
  </si>
  <si>
    <t>C186221</t>
  </si>
  <si>
    <t>C48497</t>
  </si>
  <si>
    <t>C73772</t>
  </si>
  <si>
    <t>C48491</t>
  </si>
  <si>
    <t>C186222</t>
  </si>
  <si>
    <t>C18063</t>
  </si>
  <si>
    <t>C158295</t>
  </si>
  <si>
    <t>C158296</t>
  </si>
  <si>
    <t>C139131</t>
  </si>
  <si>
    <t>C170635</t>
  </si>
  <si>
    <t>C42558</t>
  </si>
  <si>
    <t>C116232</t>
  </si>
  <si>
    <t>C48498</t>
  </si>
  <si>
    <t>C94908</t>
  </si>
  <si>
    <t>C105487</t>
  </si>
  <si>
    <t>C176380</t>
  </si>
  <si>
    <t>C42545</t>
  </si>
  <si>
    <t>C154854</t>
  </si>
  <si>
    <t>C48499</t>
  </si>
  <si>
    <t>C48500</t>
  </si>
  <si>
    <t>C68871</t>
  </si>
  <si>
    <t>C48501</t>
  </si>
  <si>
    <t>C48579</t>
  </si>
  <si>
    <t>C85645</t>
  </si>
  <si>
    <t>C120848</t>
  </si>
  <si>
    <t>C122207</t>
  </si>
  <si>
    <t>C70493</t>
  </si>
  <si>
    <t>C85646</t>
  </si>
  <si>
    <t>C67379</t>
  </si>
  <si>
    <t>C71209</t>
  </si>
  <si>
    <t>C67376</t>
  </si>
  <si>
    <t>C67380</t>
  </si>
  <si>
    <t>C67377</t>
  </si>
  <si>
    <t>C122208</t>
  </si>
  <si>
    <t>C67357</t>
  </si>
  <si>
    <t>C48502</t>
  </si>
  <si>
    <t>C172606</t>
  </si>
  <si>
    <t>C42548</t>
  </si>
  <si>
    <t>C42537</t>
  </si>
  <si>
    <t>C122209</t>
  </si>
  <si>
    <t>C48503</t>
  </si>
  <si>
    <t>C42566</t>
  </si>
  <si>
    <t>C70511</t>
  </si>
  <si>
    <t>C71168</t>
  </si>
  <si>
    <t>C67194</t>
  </si>
  <si>
    <t>C139135</t>
  </si>
  <si>
    <t>C105491</t>
  </si>
  <si>
    <t>C67276</t>
  </si>
  <si>
    <t>C28252</t>
  </si>
  <si>
    <t>C120849</t>
  </si>
  <si>
    <t>C69094</t>
  </si>
  <si>
    <t>C64566</t>
  </si>
  <si>
    <t>C49671</t>
  </si>
  <si>
    <t>C122210</t>
  </si>
  <si>
    <t>C67279</t>
  </si>
  <si>
    <t>C48504</t>
  </si>
  <si>
    <t>C70492</t>
  </si>
  <si>
    <t>C71177</t>
  </si>
  <si>
    <t>C71203</t>
  </si>
  <si>
    <t>C92615</t>
  </si>
  <si>
    <t>C67284</t>
  </si>
  <si>
    <t>C105492</t>
  </si>
  <si>
    <t>C105493</t>
  </si>
  <si>
    <t>C71202</t>
  </si>
  <si>
    <t>C170630</t>
  </si>
  <si>
    <t>C48505</t>
  </si>
  <si>
    <t>C69110</t>
  </si>
  <si>
    <t>C69160</t>
  </si>
  <si>
    <t>C105494</t>
  </si>
  <si>
    <t>C73725</t>
  </si>
  <si>
    <t>C105495</t>
  </si>
  <si>
    <t>C67388</t>
  </si>
  <si>
    <t>C105496</t>
  </si>
  <si>
    <t>C67390</t>
  </si>
  <si>
    <t>C139133</t>
  </si>
  <si>
    <t>C48531</t>
  </si>
  <si>
    <t>C170638</t>
  </si>
  <si>
    <t>C139134</t>
  </si>
  <si>
    <t>C178059</t>
  </si>
  <si>
    <t>C178058</t>
  </si>
  <si>
    <t>C42560</t>
  </si>
  <si>
    <t>C70480</t>
  </si>
  <si>
    <t>C70485</t>
  </si>
  <si>
    <t>C102658</t>
  </si>
  <si>
    <t>C102659</t>
  </si>
  <si>
    <t>C117972</t>
  </si>
  <si>
    <t>C68878</t>
  </si>
  <si>
    <t>C68879</t>
  </si>
  <si>
    <t>C116238</t>
  </si>
  <si>
    <t>C73568</t>
  </si>
  <si>
    <t>C170631</t>
  </si>
  <si>
    <t>C70489</t>
  </si>
  <si>
    <t>C132478</t>
  </si>
  <si>
    <t>C132479</t>
  </si>
  <si>
    <t>C48506</t>
  </si>
  <si>
    <t>C42561</t>
  </si>
  <si>
    <t>C41139</t>
  </si>
  <si>
    <t>C184713</t>
  </si>
  <si>
    <t>C42571</t>
  </si>
  <si>
    <t>C42572</t>
  </si>
  <si>
    <t>C42569</t>
  </si>
  <si>
    <t>C42570</t>
  </si>
  <si>
    <t>C139130</t>
  </si>
  <si>
    <t>C97343</t>
  </si>
  <si>
    <t>C122211</t>
  </si>
  <si>
    <t>C170637</t>
  </si>
  <si>
    <t>C176388</t>
  </si>
  <si>
    <t>C70512</t>
  </si>
  <si>
    <t>C71169</t>
  </si>
  <si>
    <t>C48511</t>
  </si>
  <si>
    <t>C70570</t>
  </si>
  <si>
    <t>C71174</t>
  </si>
  <si>
    <t>C96687</t>
  </si>
  <si>
    <t>C48512</t>
  </si>
  <si>
    <t>C67471</t>
  </si>
  <si>
    <t>C67473</t>
  </si>
  <si>
    <t>C70580</t>
  </si>
  <si>
    <t>C67472</t>
  </si>
  <si>
    <t>C67475</t>
  </si>
  <si>
    <t>C67474</t>
  </si>
  <si>
    <t>C73737</t>
  </si>
  <si>
    <t>C92616</t>
  </si>
  <si>
    <t>C70581</t>
  </si>
  <si>
    <t>C70578</t>
  </si>
  <si>
    <t>C96691</t>
  </si>
  <si>
    <t>C127805</t>
  </si>
  <si>
    <t>C127806</t>
  </si>
  <si>
    <t>C127807</t>
  </si>
  <si>
    <t>C152057</t>
  </si>
  <si>
    <t>C28253</t>
  </si>
  <si>
    <t>C73738</t>
  </si>
  <si>
    <t>C184723</t>
  </si>
  <si>
    <t>C73739</t>
  </si>
  <si>
    <t>C124456</t>
  </si>
  <si>
    <t>C67399</t>
  </si>
  <si>
    <t>C67015</t>
  </si>
  <si>
    <t>C124457</t>
  </si>
  <si>
    <t>C73740</t>
  </si>
  <si>
    <t>C73741</t>
  </si>
  <si>
    <t>C66969</t>
  </si>
  <si>
    <t>C67401</t>
  </si>
  <si>
    <t>C66976</t>
  </si>
  <si>
    <t>C124458</t>
  </si>
  <si>
    <t>C71362</t>
  </si>
  <si>
    <t>C71207</t>
  </si>
  <si>
    <t>C161486</t>
  </si>
  <si>
    <t>C158291</t>
  </si>
  <si>
    <t>C64572</t>
  </si>
  <si>
    <t>C67402</t>
  </si>
  <si>
    <t>C66974</t>
  </si>
  <si>
    <t>C73743</t>
  </si>
  <si>
    <t>C73744</t>
  </si>
  <si>
    <t>C88148</t>
  </si>
  <si>
    <t>C73742</t>
  </si>
  <si>
    <t>C176378</t>
  </si>
  <si>
    <t>C67403</t>
  </si>
  <si>
    <t>C120843</t>
  </si>
  <si>
    <t>C67404</t>
  </si>
  <si>
    <t>C122212</t>
  </si>
  <si>
    <t>C156468</t>
  </si>
  <si>
    <t>C67314</t>
  </si>
  <si>
    <t>C71183</t>
  </si>
  <si>
    <t>C48154</t>
  </si>
  <si>
    <t>C85729</t>
  </si>
  <si>
    <t>C176381</t>
  </si>
  <si>
    <t>C67405</t>
  </si>
  <si>
    <t>C67409</t>
  </si>
  <si>
    <t>C116241</t>
  </si>
  <si>
    <t>C70507</t>
  </si>
  <si>
    <t>C189643</t>
  </si>
  <si>
    <t>C28254</t>
  </si>
  <si>
    <t>C135521</t>
  </si>
  <si>
    <t>C130191</t>
  </si>
  <si>
    <t>C154855</t>
  </si>
  <si>
    <t>C73746</t>
  </si>
  <si>
    <t>C73747</t>
  </si>
  <si>
    <t>C73748</t>
  </si>
  <si>
    <t>C127808</t>
  </si>
  <si>
    <t>C73749</t>
  </si>
  <si>
    <t>C73750</t>
  </si>
  <si>
    <t>C73751</t>
  </si>
  <si>
    <t>C73752</t>
  </si>
  <si>
    <t>C98755</t>
  </si>
  <si>
    <t>C105503</t>
  </si>
  <si>
    <t>C163564</t>
  </si>
  <si>
    <t>C67410</t>
  </si>
  <si>
    <t>C105504</t>
  </si>
  <si>
    <t>C124459</t>
  </si>
  <si>
    <t>C73755</t>
  </si>
  <si>
    <t>C73756</t>
  </si>
  <si>
    <t>C73757</t>
  </si>
  <si>
    <t>C66962</t>
  </si>
  <si>
    <t>C67411</t>
  </si>
  <si>
    <t>C73758</t>
  </si>
  <si>
    <t>C73759</t>
  </si>
  <si>
    <t>C73760</t>
  </si>
  <si>
    <t>C73761</t>
  </si>
  <si>
    <t>C66977</t>
  </si>
  <si>
    <t>C73762</t>
  </si>
  <si>
    <t>C73763</t>
  </si>
  <si>
    <t>C64777</t>
  </si>
  <si>
    <t>C67412</t>
  </si>
  <si>
    <t>C67417</t>
  </si>
  <si>
    <t>C106542</t>
  </si>
  <si>
    <t>C67418</t>
  </si>
  <si>
    <t>C69073</t>
  </si>
  <si>
    <t>C105505</t>
  </si>
  <si>
    <t>C85715</t>
  </si>
  <si>
    <t>C166100</t>
  </si>
  <si>
    <t>C28251</t>
  </si>
  <si>
    <t>C105509</t>
  </si>
  <si>
    <t>C67419</t>
  </si>
  <si>
    <t>C105507</t>
  </si>
  <si>
    <t>C105508</t>
  </si>
  <si>
    <t>C65104</t>
  </si>
  <si>
    <t>C189649</t>
  </si>
  <si>
    <t>C126080</t>
  </si>
  <si>
    <t>C150898</t>
  </si>
  <si>
    <t>C49670</t>
  </si>
  <si>
    <t>C187972</t>
  </si>
  <si>
    <t>C150900</t>
  </si>
  <si>
    <t>C105506</t>
  </si>
  <si>
    <t>C73764</t>
  </si>
  <si>
    <t>C48513</t>
  </si>
  <si>
    <t>C67420</t>
  </si>
  <si>
    <t>C68740</t>
  </si>
  <si>
    <t>C85720</t>
  </si>
  <si>
    <t>C68892</t>
  </si>
  <si>
    <t>C64387</t>
  </si>
  <si>
    <t>C189648</t>
  </si>
  <si>
    <t>C189644</t>
  </si>
  <si>
    <t>C116242</t>
  </si>
  <si>
    <t>C67423</t>
  </si>
  <si>
    <t>C111253</t>
  </si>
  <si>
    <t>C85723</t>
  </si>
  <si>
    <t>C122213</t>
  </si>
  <si>
    <t>C132480</t>
  </si>
  <si>
    <t>C127809</t>
  </si>
  <si>
    <t>C163046</t>
  </si>
  <si>
    <t>C42539</t>
  </si>
  <si>
    <t>C85737</t>
  </si>
  <si>
    <t>C68893</t>
  </si>
  <si>
    <t>C48555</t>
  </si>
  <si>
    <t>C68894</t>
  </si>
  <si>
    <t>C68891</t>
  </si>
  <si>
    <t>C70455</t>
  </si>
  <si>
    <t>C67318</t>
  </si>
  <si>
    <t>C67427</t>
  </si>
  <si>
    <t>C122214</t>
  </si>
  <si>
    <t>C73765</t>
  </si>
  <si>
    <t>C105500</t>
  </si>
  <si>
    <t>C67348</t>
  </si>
  <si>
    <t>C117973</t>
  </si>
  <si>
    <t>C161496</t>
  </si>
  <si>
    <t>C186223</t>
  </si>
  <si>
    <t>C67349</t>
  </si>
  <si>
    <t>C41140</t>
  </si>
  <si>
    <t>C163565</t>
  </si>
  <si>
    <t>C161489</t>
  </si>
  <si>
    <t>C67315</t>
  </si>
  <si>
    <t>C122215</t>
  </si>
  <si>
    <t>C67408</t>
  </si>
  <si>
    <t>C67324</t>
  </si>
  <si>
    <t>C105512</t>
  </si>
  <si>
    <t>C122216</t>
  </si>
  <si>
    <t>C114241</t>
  </si>
  <si>
    <t>C67352</t>
  </si>
  <si>
    <t>C71204</t>
  </si>
  <si>
    <t>C42546</t>
  </si>
  <si>
    <t>C154680</t>
  </si>
  <si>
    <t>C48516</t>
  </si>
  <si>
    <t>C85741</t>
  </si>
  <si>
    <t>C67326</t>
  </si>
  <si>
    <t>C67429</t>
  </si>
  <si>
    <t>C67327</t>
  </si>
  <si>
    <t>C176386</t>
  </si>
  <si>
    <t>C184705</t>
  </si>
  <si>
    <t>C166082</t>
  </si>
  <si>
    <t>C130192</t>
  </si>
  <si>
    <t>C70508</t>
  </si>
  <si>
    <t>C176383</t>
  </si>
  <si>
    <t>C70510</t>
  </si>
  <si>
    <t>C69188</t>
  </si>
  <si>
    <t>C67328</t>
  </si>
  <si>
    <t>C191362</t>
  </si>
  <si>
    <t>C117974</t>
  </si>
  <si>
    <t>C118137</t>
  </si>
  <si>
    <t>C122217</t>
  </si>
  <si>
    <t>C48517</t>
  </si>
  <si>
    <t>C85751</t>
  </si>
  <si>
    <t>C85752</t>
  </si>
  <si>
    <t>C176379</t>
  </si>
  <si>
    <t>C67432</t>
  </si>
  <si>
    <t>C122218</t>
  </si>
  <si>
    <t>C122219</t>
  </si>
  <si>
    <t>C189645</t>
  </si>
  <si>
    <t>C92613</t>
  </si>
  <si>
    <t>C122220</t>
  </si>
  <si>
    <t>C73767</t>
  </si>
  <si>
    <t>C105513</t>
  </si>
  <si>
    <t>C73681</t>
  </si>
  <si>
    <t>C42554</t>
  </si>
  <si>
    <t>C130193</t>
  </si>
  <si>
    <t>C67330</t>
  </si>
  <si>
    <t>C172605</t>
  </si>
  <si>
    <t>C48519</t>
  </si>
  <si>
    <t>C154857</t>
  </si>
  <si>
    <t>C42547</t>
  </si>
  <si>
    <t>C73993</t>
  </si>
  <si>
    <t>C62653</t>
  </si>
  <si>
    <t>C48520</t>
  </si>
  <si>
    <t>C48521</t>
  </si>
  <si>
    <t>C48524</t>
  </si>
  <si>
    <t>C48525</t>
  </si>
  <si>
    <t>C67264</t>
  </si>
  <si>
    <t>C122221</t>
  </si>
  <si>
    <t>C71198</t>
  </si>
  <si>
    <t>C71199</t>
  </si>
  <si>
    <t>C64551</t>
  </si>
  <si>
    <t>C176377</t>
  </si>
  <si>
    <t>C67331</t>
  </si>
  <si>
    <t>C85597</t>
  </si>
  <si>
    <t>C127810</t>
  </si>
  <si>
    <t>C122634</t>
  </si>
  <si>
    <t>C116246</t>
  </si>
  <si>
    <t>C48367</t>
  </si>
  <si>
    <t>C114238</t>
  </si>
  <si>
    <t>C114239</t>
  </si>
  <si>
    <t>C70509</t>
  </si>
  <si>
    <t>C122222</t>
  </si>
  <si>
    <t>C69189</t>
  </si>
  <si>
    <t>C149763</t>
  </si>
  <si>
    <t>C69148</t>
  </si>
  <si>
    <t>C65045</t>
  </si>
  <si>
    <t>C122223</t>
  </si>
  <si>
    <t>C122224</t>
  </si>
  <si>
    <t>C122225</t>
  </si>
  <si>
    <t>C122226</t>
  </si>
  <si>
    <t>C85754</t>
  </si>
  <si>
    <t>C67434</t>
  </si>
  <si>
    <t>C122227</t>
  </si>
  <si>
    <t>C116236</t>
  </si>
  <si>
    <t>C113499</t>
  </si>
  <si>
    <t>C48530</t>
  </si>
  <si>
    <t>C70565</t>
  </si>
  <si>
    <t>C48523</t>
  </si>
  <si>
    <t>C69112</t>
  </si>
  <si>
    <t>C70566</t>
  </si>
  <si>
    <t>C48532</t>
  </si>
  <si>
    <t>C73768</t>
  </si>
  <si>
    <t>C67334</t>
  </si>
  <si>
    <t>C69114</t>
  </si>
  <si>
    <t>C48529</t>
  </si>
  <si>
    <t>C65060</t>
  </si>
  <si>
    <t>C111984</t>
  </si>
  <si>
    <t>C48590</t>
  </si>
  <si>
    <t>C18064</t>
  </si>
  <si>
    <t>C184714</t>
  </si>
  <si>
    <t>C67446</t>
  </si>
  <si>
    <t>C67436</t>
  </si>
  <si>
    <t>C44256</t>
  </si>
  <si>
    <t>C77535</t>
  </si>
  <si>
    <t>C62609</t>
  </si>
  <si>
    <t>C184722</t>
  </si>
  <si>
    <t>C67441</t>
  </si>
  <si>
    <t>C70575</t>
  </si>
  <si>
    <t>C70469</t>
  </si>
  <si>
    <t>C42535</t>
  </si>
  <si>
    <t>C139132</t>
  </si>
  <si>
    <t>C150899</t>
  </si>
  <si>
    <t>C130194</t>
  </si>
  <si>
    <t>C71324</t>
  </si>
  <si>
    <t>C116233</t>
  </si>
  <si>
    <t>C68858</t>
  </si>
  <si>
    <t>C48536</t>
  </si>
  <si>
    <t>C184720</t>
  </si>
  <si>
    <t>C191356</t>
  </si>
  <si>
    <t>C120850</t>
  </si>
  <si>
    <t>C191357</t>
  </si>
  <si>
    <t>C112433</t>
  </si>
  <si>
    <t>C42555</t>
  </si>
  <si>
    <t>C48537</t>
  </si>
  <si>
    <t>C116234</t>
  </si>
  <si>
    <t>C111318</t>
  </si>
  <si>
    <t>C166101</t>
  </si>
  <si>
    <t>C48538</t>
  </si>
  <si>
    <t>C48539</t>
  </si>
  <si>
    <t>C42553</t>
  </si>
  <si>
    <t>C48540</t>
  </si>
  <si>
    <t>C48542</t>
  </si>
  <si>
    <t>C48543</t>
  </si>
  <si>
    <t>C48541</t>
  </si>
  <si>
    <t>C70537</t>
  </si>
  <si>
    <t>C42557</t>
  </si>
  <si>
    <t>C187669</t>
  </si>
  <si>
    <t>C186224</t>
  </si>
  <si>
    <t>C67454</t>
  </si>
  <si>
    <t>C112423</t>
  </si>
  <si>
    <t>C48547</t>
  </si>
  <si>
    <t>C124460</t>
  </si>
  <si>
    <t>C124461</t>
  </si>
  <si>
    <t>C48548</t>
  </si>
  <si>
    <t>C172603</t>
  </si>
  <si>
    <t>C48544</t>
  </si>
  <si>
    <t>C48549</t>
  </si>
  <si>
    <t>C65132</t>
  </si>
  <si>
    <t>C184721</t>
  </si>
  <si>
    <t>C70506</t>
  </si>
  <si>
    <t>C44278</t>
  </si>
  <si>
    <t>C120851</t>
  </si>
  <si>
    <t>C122228</t>
  </si>
  <si>
    <t>C73773</t>
  </si>
  <si>
    <t>C105520</t>
  </si>
  <si>
    <t>C105521</t>
  </si>
  <si>
    <t>C105522</t>
  </si>
  <si>
    <t>C77606</t>
  </si>
  <si>
    <t>C73774</t>
  </si>
  <si>
    <t>C73775</t>
  </si>
  <si>
    <t>C73776</t>
  </si>
  <si>
    <t>C66970</t>
  </si>
  <si>
    <t>C67465</t>
  </si>
  <si>
    <t>C73777</t>
  </si>
  <si>
    <t>C73778</t>
  </si>
  <si>
    <t>C73779</t>
  </si>
  <si>
    <t>C67456</t>
  </si>
  <si>
    <t>C67467</t>
  </si>
  <si>
    <t>C73783</t>
  </si>
  <si>
    <t>C73784</t>
  </si>
  <si>
    <t>C73785</t>
  </si>
  <si>
    <t>C73780</t>
  </si>
  <si>
    <t>C77607</t>
  </si>
  <si>
    <t>C92618</t>
  </si>
  <si>
    <t>C48507</t>
  </si>
  <si>
    <t>C70571</t>
  </si>
  <si>
    <t>C71173</t>
  </si>
  <si>
    <t>C73726</t>
  </si>
  <si>
    <t>C117975</t>
  </si>
  <si>
    <t>C48152</t>
  </si>
  <si>
    <t>C73728</t>
  </si>
  <si>
    <t>C67311</t>
  </si>
  <si>
    <t>C71205</t>
  </si>
  <si>
    <t>C67305</t>
  </si>
  <si>
    <t>C124462</t>
  </si>
  <si>
    <t>C74921</t>
  </si>
  <si>
    <t>C74922</t>
  </si>
  <si>
    <t>C74923</t>
  </si>
  <si>
    <t>C67394</t>
  </si>
  <si>
    <t>C67396</t>
  </si>
  <si>
    <t>C73729</t>
  </si>
  <si>
    <t>C73730</t>
  </si>
  <si>
    <t>C71210</t>
  </si>
  <si>
    <t>C89830</t>
  </si>
  <si>
    <t>C161495</t>
  </si>
  <si>
    <t>C158292</t>
  </si>
  <si>
    <t>C67306</t>
  </si>
  <si>
    <t>C122229</t>
  </si>
  <si>
    <t>C67312</t>
  </si>
  <si>
    <t>C73787</t>
  </si>
  <si>
    <t>C73727</t>
  </si>
  <si>
    <t>C73733</t>
  </si>
  <si>
    <t>C71211</t>
  </si>
  <si>
    <t>C75905</t>
  </si>
  <si>
    <t>C176385</t>
  </si>
  <si>
    <t>C105497</t>
  </si>
  <si>
    <t>C122230</t>
  </si>
  <si>
    <t>C124463</t>
  </si>
  <si>
    <t>C124464</t>
  </si>
  <si>
    <t>C70562</t>
  </si>
  <si>
    <t>C124465</t>
  </si>
  <si>
    <t>C189651</t>
  </si>
  <si>
    <t>C67397</t>
  </si>
  <si>
    <t>C48153</t>
  </si>
  <si>
    <t>C124466</t>
  </si>
  <si>
    <t>C132481</t>
  </si>
  <si>
    <t>C69175</t>
  </si>
  <si>
    <t>C48510</t>
  </si>
  <si>
    <t>C126081</t>
  </si>
  <si>
    <t>C154858</t>
  </si>
  <si>
    <t>C73770</t>
  </si>
  <si>
    <t>C48509</t>
  </si>
  <si>
    <t>C67406</t>
  </si>
  <si>
    <t>C67407</t>
  </si>
  <si>
    <t>C124467</t>
  </si>
  <si>
    <t>C126082</t>
  </si>
  <si>
    <t>C48508</t>
  </si>
  <si>
    <t>C124468</t>
  </si>
  <si>
    <t>C120852</t>
  </si>
  <si>
    <t>C105498</t>
  </si>
  <si>
    <t>C73735</t>
  </si>
  <si>
    <t>C85708</t>
  </si>
  <si>
    <t>C122231</t>
  </si>
  <si>
    <t>C73736</t>
  </si>
  <si>
    <t>C69149</t>
  </si>
  <si>
    <t>C154859</t>
  </si>
  <si>
    <t>C48469</t>
  </si>
  <si>
    <t>C124469</t>
  </si>
  <si>
    <t>C124470</t>
  </si>
  <si>
    <t>C71175</t>
  </si>
  <si>
    <t>C105499</t>
  </si>
  <si>
    <t>C166102</t>
  </si>
  <si>
    <t>C42551</t>
  </si>
  <si>
    <t>C105524</t>
  </si>
  <si>
    <t>C124471</t>
  </si>
  <si>
    <t>C163566</t>
  </si>
  <si>
    <t>C124472</t>
  </si>
  <si>
    <t>C48551</t>
  </si>
  <si>
    <t>C114237</t>
  </si>
  <si>
    <t>C79424</t>
  </si>
  <si>
    <t>C124473</t>
  </si>
  <si>
    <t>C124474</t>
  </si>
  <si>
    <t>C48552</t>
  </si>
  <si>
    <t>C42549</t>
  </si>
  <si>
    <t>C42556</t>
  </si>
  <si>
    <t>C48553</t>
  </si>
  <si>
    <t>CL.C66789.ND</t>
  </si>
  <si>
    <t>Not Done</t>
  </si>
  <si>
    <t>ND</t>
  </si>
  <si>
    <t>C66789</t>
  </si>
  <si>
    <t>Indicates a task, process or examination that has either not been initiated or completed. (NCI)</t>
  </si>
  <si>
    <t>CDISC SDTM Not Done Terminology</t>
  </si>
  <si>
    <t>NOT DONE</t>
  </si>
  <si>
    <t>C49484</t>
  </si>
  <si>
    <t>One record per protocol-specified study treatment, constant-dosing interval, per subject</t>
  </si>
  <si>
    <t>STUDYID, USUBJID, EXTRT, EXSTDTC</t>
  </si>
  <si>
    <t>ex.xpt</t>
  </si>
  <si>
    <t>DOMAIN="EX"</t>
  </si>
  <si>
    <t>EXSEQ</t>
  </si>
  <si>
    <t>EXGRPID</t>
  </si>
  <si>
    <t>EXREFID</t>
  </si>
  <si>
    <t>EXSPID</t>
  </si>
  <si>
    <t>EXLNKID</t>
  </si>
  <si>
    <t>EXLNKGRP</t>
  </si>
  <si>
    <t>EXTRT</t>
  </si>
  <si>
    <t>EXCAT</t>
  </si>
  <si>
    <t>EXSCAT</t>
  </si>
  <si>
    <t>EXDOSE</t>
  </si>
  <si>
    <t>EXDOSTXT</t>
  </si>
  <si>
    <t>EXDOSU</t>
  </si>
  <si>
    <t>EXDOSFRM</t>
  </si>
  <si>
    <t>EXDOSFRQ</t>
  </si>
  <si>
    <t>EXDOSRGM</t>
  </si>
  <si>
    <t>EXROUTE</t>
  </si>
  <si>
    <t>EXLOT</t>
  </si>
  <si>
    <t>EXLOC</t>
  </si>
  <si>
    <t>EXLAT</t>
  </si>
  <si>
    <t>EXDIR</t>
  </si>
  <si>
    <t>EXFAST</t>
  </si>
  <si>
    <t>EXADJ</t>
  </si>
  <si>
    <t>EXSTDTC</t>
  </si>
  <si>
    <t>EXENDTC</t>
  </si>
  <si>
    <t>EXSTDY</t>
  </si>
  <si>
    <t>EXENDY</t>
  </si>
  <si>
    <t>EXDUR</t>
  </si>
  <si>
    <t>EXTPT</t>
  </si>
  <si>
    <t>EXTPTNUM</t>
  </si>
  <si>
    <t>EXELTM</t>
  </si>
  <si>
    <t>EXTPTREF</t>
  </si>
  <si>
    <t>EXRFTDTC</t>
  </si>
  <si>
    <t>Reference ID</t>
  </si>
  <si>
    <t>Link ID</t>
  </si>
  <si>
    <t>Link Group ID</t>
  </si>
  <si>
    <t>Name of Treatment</t>
  </si>
  <si>
    <t>Category of Treatment</t>
  </si>
  <si>
    <t>Subcategory of Treatment</t>
  </si>
  <si>
    <t>Lot Number</t>
  </si>
  <si>
    <t>Location of Dose Administration</t>
  </si>
  <si>
    <t>Laterality</t>
  </si>
  <si>
    <t>Directionality</t>
  </si>
  <si>
    <t>Fasting Status</t>
  </si>
  <si>
    <t>Start Date/Time of Treatment</t>
  </si>
  <si>
    <t>End Date/Time of Treatment</t>
  </si>
  <si>
    <t>Study Day of Start of Treatment</t>
  </si>
  <si>
    <t>Study Day of End of Treatment</t>
  </si>
  <si>
    <t>Duration of Treatment</t>
  </si>
  <si>
    <t>Planned Time Point Name</t>
  </si>
  <si>
    <t>Planned Time Point Number</t>
  </si>
  <si>
    <t>Planned Elapsed Time from Time Point Ref</t>
  </si>
  <si>
    <t>Time Point Reference</t>
  </si>
  <si>
    <t>Date/Time of Reference Time Point</t>
  </si>
  <si>
    <t>Sequence number given to ensure uniqueness of subject records within a domain. May be any valid number.</t>
  </si>
  <si>
    <t>Internal or external identifier (e.g., kit number, bottle label, vial identifier).</t>
  </si>
  <si>
    <t>Sponsor-defined reference number. May be preprinted on the CRF as an explicit line identifier or defined in the sponsor's operational database. Example: Line number on a CRF page.</t>
  </si>
  <si>
    <t>Identifier used to link related records across domains.</t>
  </si>
  <si>
    <t>Identifier used to link related, grouped records across domains.</t>
  </si>
  <si>
    <t>Name of the protocol-specified study treatment given during the dosing period for the observation.</t>
  </si>
  <si>
    <t>Used to define a category of EXTRT values.</t>
  </si>
  <si>
    <t>A further categorization of EXCAT values.</t>
  </si>
  <si>
    <t>Amount of EXTRT when numeric. Not populated when EXDOSTXT is populated.</t>
  </si>
  <si>
    <t>Amount of EXTRT when non-numeric. Dosing amounts or a range of dosing information collected in text form. Example: "200-400". Not populated when EXDOSE is populated.</t>
  </si>
  <si>
    <t>Units for EXDOSE, EXDOSTOT, or EXDOSTXT representing protocol-specified values. Examples: "ng", "mg", "mg/kg", "mg/m2".</t>
  </si>
  <si>
    <t>Dose form for EXTRT. Examples: "TABLET", "LOTION".</t>
  </si>
  <si>
    <t>Usually expressed as the number of repeated administrations of EXDOSE within a specific time period. Examples: "Q2H", "QD", "BID".</t>
  </si>
  <si>
    <t>Text description of the intended schedule or regimen for the Intervention. Example: "TWO WEEKS ON, TWO WEEKS OFF".</t>
  </si>
  <si>
    <t>Lot number of the intervention product.</t>
  </si>
  <si>
    <t>Specifies location of administration. Examples: "ARM", "LIP".</t>
  </si>
  <si>
    <t>Qualifier for anatomical location further detailing laterality of the intervention administration. Examples: "LEFT", "RIGHT".</t>
  </si>
  <si>
    <t>Qualifier for anatomical location further detailing directionality. Examples: "ANTERIOR", "LOWER", "PROXIMAL", "UPPER".</t>
  </si>
  <si>
    <t>Indicator used to identify fasting status. Examples: "Y", "N".</t>
  </si>
  <si>
    <t>Describes reason or explanation of why a dose is adjusted.</t>
  </si>
  <si>
    <t>Number that gives the planned order of the element within the arm.</t>
  </si>
  <si>
    <t>Trial epoch of the exposure record. Examples: "RUN-IN", "TREATMENT".</t>
  </si>
  <si>
    <t>The date/time when administration of the treatment indicated by EXTRT and EXDOSE began.</t>
  </si>
  <si>
    <t>The date/time when administration of the treatment indicated by EXTRT and EXDOSE ended. For administrations considered given at a point in time (e.g., oral tablet, pre-filled syringe injection), where only an administration date/time is collected, EXSTDTC should be copied to EXENDTC as the standard representation.</t>
  </si>
  <si>
    <t>Study day of EXSTDTC relative to DM.RFSTDTC.</t>
  </si>
  <si>
    <t>Study day of EXENDTC relative to DM.RFSTDTC.</t>
  </si>
  <si>
    <t>Collected duration of administration. Used only if collected on the CRF and not derived from start and end date/times.</t>
  </si>
  <si>
    <t>Text description of time when administration should occur. This may be represented as an elapsed time relative to a fixed reference point, such as time of last dose. See EXTPTNUM and EXTPTREF.</t>
  </si>
  <si>
    <t>Numerical version of EXTPT to aid in sorting.</t>
  </si>
  <si>
    <t>Planned elapsed time relative to the planned fixed reference (EXTPTREF). This variable is useful where there are repetitive measures. Not a clock time.</t>
  </si>
  <si>
    <t>Name of the fixed reference point referred to by EXELTM, EXTPTNUM, and EXTPT. Examples: PREVIOUS DOSE, PREVIOUS MEAL.</t>
  </si>
  <si>
    <t>Date/time for a fixed reference time point defined by EXTPTREF.</t>
  </si>
  <si>
    <t>https://www.cdisc.org/system/files/members/standard/foundational/SDTMIG%20v3.4-FINAL_2022-07-21.pdf#page=98</t>
  </si>
  <si>
    <t>https://www.cdisc.org/system/files/members/standard/foundational/SDTMIG%20v3.4-FINAL_2022-07-21.pdf#page=104</t>
  </si>
  <si>
    <t>CL.C74456.LOC</t>
  </si>
  <si>
    <t>Anatomical Location</t>
  </si>
  <si>
    <t>LOC</t>
  </si>
  <si>
    <t>C74456</t>
  </si>
  <si>
    <t>Terminology codelist used for anatomical location within CDISC.</t>
  </si>
  <si>
    <t>CDISC SDTM Anatomical Location Terminology</t>
  </si>
  <si>
    <t>5TH LUMBAR SPINOUS PROCESS</t>
  </si>
  <si>
    <t>ABDOMINAL AORTA</t>
  </si>
  <si>
    <t>ABDOMINAL CAVITY</t>
  </si>
  <si>
    <t>ABDOMINAL LYMPH NODE</t>
  </si>
  <si>
    <t>ABDOMINAL REGION</t>
  </si>
  <si>
    <t>ABDOMINAL SKIN</t>
  </si>
  <si>
    <t>ABDOMINAL WALL</t>
  </si>
  <si>
    <t>ABDUCENS NERVE</t>
  </si>
  <si>
    <t>ABDUCTOR DIGITI MINIMI MUSCLE OF THE HAND</t>
  </si>
  <si>
    <t>ABDUCTOR DIGITI QUINTI MUSCLE</t>
  </si>
  <si>
    <t>ABDUCTOR HALLUCIS MUSCLE</t>
  </si>
  <si>
    <t>ABDUCTOR POLLICIS BREVIS MUSCLE</t>
  </si>
  <si>
    <t>ABDUCTOR POLLICIS LONGUS MUSCLE</t>
  </si>
  <si>
    <t>ACCESSORY RENAL ARTERY</t>
  </si>
  <si>
    <t>ACETABULUM</t>
  </si>
  <si>
    <t>ACHILLES TENDON</t>
  </si>
  <si>
    <t>ACROMIOCLAVICULAR JOINT</t>
  </si>
  <si>
    <t>ACROMION</t>
  </si>
  <si>
    <t>ACUTE MARGINAL ARTERY</t>
  </si>
  <si>
    <t>ADDUCTOR BREVIS MUSCLE</t>
  </si>
  <si>
    <t>ADDUCTOR HALLUCIS MUSCLE, OBLIQUE HEAD</t>
  </si>
  <si>
    <t>ADDUCTOR HALLUCIS MUSCLE, TRANSVERSE HEAD</t>
  </si>
  <si>
    <t>ADDUCTOR LONGUS MUSCLE</t>
  </si>
  <si>
    <t>ADDUCTOR MAGNUS MUSCLE</t>
  </si>
  <si>
    <t>ADDUCTOR POLLICIS MUSCLE</t>
  </si>
  <si>
    <t>ADRENAL GLAND</t>
  </si>
  <si>
    <t>ALISPHENOID PROCESS</t>
  </si>
  <si>
    <t>ALVEOLAR PROCESS</t>
  </si>
  <si>
    <t>ALVEOLUS</t>
  </si>
  <si>
    <t>AMNIOTIC FLUID</t>
  </si>
  <si>
    <t>AMPULLA OF VATER</t>
  </si>
  <si>
    <t>AMYGDALA</t>
  </si>
  <si>
    <t>ANAL CANAL</t>
  </si>
  <si>
    <t>ANAL REGION</t>
  </si>
  <si>
    <t>ANAL SPHINCTER</t>
  </si>
  <si>
    <t>ANAL VERGE</t>
  </si>
  <si>
    <t>ANASTOMOSIS</t>
  </si>
  <si>
    <t>ANCONEUS MUSCLE</t>
  </si>
  <si>
    <t>ANGULAR GYRUS</t>
  </si>
  <si>
    <t>ANKLE JOINT ANTERIOR EXTENSOR TENDONS</t>
  </si>
  <si>
    <t>ANKLE JOINT ANTERIOR FLEXOR TENDONS</t>
  </si>
  <si>
    <t>ANKLE JOINT</t>
  </si>
  <si>
    <t>ANKLE MORTISE</t>
  </si>
  <si>
    <t>ANORECTUM</t>
  </si>
  <si>
    <t>ANTECUBITAL FOSSA</t>
  </si>
  <si>
    <t>ANTERIOR CINGULATE CORTEX</t>
  </si>
  <si>
    <t>ANTERIOR CINGULATE GYRUS</t>
  </si>
  <si>
    <t>ANTERIOR HORN OF THE LATERAL VENTRICLE</t>
  </si>
  <si>
    <t>ANTERIOR INFERIOR CEREBELLAR ARTERY</t>
  </si>
  <si>
    <t>ANTERIOR MEDIASTINAL LYMPH NODE</t>
  </si>
  <si>
    <t>ANTERIOR SUPERIOR ILIAC SPINE</t>
  </si>
  <si>
    <t>ANTERIOR TIBIAL ARTERY</t>
  </si>
  <si>
    <t>ANTERIOR TIBIAL VEIN</t>
  </si>
  <si>
    <t>ANTRUM PYLORI</t>
  </si>
  <si>
    <t>ANUS</t>
  </si>
  <si>
    <t>AORTA</t>
  </si>
  <si>
    <t>AORTIC ARCH</t>
  </si>
  <si>
    <t>AORTIC BODY</t>
  </si>
  <si>
    <t>AORTIC VALVE ANNULUS</t>
  </si>
  <si>
    <t>AORTIC VALVE</t>
  </si>
  <si>
    <t>AORTIC VALVE, LEFT CORONARY CUSP</t>
  </si>
  <si>
    <t>AORTIC VALVE, NON-CORONARY CUSP</t>
  </si>
  <si>
    <t>AORTIC VALVE, RIGHT CORONARY CUSP</t>
  </si>
  <si>
    <t>AORTICOPULMONARY SEPTUM</t>
  </si>
  <si>
    <t>AORTO-ILIAC PERIPHERAL ARTERY</t>
  </si>
  <si>
    <t>AORTOCAVAL LYMPH NODE</t>
  </si>
  <si>
    <t>AORTOPULMONARY WINDOW LYMPH NODE</t>
  </si>
  <si>
    <t>APPENDICEAL TIP</t>
  </si>
  <si>
    <t>APPENDICULAR SKELETON</t>
  </si>
  <si>
    <t>APPENDIX</t>
  </si>
  <si>
    <t>AQUEOUS HUMOR</t>
  </si>
  <si>
    <t>ARM SKIN</t>
  </si>
  <si>
    <t>ARTERY</t>
  </si>
  <si>
    <t>ASCENDING AORTA</t>
  </si>
  <si>
    <t>ASCENDING AORTA, AORTIC ROOT</t>
  </si>
  <si>
    <t>ASCENDING AORTA, SINOTUBULAR JUNCTION</t>
  </si>
  <si>
    <t>ASCENDING AORTA, SINUS OF VALSALVA</t>
  </si>
  <si>
    <t>ATRIOVENTRICULAR SEPTUM</t>
  </si>
  <si>
    <t>ATRIOVENTRICULAR VALVE</t>
  </si>
  <si>
    <t>AUDITORY OSSICLE</t>
  </si>
  <si>
    <t>AXIAL SKELETON</t>
  </si>
  <si>
    <t>AXILLA</t>
  </si>
  <si>
    <t>AXILLARY ARTERY</t>
  </si>
  <si>
    <t>AXILLARY LYMPH NODE LEVEL I</t>
  </si>
  <si>
    <t>AXILLARY LYMPH NODE LEVEL II</t>
  </si>
  <si>
    <t>AXILLARY LYMPH NODE LEVEL III</t>
  </si>
  <si>
    <t>AXILLARY LYMPH NODE</t>
  </si>
  <si>
    <t>AXILLARY VEIN</t>
  </si>
  <si>
    <t>AZYGOS VEIN</t>
  </si>
  <si>
    <t>BACK</t>
  </si>
  <si>
    <t>BASAL GANGLIA</t>
  </si>
  <si>
    <t>BASE OF THE TONGUE</t>
  </si>
  <si>
    <t>BASILIC VEIN</t>
  </si>
  <si>
    <t>BASIOCCIPITAL BONE</t>
  </si>
  <si>
    <t>BASISPHENOID BONE</t>
  </si>
  <si>
    <t>BICEPS BRACHII MUSCLE</t>
  </si>
  <si>
    <t>BICEPS FEMORIS MUSCLE</t>
  </si>
  <si>
    <t>BILE DUCT</t>
  </si>
  <si>
    <t>BILIARY TRACT</t>
  </si>
  <si>
    <t>BLADDER WALL</t>
  </si>
  <si>
    <t>BLADDER</t>
  </si>
  <si>
    <t>BLADDER, DOME</t>
  </si>
  <si>
    <t>BLADDER, FUNDUS</t>
  </si>
  <si>
    <t>BLADDER, NECK</t>
  </si>
  <si>
    <t>BLADDER, TRIGONE</t>
  </si>
  <si>
    <t>BLOOD VESSEL</t>
  </si>
  <si>
    <t>BLOOD</t>
  </si>
  <si>
    <t>BODY OF STOMACH</t>
  </si>
  <si>
    <t>BODY</t>
  </si>
  <si>
    <t>BONE MARROW</t>
  </si>
  <si>
    <t>BONE</t>
  </si>
  <si>
    <t>BRACHIAL ARTERY</t>
  </si>
  <si>
    <t>BRACHIAL LYMPH NODE</t>
  </si>
  <si>
    <t>BRACHIAL PLEXUS</t>
  </si>
  <si>
    <t>BRACHIAL VEIN</t>
  </si>
  <si>
    <t>BRACHIALIS MUSCLE</t>
  </si>
  <si>
    <t>BRACHIOCEPHALIC ARTERY</t>
  </si>
  <si>
    <t>BRACHIORADIALIS MUSCLE</t>
  </si>
  <si>
    <t>BRAIN STEM</t>
  </si>
  <si>
    <t>BRAIN VENTRICLE</t>
  </si>
  <si>
    <t>BRAIN VENTRICLE, LATERAL</t>
  </si>
  <si>
    <t>BRAIN</t>
  </si>
  <si>
    <t>BRAIN, FOURTH VENTRICLE</t>
  </si>
  <si>
    <t>BRAIN, PERIVENTRICULAR REGION</t>
  </si>
  <si>
    <t>BRAIN, THIRD VENTRICLE</t>
  </si>
  <si>
    <t>BREAST</t>
  </si>
  <si>
    <t>BROAD LIGAMENT</t>
  </si>
  <si>
    <t>BRONCHIAL STUMP</t>
  </si>
  <si>
    <t>BRONCHIOLE</t>
  </si>
  <si>
    <t>BRONCHUS</t>
  </si>
  <si>
    <t>BUCCAL LYMPH NODE</t>
  </si>
  <si>
    <t>BUCCAL MUCOSA</t>
  </si>
  <si>
    <t>BULBAR CONJUNCTIVA</t>
  </si>
  <si>
    <t>BUTTOCK</t>
  </si>
  <si>
    <t>C1 VERTEBRA</t>
  </si>
  <si>
    <t>C2 VERTEBRA</t>
  </si>
  <si>
    <t>C3 VERTEBRA</t>
  </si>
  <si>
    <t>C4 VERTEBRA</t>
  </si>
  <si>
    <t>C5 VERTEBRA</t>
  </si>
  <si>
    <t>C6 VERTEBRA</t>
  </si>
  <si>
    <t>C7 VERTEBRA</t>
  </si>
  <si>
    <t>CALCANEAL TUBEROSITY</t>
  </si>
  <si>
    <t>CALCANEUS</t>
  </si>
  <si>
    <t>CALCARINE SULCUS</t>
  </si>
  <si>
    <t>CALF MUSCULAR VEIN</t>
  </si>
  <si>
    <t>CALF</t>
  </si>
  <si>
    <t>CANINE TOOTH</t>
  </si>
  <si>
    <t>CAPITATE BONE</t>
  </si>
  <si>
    <t>CAPITATE-HAMATE JOINT</t>
  </si>
  <si>
    <t>CAPITATE-LUNATE JOINT</t>
  </si>
  <si>
    <t>CARDIAC VALVE</t>
  </si>
  <si>
    <t>CARDIAC WALL</t>
  </si>
  <si>
    <t>CARDIOPHRENIC LYMPH NODE</t>
  </si>
  <si>
    <t>CARDIOVASCULAR SYSTEM</t>
  </si>
  <si>
    <t>CARINA</t>
  </si>
  <si>
    <t>CAROTID ARTERY</t>
  </si>
  <si>
    <t>CAROTID BODY</t>
  </si>
  <si>
    <t>CARPAL BONE</t>
  </si>
  <si>
    <t>CARPOMETACARPAL JOINT 1</t>
  </si>
  <si>
    <t>CARPOMETACARPAL JOINT 2</t>
  </si>
  <si>
    <t>CARPOMETACARPAL JOINT 3</t>
  </si>
  <si>
    <t>CARPOMETACARPAL JOINT 4</t>
  </si>
  <si>
    <t>CARPOMETACARPAL JOINT 5</t>
  </si>
  <si>
    <t>CARPOMETACARPAL JOINT</t>
  </si>
  <si>
    <t>CARTILAGE</t>
  </si>
  <si>
    <t>CAUDAL VERTEBRA</t>
  </si>
  <si>
    <t>CAUDATE NUCLEUS</t>
  </si>
  <si>
    <t>CECUM</t>
  </si>
  <si>
    <t>CELIAC ARTERY</t>
  </si>
  <si>
    <t>CELIAC LYMPH NODE</t>
  </si>
  <si>
    <t>CENTRAL NERVOUS SYSTEM</t>
  </si>
  <si>
    <t>CEPHALIC VEIN</t>
  </si>
  <si>
    <t>CEREBELLAR LOBE</t>
  </si>
  <si>
    <t>CEREBELLUM</t>
  </si>
  <si>
    <t>CEREBRAL ARTERY</t>
  </si>
  <si>
    <t>CEREBRAL CORTEX</t>
  </si>
  <si>
    <t>CEREBRAL HEMISPHERE, LEFT</t>
  </si>
  <si>
    <t>CEREBRAL HEMISPHERE, RIGHT</t>
  </si>
  <si>
    <t>CEREBRAL PEDUNCLE</t>
  </si>
  <si>
    <t>CEREBRAL SUBCORTEX</t>
  </si>
  <si>
    <t>CEREBRAL VEIN</t>
  </si>
  <si>
    <t>CEREBRUM</t>
  </si>
  <si>
    <t>CERVICAL LYMPH NODE</t>
  </si>
  <si>
    <t>CERVICAL SPINE</t>
  </si>
  <si>
    <t>CERVICAL VERTEBRA</t>
  </si>
  <si>
    <t>CERVICOVAGINAL REGION</t>
  </si>
  <si>
    <t>CERVIX UTERI</t>
  </si>
  <si>
    <t>CHEEK</t>
  </si>
  <si>
    <t>CHEST WALL</t>
  </si>
  <si>
    <t>CHEST</t>
  </si>
  <si>
    <t>CHIN</t>
  </si>
  <si>
    <t>CHORDAE TENDINEAE</t>
  </si>
  <si>
    <t>CHOROID PLEXUS</t>
  </si>
  <si>
    <t>CHOROID</t>
  </si>
  <si>
    <t>CILIARY BODY</t>
  </si>
  <si>
    <t>CINGULATE CORTEX</t>
  </si>
  <si>
    <t>CIRCUMFLEX ARTERY AV GROOVE CONTINUATION ARTERY</t>
  </si>
  <si>
    <t>CIRCUMFLEX, OBTUSE MARGINALS, LEFT POSTEROLATERAL AND LEFT POSTERIOR DESCENDING ARTERY BRANCHES</t>
  </si>
  <si>
    <t>CLAVICLE</t>
  </si>
  <si>
    <t>CLAW</t>
  </si>
  <si>
    <t>CLITORIS</t>
  </si>
  <si>
    <t>CLIVUS</t>
  </si>
  <si>
    <t>COCCYGEAL VERTEBRA</t>
  </si>
  <si>
    <t>COCCYX</t>
  </si>
  <si>
    <t>COLON LYMPH NODE</t>
  </si>
  <si>
    <t>COLON WALL</t>
  </si>
  <si>
    <t>COLON</t>
  </si>
  <si>
    <t>COLON, ASCENDING</t>
  </si>
  <si>
    <t>COLON, DESCENDING</t>
  </si>
  <si>
    <t>COLON, HEPATIC FLEXURE</t>
  </si>
  <si>
    <t>COLON, LEFT</t>
  </si>
  <si>
    <t>COLON, RECTOSIGMOID</t>
  </si>
  <si>
    <t>COLON, RIGHT</t>
  </si>
  <si>
    <t>COLON, SIGMOID</t>
  </si>
  <si>
    <t>COLON, SPLENIC FLEXURE</t>
  </si>
  <si>
    <t>COLON, TRANSVERSE</t>
  </si>
  <si>
    <t>COLONIC MUCOSA</t>
  </si>
  <si>
    <t>COMMON BILE DUCT</t>
  </si>
  <si>
    <t>COMMON FEMORAL ARTERY</t>
  </si>
  <si>
    <t>COMMON FEMORAL VEIN</t>
  </si>
  <si>
    <t>COMMON ILIAC ARTERY</t>
  </si>
  <si>
    <t>COMMON ILIAC LYMPH NODE</t>
  </si>
  <si>
    <t>COMMON PALMAR DIGITAL ARTERY</t>
  </si>
  <si>
    <t>CONJUNCTIVA</t>
  </si>
  <si>
    <t>CORNEA</t>
  </si>
  <si>
    <t>CORNEAL ENDOTHELIUM</t>
  </si>
  <si>
    <t>CORNEAL EPITHELIUM</t>
  </si>
  <si>
    <t>CORNEAL STROMA</t>
  </si>
  <si>
    <t>CORONARY ARTERY</t>
  </si>
  <si>
    <t>CORONARY ARTERY, ANTERIOR DESCENDING</t>
  </si>
  <si>
    <t>CORONARY ARTERY, LEFT</t>
  </si>
  <si>
    <t>CORONARY ARTERY, RIGHT</t>
  </si>
  <si>
    <t>CORONARY SINUS</t>
  </si>
  <si>
    <t>CORONARY VEIN</t>
  </si>
  <si>
    <t>CORPUS CALLOSUM</t>
  </si>
  <si>
    <t>CORPUS CALLOSUM, BODY</t>
  </si>
  <si>
    <t>CORPUS CALLOSUM, GENU</t>
  </si>
  <si>
    <t>CORPUS CALLOSUM, SPLENIUM</t>
  </si>
  <si>
    <t>CORPUS LUTEUM</t>
  </si>
  <si>
    <t>CORPUS STRIATUM</t>
  </si>
  <si>
    <t>CORPUS UTERI</t>
  </si>
  <si>
    <t>CORRUGATOR SUPERCILII MUSCLE</t>
  </si>
  <si>
    <t>COSTAL CARTILAGE</t>
  </si>
  <si>
    <t>COSTOCHONDRAL JOINT 1</t>
  </si>
  <si>
    <t>COSTOCHONDRAL JOINT 7</t>
  </si>
  <si>
    <t>CRANIAL CAVITY</t>
  </si>
  <si>
    <t>CRANIAL NERVE</t>
  </si>
  <si>
    <t>CUBOID BONE</t>
  </si>
  <si>
    <t>DELTOID MUSCLE</t>
  </si>
  <si>
    <t>DENTAL ARCH</t>
  </si>
  <si>
    <t>DERMAL PAPILLAE OF THE FACE</t>
  </si>
  <si>
    <t>DESCENDING AORTA</t>
  </si>
  <si>
    <t>DIAPHRAGMATIC LYMPH NODE</t>
  </si>
  <si>
    <t>DIGIT</t>
  </si>
  <si>
    <t>DIGITAL ARTERY</t>
  </si>
  <si>
    <t>DISTAL CIRCUMFLEX ARTERY</t>
  </si>
  <si>
    <t>DISTAL COMMON BILE DUCT</t>
  </si>
  <si>
    <t>DISTAL EXTRAHEPATIC BILE DUCT REGION</t>
  </si>
  <si>
    <t>DISTAL FEMUR R1</t>
  </si>
  <si>
    <t>DISTAL INTERPHALANGEAL JOINT 2 OF THE FOOT</t>
  </si>
  <si>
    <t>DISTAL INTERPHALANGEAL JOINT 2 OF THE HAND</t>
  </si>
  <si>
    <t>DISTAL INTERPHALANGEAL JOINT 2</t>
  </si>
  <si>
    <t>DISTAL INTERPHALANGEAL JOINT 3 OF THE FOOT</t>
  </si>
  <si>
    <t>DISTAL INTERPHALANGEAL JOINT 3 OF THE HAND</t>
  </si>
  <si>
    <t>DISTAL INTERPHALANGEAL JOINT 3</t>
  </si>
  <si>
    <t>DISTAL INTERPHALANGEAL JOINT 4 OF THE FOOT</t>
  </si>
  <si>
    <t>DISTAL INTERPHALANGEAL JOINT 4 OF THE HAND</t>
  </si>
  <si>
    <t>DISTAL INTERPHALANGEAL JOINT 4</t>
  </si>
  <si>
    <t>DISTAL INTERPHALANGEAL JOINT 5 OF THE FOOT</t>
  </si>
  <si>
    <t>DISTAL INTERPHALANGEAL JOINT 5 OF THE HAND</t>
  </si>
  <si>
    <t>DISTAL INTERPHALANGEAL JOINT 5</t>
  </si>
  <si>
    <t>DISTAL LAD ARTERY</t>
  </si>
  <si>
    <t>DISTAL PHALANX 2 OF THE HAND</t>
  </si>
  <si>
    <t>DISTAL PHALANX 3 OF THE HAND</t>
  </si>
  <si>
    <t>DISTAL PHALANX 4 OF THE HAND</t>
  </si>
  <si>
    <t>DISTAL PHALANX 5 OF THE HAND</t>
  </si>
  <si>
    <t>DISTAL RADIOULNAR JOINT</t>
  </si>
  <si>
    <t>DISTAL RIGHT CORONARY ARTERY CONDUIT</t>
  </si>
  <si>
    <t>DISTANT LYMPH NODE</t>
  </si>
  <si>
    <t>DORSAL MOTOR NUCLEUS</t>
  </si>
  <si>
    <t>DORSALIS PEDIS ARTERY</t>
  </si>
  <si>
    <t>DUCTUS ARTERIOSUS</t>
  </si>
  <si>
    <t>DUODENUM</t>
  </si>
  <si>
    <t>DURA MATER</t>
  </si>
  <si>
    <t>DURAL VENOUS SINUS</t>
  </si>
  <si>
    <t>EAR</t>
  </si>
  <si>
    <t>EAR, INNER</t>
  </si>
  <si>
    <t>EAR, OUTER</t>
  </si>
  <si>
    <t>EARLOBE</t>
  </si>
  <si>
    <t>ELBOW EXTENSOR MUSCLES</t>
  </si>
  <si>
    <t>ELBOW FLEXOR MUSCLES</t>
  </si>
  <si>
    <t>ELBOW JOINT</t>
  </si>
  <si>
    <t>ENDOCARDIUM</t>
  </si>
  <si>
    <t>ENDOCERVIX</t>
  </si>
  <si>
    <t>ENDOMETRIAL CAVITY</t>
  </si>
  <si>
    <t>ENDOMETRIUM</t>
  </si>
  <si>
    <t>ENTORHINAL CORTEX</t>
  </si>
  <si>
    <t>EPICARDIUM</t>
  </si>
  <si>
    <t>EPICONDYLE</t>
  </si>
  <si>
    <t>EPIDIDYMIS</t>
  </si>
  <si>
    <t>EPIDURAL SPACE</t>
  </si>
  <si>
    <t>EPIGASTRIC LYMPH NODE</t>
  </si>
  <si>
    <t>EPIGASTRIC REGION</t>
  </si>
  <si>
    <t>EPIGLOTTIS</t>
  </si>
  <si>
    <t>EPITROCHLEAR LYMPH NODE</t>
  </si>
  <si>
    <t>ESOPHAGEAL LYMPH NODE</t>
  </si>
  <si>
    <t>ESOPHAGEAL MUCOSA</t>
  </si>
  <si>
    <t>ESOPHAGUS</t>
  </si>
  <si>
    <t>ESOPHAGUS, ABDOMINAL</t>
  </si>
  <si>
    <t>ESOPHAGUS, CERVICAL</t>
  </si>
  <si>
    <t>ESOPHAGUS, LOWER THIRD</t>
  </si>
  <si>
    <t>ESOPHAGUS, MIDDLE THIRD</t>
  </si>
  <si>
    <t>ESOPHAGUS, THORACIC</t>
  </si>
  <si>
    <t>ESOPHAGUS, UPPER THIRD</t>
  </si>
  <si>
    <t>ETHMOID BONE</t>
  </si>
  <si>
    <t>ETHMOID SINUS</t>
  </si>
  <si>
    <t>EXOCCIPITAL BONE</t>
  </si>
  <si>
    <t>EXTENSOR CARPI RADIALIS MUSCLES</t>
  </si>
  <si>
    <t>EXTENSOR CARPI ULNARIS MUSCLE</t>
  </si>
  <si>
    <t>EXTENSOR DIGITI MINIMI MUSCLE</t>
  </si>
  <si>
    <t>EXTENSOR DIGITORUM BREVIS MUSCLE</t>
  </si>
  <si>
    <t>EXTENSOR DIGITORUM LONGUS MUSCLE</t>
  </si>
  <si>
    <t>EXTENSOR DIGITORUM MUSCLE</t>
  </si>
  <si>
    <t>EXTENSOR HALLUCIS BREVIS MUSCLE</t>
  </si>
  <si>
    <t>EXTENSOR HALLUCIS LONGUS MUSCLE</t>
  </si>
  <si>
    <t>EXTENSOR INDICIS PROPRIUS MUSCLE</t>
  </si>
  <si>
    <t>EXTENSOR POLLICIS BREVIS MUSCLE</t>
  </si>
  <si>
    <t>EXTENSOR POLLICIS LONGUS MUSCLE</t>
  </si>
  <si>
    <t>EXTERNAL ACOUSTIC MEATUS</t>
  </si>
  <si>
    <t>EXTERNAL ILIAC ARTERY</t>
  </si>
  <si>
    <t>EXTERNAL ILIAC LYMPH NODE</t>
  </si>
  <si>
    <t>EXTRAABDOMINAL LYMPH NODE</t>
  </si>
  <si>
    <t>EXTRAHEPATIC BILE DUCT</t>
  </si>
  <si>
    <t>EXTRAHEPATIC PERIHILAR BILE DUCT REGION</t>
  </si>
  <si>
    <t>EXTRAOCULAR MUSCLE</t>
  </si>
  <si>
    <t>EYE BULGE</t>
  </si>
  <si>
    <t>EYE</t>
  </si>
  <si>
    <t>EYE, ANTERIOR CHAMBER</t>
  </si>
  <si>
    <t>EYE, ANTERIOR SEGMENT</t>
  </si>
  <si>
    <t>EYE, VITREOUS CHAMBER</t>
  </si>
  <si>
    <t>EYEBROW</t>
  </si>
  <si>
    <t>EYELASH</t>
  </si>
  <si>
    <t>EYELID</t>
  </si>
  <si>
    <t>FACE</t>
  </si>
  <si>
    <t>FACET JOINT</t>
  </si>
  <si>
    <t>FACIAL BONE</t>
  </si>
  <si>
    <t>FACIAL MUSCLE</t>
  </si>
  <si>
    <t>FACIAL NERVE</t>
  </si>
  <si>
    <t>FALCIFORM LIGAMENT</t>
  </si>
  <si>
    <t>FALLOPIAN TUBE</t>
  </si>
  <si>
    <t>FASCIA</t>
  </si>
  <si>
    <t>FAT PAD</t>
  </si>
  <si>
    <t>FAUCES</t>
  </si>
  <si>
    <t>FEMALE GENITALIA</t>
  </si>
  <si>
    <t>FEMALE REPRODUCTIVE SYSTEM</t>
  </si>
  <si>
    <t>FEMORAL ARTERY</t>
  </si>
  <si>
    <t>FEMORAL CONDYLE</t>
  </si>
  <si>
    <t>FEMORAL HEAD</t>
  </si>
  <si>
    <t>FEMORAL LYMPH NODE</t>
  </si>
  <si>
    <t>FEMORAL NECK</t>
  </si>
  <si>
    <t>FEMORAL VEIN</t>
  </si>
  <si>
    <t>FEMORO-POPLITEAL PERIPHERAL ARTERY</t>
  </si>
  <si>
    <t>FEMUR SHAFT</t>
  </si>
  <si>
    <t>FEMUR</t>
  </si>
  <si>
    <t>FIBULA SHAFT</t>
  </si>
  <si>
    <t>FIBULA</t>
  </si>
  <si>
    <t>FIBULAR VEIN</t>
  </si>
  <si>
    <t>FINGER EXTENSOR MUSCLES</t>
  </si>
  <si>
    <t>FINGER EXTENSOR TENDONS</t>
  </si>
  <si>
    <t>FINGER FLEXOR MUSCLES</t>
  </si>
  <si>
    <t>FINGER FLEXOR TENDONS</t>
  </si>
  <si>
    <t>FINGER</t>
  </si>
  <si>
    <t>FINGERNAIL</t>
  </si>
  <si>
    <t>FINGERTIP</t>
  </si>
  <si>
    <t>FIRST DIAGONAL BRANCH ARTERY</t>
  </si>
  <si>
    <t>FIRST DORSAL INTEROSSEOUS MUSCLE OF THE FOOT</t>
  </si>
  <si>
    <t>FIRST DORSAL INTEROSSEOUS MUSCLE OF THE HAND</t>
  </si>
  <si>
    <t>FIRST LEFT POSTEROLATERAL BRANCH ARTERY</t>
  </si>
  <si>
    <t>FIRST OBTUSE MARGINAL BRANCH ARTERY</t>
  </si>
  <si>
    <t>FIRST RIGHT POSTEROLATERAL ARTERY</t>
  </si>
  <si>
    <t>FLANK</t>
  </si>
  <si>
    <t>FLEXOR CARPI RADIALIS MUSCLE</t>
  </si>
  <si>
    <t>FLEXOR CARPI ULNARIS MUSCLE</t>
  </si>
  <si>
    <t>FLEXOR DIGITORUM BREVIS MUSCLE</t>
  </si>
  <si>
    <t>FLEXOR DIGITORUM LONGUS MUSCLE</t>
  </si>
  <si>
    <t>FLEXOR DIGITORUM PROFUNDUS MUSCLE</t>
  </si>
  <si>
    <t>FLEXOR DIGITORUM SUPERFICIALIS MUSCLE</t>
  </si>
  <si>
    <t>FLEXOR HALLUCIS BREVIS MUSCLE</t>
  </si>
  <si>
    <t>FLEXOR HALLUCIS LONGUS MUSCLE</t>
  </si>
  <si>
    <t>FLEXOR POLLICIS BREVIS MUSCLE</t>
  </si>
  <si>
    <t>FLEXOR POLLICIS LONGUS MUSCLE</t>
  </si>
  <si>
    <t>FLOOR OF MOUTH</t>
  </si>
  <si>
    <t>FONTANELLE</t>
  </si>
  <si>
    <t>FOOT DIGIT 1</t>
  </si>
  <si>
    <t>FOOT DIGIT 2</t>
  </si>
  <si>
    <t>FOOT DIGIT 3</t>
  </si>
  <si>
    <t>FOOT DIGIT 4</t>
  </si>
  <si>
    <t>FOOT DIGIT 5</t>
  </si>
  <si>
    <t>FOOT PHALANX</t>
  </si>
  <si>
    <t>FOOT</t>
  </si>
  <si>
    <t>FOREARM PRONATOR MUSCLES</t>
  </si>
  <si>
    <t>FOREARM</t>
  </si>
  <si>
    <t>FOREBRAIN</t>
  </si>
  <si>
    <t>FOREHEAD</t>
  </si>
  <si>
    <t>FORELIMB</t>
  </si>
  <si>
    <t>FOREPAW PHALANX</t>
  </si>
  <si>
    <t>FORESKIN</t>
  </si>
  <si>
    <t>FOVEA</t>
  </si>
  <si>
    <t>FRONTAL BONE</t>
  </si>
  <si>
    <t>FRONTAL LOBE</t>
  </si>
  <si>
    <t>FRONTAL SINUS</t>
  </si>
  <si>
    <t>FRONTALIS MUSCLE</t>
  </si>
  <si>
    <t>FUNDUS OF THE EYE</t>
  </si>
  <si>
    <t>FUNDUS OF THE STOMACH</t>
  </si>
  <si>
    <t>FUNDUS UTERI</t>
  </si>
  <si>
    <t>GALLBLADDER</t>
  </si>
  <si>
    <t>GANGLION</t>
  </si>
  <si>
    <t>GASTRIC CARDIA</t>
  </si>
  <si>
    <t>GASTRIC CURVATURE LYMPH NODE</t>
  </si>
  <si>
    <t>GASTRIC MUCOSA</t>
  </si>
  <si>
    <t>GASTROCNEMIUS MUSCLE</t>
  </si>
  <si>
    <t>GASTROCNEMIUS MUSCLE, LATERAL HEAD</t>
  </si>
  <si>
    <t>GASTROCNEMIUS MUSCLE, MEDIAL HEAD</t>
  </si>
  <si>
    <t>GASTROESOPHAGEAL JUNCTION</t>
  </si>
  <si>
    <t>GASTROINTESTINAL SYSTEM</t>
  </si>
  <si>
    <t>GASTROINTESTINAL TRACT</t>
  </si>
  <si>
    <t>GASTROINTESTINAL TRACT, LOWER</t>
  </si>
  <si>
    <t>GASTROINTESTINAL TRACT, LOWER, WALL</t>
  </si>
  <si>
    <t>GASTROINTESTINAL TRACT, UPPER</t>
  </si>
  <si>
    <t>GASTROINTESTINAL TRACT, UPPER, WALL</t>
  </si>
  <si>
    <t>GASTROINTESTINAL TRACT, WALL</t>
  </si>
  <si>
    <t>GENIOGLOSSUS MUSCLE</t>
  </si>
  <si>
    <t>GENITAL TUBERCLE</t>
  </si>
  <si>
    <t>GENITALIA</t>
  </si>
  <si>
    <t>GENITOURINARY SYSTEM</t>
  </si>
  <si>
    <t>GINGIVA</t>
  </si>
  <si>
    <t>GINGIVAL MUCOSA</t>
  </si>
  <si>
    <t>GLENOID FOSSA</t>
  </si>
  <si>
    <t>GLOBUS PALLIDUS</t>
  </si>
  <si>
    <t>GLOMERULUS</t>
  </si>
  <si>
    <t>GLOSSOPHARYNGEAL NERVE</t>
  </si>
  <si>
    <t>GLOTTIS</t>
  </si>
  <si>
    <t>GLOTTIS, ANTERIOR COMMISSURE</t>
  </si>
  <si>
    <t>GLOTTIS, POSTERIOR COMMISSURE</t>
  </si>
  <si>
    <t>GLUTEAL MUSCLE</t>
  </si>
  <si>
    <t>GLUTEUS MAXIMUS</t>
  </si>
  <si>
    <t>GLUTEUS MEDIUS</t>
  </si>
  <si>
    <t>GONAD</t>
  </si>
  <si>
    <t>GRACILIS MUSCLE</t>
  </si>
  <si>
    <t>GREAT SAPHENOUS VEIN</t>
  </si>
  <si>
    <t>GREAT TROCHANTER</t>
  </si>
  <si>
    <t>GREAT VESSELS</t>
  </si>
  <si>
    <t>GREATER CURVATURE OF THE STOMACH</t>
  </si>
  <si>
    <t>GUT-ASSOCIATED LYMPHOID TISSUE</t>
  </si>
  <si>
    <t>HAIR BULB</t>
  </si>
  <si>
    <t>HAIR FOLLICLE</t>
  </si>
  <si>
    <t>HAIR ROOT</t>
  </si>
  <si>
    <t>HAIR SHAFT</t>
  </si>
  <si>
    <t>HAIR</t>
  </si>
  <si>
    <t>HAMATE BONE</t>
  </si>
  <si>
    <t>HAMSTRING MUSCLE</t>
  </si>
  <si>
    <t>HAND DIGIT 1 ARTERY</t>
  </si>
  <si>
    <t>HAND DIGIT 1</t>
  </si>
  <si>
    <t>HAND DIGIT 2 ARTERY</t>
  </si>
  <si>
    <t>HAND DIGIT 2</t>
  </si>
  <si>
    <t>HAND DIGIT 3 ARTERY</t>
  </si>
  <si>
    <t>HAND DIGIT 3</t>
  </si>
  <si>
    <t>HAND DIGIT 4 ARTERY</t>
  </si>
  <si>
    <t>HAND DIGIT 4</t>
  </si>
  <si>
    <t>HAND DIGIT 5 ARTERY</t>
  </si>
  <si>
    <t>HAND DIGIT 5</t>
  </si>
  <si>
    <t>HAND PHALANX</t>
  </si>
  <si>
    <t>HAND</t>
  </si>
  <si>
    <t>HARD PALATE</t>
  </si>
  <si>
    <t>HEAD AND NECK</t>
  </si>
  <si>
    <t>HEAD OF THE FIBULA</t>
  </si>
  <si>
    <t>HEAD OF THE HUMERUS</t>
  </si>
  <si>
    <t>HEAD</t>
  </si>
  <si>
    <t>HEART</t>
  </si>
  <si>
    <t>HEART, APEX</t>
  </si>
  <si>
    <t>HEART, ATRIUM</t>
  </si>
  <si>
    <t>HEART, BASE</t>
  </si>
  <si>
    <t>HEART, FORAMEN OVALE</t>
  </si>
  <si>
    <t>HEART, LEFT ATRIAL APPENDAGE</t>
  </si>
  <si>
    <t>HEART, LEFT ATRIUM</t>
  </si>
  <si>
    <t>HEART, LEFT VENTRICLE</t>
  </si>
  <si>
    <t>HEART, LEFT VENTRICULAR OUTFLOW TRACT</t>
  </si>
  <si>
    <t>HEART, LEFT VENTRICULAR WALL</t>
  </si>
  <si>
    <t>HEART, RIGHT ATRIAL APPENDAGE</t>
  </si>
  <si>
    <t>HEART, RIGHT ATRIUM</t>
  </si>
  <si>
    <t>HEART, RIGHT VENTRICLE</t>
  </si>
  <si>
    <t>HEART, RIGHT VENTRICULAR FREE WALL</t>
  </si>
  <si>
    <t>HEART, RIGHT VENTRICULAR OUTFLOW TRACT</t>
  </si>
  <si>
    <t>HEART, RIGHT VENTRICULAR WALL</t>
  </si>
  <si>
    <t>HEART, SEPTUM</t>
  </si>
  <si>
    <t>HEART, VENTRICLE</t>
  </si>
  <si>
    <t>HEART, VENTRICULAR CHAMBER</t>
  </si>
  <si>
    <t>HEART, VENTRICULAR WALL</t>
  </si>
  <si>
    <t>HEEL OF THE FOOT</t>
  </si>
  <si>
    <t>HEEL OF THE HAND</t>
  </si>
  <si>
    <t>HEPATIC ARTERY</t>
  </si>
  <si>
    <t>HEPATIC LYMPH NODE</t>
  </si>
  <si>
    <t>HEPATIC VEIN</t>
  </si>
  <si>
    <t>HEPATOBILIARY SYSTEM</t>
  </si>
  <si>
    <t>HILAR LYMPH NODE</t>
  </si>
  <si>
    <t>HILAR</t>
  </si>
  <si>
    <t>HINDLIMB</t>
  </si>
  <si>
    <t>HINDPAW PHALANX</t>
  </si>
  <si>
    <t>HIP ADDUCTORS</t>
  </si>
  <si>
    <t>HIP FLEXOR MUSCLES</t>
  </si>
  <si>
    <t>HIP JOINT</t>
  </si>
  <si>
    <t>HIP</t>
  </si>
  <si>
    <t>HIPPOCAMPUS</t>
  </si>
  <si>
    <t>HUMERAL EPICONDYLE</t>
  </si>
  <si>
    <t>HUMERUS SHAFT</t>
  </si>
  <si>
    <t>HUMERUS</t>
  </si>
  <si>
    <t>HYMENAL RING</t>
  </si>
  <si>
    <t>HYOID BONE</t>
  </si>
  <si>
    <t>HYPOGLOSSAL NERVE</t>
  </si>
  <si>
    <t>HYPOPHARYNX</t>
  </si>
  <si>
    <t>HYPOTHALAMUS</t>
  </si>
  <si>
    <t>ILEOCECAL JUNCTION</t>
  </si>
  <si>
    <t>ILEUM LYMPH NODE</t>
  </si>
  <si>
    <t>ILEUM WALL</t>
  </si>
  <si>
    <t>ILEUM</t>
  </si>
  <si>
    <t>ILEUM, TERMINAL</t>
  </si>
  <si>
    <t>ILIAC CREST</t>
  </si>
  <si>
    <t>ILIAC FOSSA</t>
  </si>
  <si>
    <t>ILIAC LYMPH NODE</t>
  </si>
  <si>
    <t>ILIAC VEIN</t>
  </si>
  <si>
    <t>ILIOPSOAS MUSCLE</t>
  </si>
  <si>
    <t>ILIOTIBIAL BAND</t>
  </si>
  <si>
    <t>ILIUM</t>
  </si>
  <si>
    <t>INCISOR</t>
  </si>
  <si>
    <t>INCUS</t>
  </si>
  <si>
    <t>INFERIOR MEDIASTINAL LYMPH NODE</t>
  </si>
  <si>
    <t>INFERIOR PUBIC RAMUS</t>
  </si>
  <si>
    <t>INFERIOR TEMPORAL GYRUS</t>
  </si>
  <si>
    <t>INFERIOR VENA CAVA</t>
  </si>
  <si>
    <t>INFRACLAVICULAR LYMPH NODE</t>
  </si>
  <si>
    <t>INFRARENAL AORTA</t>
  </si>
  <si>
    <t>INFRASPINATUS MUSCLE</t>
  </si>
  <si>
    <t>INFRATENTORIAL BRAIN</t>
  </si>
  <si>
    <t>INGUINAL LYMPH NODE</t>
  </si>
  <si>
    <t>INGUINAL REGION</t>
  </si>
  <si>
    <t>INSULAR CORTEX</t>
  </si>
  <si>
    <t>INTERATRIAL SEPTUM</t>
  </si>
  <si>
    <t>INTERNAL ILIAC ARTERY</t>
  </si>
  <si>
    <t>INTERNAL ILIAC LYMPH NODE</t>
  </si>
  <si>
    <t>INTERNAL MAMMARY ARTERY</t>
  </si>
  <si>
    <t>INTERNAL MAMMARY LYMPH NODE</t>
  </si>
  <si>
    <t>INTERPARIETAL BONE</t>
  </si>
  <si>
    <t>INTERPHALANGEAL JOINT 1 OF THE FOOT</t>
  </si>
  <si>
    <t>INTERPHALANGEAL JOINT 1</t>
  </si>
  <si>
    <t>INTERPHALANGEAL JOINT 2 OF THE FOOT</t>
  </si>
  <si>
    <t>INTERPHALANGEAL JOINT 2 OF THE HAND</t>
  </si>
  <si>
    <t>INTERPHALANGEAL JOINT 2</t>
  </si>
  <si>
    <t>INTERPHALANGEAL JOINT 3 OF THE FOOT</t>
  </si>
  <si>
    <t>INTERPHALANGEAL JOINT 3 OF THE HAND</t>
  </si>
  <si>
    <t>INTERPHALANGEAL JOINT 3</t>
  </si>
  <si>
    <t>INTERPHALANGEAL JOINT 4 OF THE FOOT</t>
  </si>
  <si>
    <t>INTERPHALANGEAL JOINT 4 OF THE HAND</t>
  </si>
  <si>
    <t>INTERPHALANGEAL JOINT 4</t>
  </si>
  <si>
    <t>INTERPHALANGEAL JOINT 5 OF THE FOOT</t>
  </si>
  <si>
    <t>INTERPHALANGEAL JOINT 5 OF THE HAND</t>
  </si>
  <si>
    <t>INTERPHALANGEAL JOINT 5</t>
  </si>
  <si>
    <t>INTERPHALANGEAL JOINT OF THE HAND</t>
  </si>
  <si>
    <t>INTERPHALANGEAL OF THE FOOT</t>
  </si>
  <si>
    <t>INTERPHALANGEAL THUMB JOINT</t>
  </si>
  <si>
    <t>INTERTROCHANTERIC REGION</t>
  </si>
  <si>
    <t>INTERVENTRICULAR SEPTUM</t>
  </si>
  <si>
    <t>INTESTINAL WALL</t>
  </si>
  <si>
    <t>INTESTINE</t>
  </si>
  <si>
    <t>INTRAHEPATIC BILE DUCT</t>
  </si>
  <si>
    <t>INTRAHEPATIC LARGE BILE DUCT</t>
  </si>
  <si>
    <t>INTRATHORACIC LYMPH NODE</t>
  </si>
  <si>
    <t>IRIS</t>
  </si>
  <si>
    <t>ISCHIAL TUBEROSITY</t>
  </si>
  <si>
    <t>ISCHIORECTAL FOSSA</t>
  </si>
  <si>
    <t>ISCHIUM</t>
  </si>
  <si>
    <t>JAW</t>
  </si>
  <si>
    <t>JEJUNUM</t>
  </si>
  <si>
    <t>JOINT</t>
  </si>
  <si>
    <t>JUGULAR VEIN</t>
  </si>
  <si>
    <t>KIDNEY INTERPOLAR REGION</t>
  </si>
  <si>
    <t>KIDNEY</t>
  </si>
  <si>
    <t>KIDNEY, CORTEX</t>
  </si>
  <si>
    <t>KIDNEY, HILUM</t>
  </si>
  <si>
    <t>KIDNEY, LOWER POLE</t>
  </si>
  <si>
    <t>KIDNEY, MEDULLA</t>
  </si>
  <si>
    <t>KIDNEY, UPPER POLE</t>
  </si>
  <si>
    <t>KNEE FLEXOR MUSCLES</t>
  </si>
  <si>
    <t>KNEE JOINT TENDONS</t>
  </si>
  <si>
    <t>KNEE JOINT</t>
  </si>
  <si>
    <t>L1 VERTEBRA</t>
  </si>
  <si>
    <t>L2 VERTEBRA</t>
  </si>
  <si>
    <t>L2-L3 INTERVERTEBRAL SPACE</t>
  </si>
  <si>
    <t>L3 VERTEBRA</t>
  </si>
  <si>
    <t>L3-L4 INTERVERTEBRAL SPACE</t>
  </si>
  <si>
    <t>L4 VERTEBRA</t>
  </si>
  <si>
    <t>L4-L5 INTERVERTEBRAL SPACE</t>
  </si>
  <si>
    <t>L5 VERTEBRA</t>
  </si>
  <si>
    <t>L5-S1 INTERVERTEBRAL SPACE</t>
  </si>
  <si>
    <t>L6 VERTEBRA</t>
  </si>
  <si>
    <t>LACRIMAL BONE</t>
  </si>
  <si>
    <t>LACRIMAL GLAND</t>
  </si>
  <si>
    <t>LAD SEPTAL PERFORATOR ARTERY</t>
  </si>
  <si>
    <t>LARGE INTESTINE</t>
  </si>
  <si>
    <t>LARYNX</t>
  </si>
  <si>
    <t>LATERAL FIRST DIAGONAL BRANCH ARTERY</t>
  </si>
  <si>
    <t>LATERAL FIRST OBTUSE MARGINAL BRANCH ARTERY</t>
  </si>
  <si>
    <t>LATERAL HUMERAL EPICONDYLE</t>
  </si>
  <si>
    <t>LATERAL RAMUS INTERMEDIUS ARTERY</t>
  </si>
  <si>
    <t>LATERAL SECOND DIAGONAL BRANCH ARTERY</t>
  </si>
  <si>
    <t>LATERAL SECOND OBTUSE MARGINAL BRANCH ARTERY</t>
  </si>
  <si>
    <t>LATERAL THIRD DIAGONAL BRANCH ARTERY</t>
  </si>
  <si>
    <t>LATERAL THIRD OBTUSE MARGINAL BRANCH ARTERY</t>
  </si>
  <si>
    <t>LATISSIMUS DORSI MUSCLE</t>
  </si>
  <si>
    <t>LEFT ANTERIOR DESCENDING ARTERY OSTIUM</t>
  </si>
  <si>
    <t>LEFT ATRIOVENTRICULAR ARTERY</t>
  </si>
  <si>
    <t>LEFT CIRCUMFLEX ARTERY OSTIUM</t>
  </si>
  <si>
    <t>LEFT CIRCUMFLEX CORONARY ARTERY</t>
  </si>
  <si>
    <t>LEFT MAIN CORONARY ARTERY BIFURCATION</t>
  </si>
  <si>
    <t>LEFT MAIN CORONARY ARTERY BODY</t>
  </si>
  <si>
    <t>LEFT MAIN CORONARY ARTERY OSTIUM</t>
  </si>
  <si>
    <t>LEFT POSTERIOR DESCENDING ARTERY</t>
  </si>
  <si>
    <t>LEFT POSTEROLATERAL DESCENDING ARTERY</t>
  </si>
  <si>
    <t>LEFT VENTRICULAR APEX SEGMENT</t>
  </si>
  <si>
    <t>LEFT VENTRICULAR APICAL ANTERIOR SEGMENT</t>
  </si>
  <si>
    <t>LEFT VENTRICULAR APICAL INFERIOR SEGMENT</t>
  </si>
  <si>
    <t>LEFT VENTRICULAR APICAL LATERAL SEGMENT</t>
  </si>
  <si>
    <t>LEFT VENTRICULAR APICAL SEPTAL SEGMENT</t>
  </si>
  <si>
    <t>LEFT VENTRICULAR BASAL ANTERIOR SEGMENT</t>
  </si>
  <si>
    <t>LEFT VENTRICULAR BASAL ANTEROLATERAL SEGMENT</t>
  </si>
  <si>
    <t>LEFT VENTRICULAR BASAL ANTEROSEPTAL SEGMENT</t>
  </si>
  <si>
    <t>LEFT VENTRICULAR BASAL INFERIOR SEGMENT</t>
  </si>
  <si>
    <t>LEFT VENTRICULAR BASAL INFEROLATERAL SEGMENT</t>
  </si>
  <si>
    <t>LEFT VENTRICULAR BASAL INFEROSEPTAL SEGMENT</t>
  </si>
  <si>
    <t>LEFT VENTRICULAR EPICARDIUM</t>
  </si>
  <si>
    <t>LEFT VENTRICULAR MID ANTERIOR SEGMENT</t>
  </si>
  <si>
    <t>LEFT VENTRICULAR MID ANTEROLATERAL SEGMENT</t>
  </si>
  <si>
    <t>LEFT VENTRICULAR MID ANTEROSEPTAL SEGMENT</t>
  </si>
  <si>
    <t>LEFT VENTRICULAR MID INFERIOR SEGMENT</t>
  </si>
  <si>
    <t>LEFT VENTRICULAR MID INFEROLATERAL SEGMENT</t>
  </si>
  <si>
    <t>LEFT VENTRICULAR MID INFEROSEPTAL SEGMENT</t>
  </si>
  <si>
    <t>LEG SKIN</t>
  </si>
  <si>
    <t>LEG</t>
  </si>
  <si>
    <t>LEPTOMENINGES</t>
  </si>
  <si>
    <t>LESSER CURVATURE OF THE STOMACH</t>
  </si>
  <si>
    <t>LESSER TROCHANTER</t>
  </si>
  <si>
    <t>LIGAMENT</t>
  </si>
  <si>
    <t>LIMB</t>
  </si>
  <si>
    <t>LIMB, LOWER</t>
  </si>
  <si>
    <t>LIMB, UPPER</t>
  </si>
  <si>
    <t>LINGULA OF THE LUNG</t>
  </si>
  <si>
    <t>LIP</t>
  </si>
  <si>
    <t>LIP, LOWER</t>
  </si>
  <si>
    <t>LIP, UPPER</t>
  </si>
  <si>
    <t>LIVER FISSURE</t>
  </si>
  <si>
    <t>LIVER LOBE</t>
  </si>
  <si>
    <t>LIVER</t>
  </si>
  <si>
    <t>LIVER, CAUDATE LOBE</t>
  </si>
  <si>
    <t>LIVER, LEFT LOBE ANTEROLATERAL SEGMENT</t>
  </si>
  <si>
    <t>LIVER, LEFT LOBE INFEROMEDIAL SEGMENT</t>
  </si>
  <si>
    <t>LIVER, LEFT LOBE POSTEROLATERAL SEGMENT</t>
  </si>
  <si>
    <t>LIVER, LEFT LOBE SUPEROMEDIAL SEGMENT</t>
  </si>
  <si>
    <t>LIVER, LEFT LOBE</t>
  </si>
  <si>
    <t>LIVER, QUADRATE LOBE</t>
  </si>
  <si>
    <t>LIVER, RIGHT LOBE ANTEROINFERIOR SEGMENT</t>
  </si>
  <si>
    <t>LIVER, RIGHT LOBE ANTEROSUPERIOR SEGMENT</t>
  </si>
  <si>
    <t>LIVER, RIGHT LOBE POSTEROINFERIOR SEGMENT</t>
  </si>
  <si>
    <t>LIVER, RIGHT LOBE POSTEROSUPERIOR SEGMENT</t>
  </si>
  <si>
    <t>LIVER, RIGHT LOBE</t>
  </si>
  <si>
    <t>LOCUS CERULEUS</t>
  </si>
  <si>
    <t>LOWER GASTROINTESTINAL TRACT LYMPH NODE</t>
  </si>
  <si>
    <t>LOWER JUGULAR LYMPH NODE</t>
  </si>
  <si>
    <t>LOWER RESPIRATORY SYSTEM</t>
  </si>
  <si>
    <t>LUMBAR REGION</t>
  </si>
  <si>
    <t>LUMBAR SPINE</t>
  </si>
  <si>
    <t>LUMBAR VERTEBRA</t>
  </si>
  <si>
    <t>LUMBOSACRAL SPINE</t>
  </si>
  <si>
    <t>LUMBRICAL MUSCLES OF THE FOOT</t>
  </si>
  <si>
    <t>LUMBRICAL MUSCLES OF THE HAND</t>
  </si>
  <si>
    <t>LUNATE BONE</t>
  </si>
  <si>
    <t>LUNG LOBE</t>
  </si>
  <si>
    <t>LUNG</t>
  </si>
  <si>
    <t>LUNG, HILUM</t>
  </si>
  <si>
    <t>LUNG, LEFT LOWER LOBE</t>
  </si>
  <si>
    <t>LUNG, LEFT UPPER LOBE</t>
  </si>
  <si>
    <t>LUNG, LEFT</t>
  </si>
  <si>
    <t>LUNG, LEFT, INFERIOR LOBE, ANTERIOR BASAL SEGMENT</t>
  </si>
  <si>
    <t>LUNG, LEFT, INFERIOR LOBE, LATERAL BASAL SEGMENT</t>
  </si>
  <si>
    <t>LUNG, LEFT, INFERIOR LOBE, MEDIAL BASAL SEGMENT</t>
  </si>
  <si>
    <t>LUNG, LEFT, INFERIOR LOBE, POSTERIOR BASAL SEGMENT</t>
  </si>
  <si>
    <t>LUNG, LEFT, INFERIOR LOBE, SUPERIOR SEGMENT</t>
  </si>
  <si>
    <t>LUNG, LEFT, SUPERIOR LOBE, ANTERIOR SEGMENT</t>
  </si>
  <si>
    <t>LUNG, LEFT, SUPERIOR LOBE, APICOPOSTERIOR SEGMENT</t>
  </si>
  <si>
    <t>LUNG, LEFT, SUPERIOR LOBE, INFERIOR LINGULAR SEGMENT</t>
  </si>
  <si>
    <t>LUNG, LEFT, SUPERIOR LOBE, SUPERIOR LINGULAR SEGMENT</t>
  </si>
  <si>
    <t>LUNG, RIGHT LOWER LOBE</t>
  </si>
  <si>
    <t>LUNG, RIGHT MIDDLE LOBE</t>
  </si>
  <si>
    <t>LUNG, RIGHT UPPER LOBE</t>
  </si>
  <si>
    <t>LUNG, RIGHT</t>
  </si>
  <si>
    <t>LUNG, RIGHT, INFERIOR LOBE, ANTERIOR BASAL SEGMENT</t>
  </si>
  <si>
    <t>LUNG, RIGHT, INFERIOR LOBE, LATERAL BASAL SEGMENT</t>
  </si>
  <si>
    <t>LUNG, RIGHT, INFERIOR LOBE, MEDIAL BASAL SEGMENT</t>
  </si>
  <si>
    <t>LUNG, RIGHT, INFERIOR LOBE, POSTERIOR BASAL SEGMENT</t>
  </si>
  <si>
    <t>LUNG, RIGHT, INFERIOR LOBE, SUPERIOR SEGMENT</t>
  </si>
  <si>
    <t>LUNG, RIGHT, MIDDLE LOBE, LATERAL SEGMENT</t>
  </si>
  <si>
    <t>LUNG, RIGHT, MIDDLE LOBE, MEDIAL SEGMENT</t>
  </si>
  <si>
    <t>LUNG, RIGHT, SUPERIOR LOBE, ANTERIOR SEGMENT</t>
  </si>
  <si>
    <t>LUNG, RIGHT, SUPERIOR LOBE, APICAL SEGMENT</t>
  </si>
  <si>
    <t>LUNG, RIGHT, SUPERIOR LOBE, POSTERIOR SEGMENT</t>
  </si>
  <si>
    <t>LYMPH NODE HILUM</t>
  </si>
  <si>
    <t>LYMPH NODE</t>
  </si>
  <si>
    <t>MACULA</t>
  </si>
  <si>
    <t>MAIN BRONCHUS, LEFT</t>
  </si>
  <si>
    <t>MAIN BRONCHUS, RIGHT</t>
  </si>
  <si>
    <t>MALE GENITALIA</t>
  </si>
  <si>
    <t>MALE REPRODUCTIVE SYSTEM</t>
  </si>
  <si>
    <t>MALLEUS</t>
  </si>
  <si>
    <t>MAMMARY GLAND</t>
  </si>
  <si>
    <t>MANDIBLE</t>
  </si>
  <si>
    <t>MASSETER MUSCLE</t>
  </si>
  <si>
    <t>MASTOID PROCESS</t>
  </si>
  <si>
    <t>MAXILLA</t>
  </si>
  <si>
    <t>MAXILLARY SINUS</t>
  </si>
  <si>
    <t>MEDIAL FEMORAL CONDYLE</t>
  </si>
  <si>
    <t>MEDIAN BASILIC VEIN</t>
  </si>
  <si>
    <t>MEDIAN NERVE</t>
  </si>
  <si>
    <t>MEDIAN OR LOWER CERVICAL LYMPH NODE</t>
  </si>
  <si>
    <t>MEDIASTINAL LYMPH NODE</t>
  </si>
  <si>
    <t>MEDIASTINAL SOFT TISSUE</t>
  </si>
  <si>
    <t>MEDIASTINUM</t>
  </si>
  <si>
    <t>MEDIASTINUM, ANTERIOR</t>
  </si>
  <si>
    <t>MEDIASTINUM, MIDDLE</t>
  </si>
  <si>
    <t>MEDIASTINUM, POSTERIOR</t>
  </si>
  <si>
    <t>MEDIASTINUM, SUPERIOR</t>
  </si>
  <si>
    <t>MEDULLA OBLONGATA</t>
  </si>
  <si>
    <t>MENINGES</t>
  </si>
  <si>
    <t>MENTALIS MUSCLE</t>
  </si>
  <si>
    <t>MESENTERIC ARTERY</t>
  </si>
  <si>
    <t>MESENTERIC LYMPH NODE</t>
  </si>
  <si>
    <t>MESENTERIC VEIN</t>
  </si>
  <si>
    <t>MESENTERY</t>
  </si>
  <si>
    <t>MESOTHELIUM</t>
  </si>
  <si>
    <t>METACARPAL 1 BASE</t>
  </si>
  <si>
    <t>METACARPAL BONE 1</t>
  </si>
  <si>
    <t>METACARPAL BONE 2</t>
  </si>
  <si>
    <t>METACARPAL BONE 3</t>
  </si>
  <si>
    <t>METACARPAL BONE 4</t>
  </si>
  <si>
    <t>METACARPAL BONE 5</t>
  </si>
  <si>
    <t>METACARPAL BONE</t>
  </si>
  <si>
    <t>METACARPOPHALANGEAL JOINT 1</t>
  </si>
  <si>
    <t>METACARPOPHALANGEAL JOINT 2</t>
  </si>
  <si>
    <t>METACARPOPHALANGEAL JOINT 3</t>
  </si>
  <si>
    <t>METACARPOPHALANGEAL JOINT 4</t>
  </si>
  <si>
    <t>METACARPOPHALANGEAL JOINT 5</t>
  </si>
  <si>
    <t>METATARSAL BONE</t>
  </si>
  <si>
    <t>METATARSOPHALANGEAL JOINT 1</t>
  </si>
  <si>
    <t>METATARSOPHALANGEAL JOINT 2</t>
  </si>
  <si>
    <t>METATARSOPHALANGEAL JOINT 3</t>
  </si>
  <si>
    <t>METATARSOPHALANGEAL JOINT 4</t>
  </si>
  <si>
    <t>METATARSOPHALANGEAL JOINT 5</t>
  </si>
  <si>
    <t>METATARSOPHALANGEAL JOINT</t>
  </si>
  <si>
    <t>MID-CIRCUMFLEX ARTERY</t>
  </si>
  <si>
    <t>MID-JUGULAR LYMPH NODE</t>
  </si>
  <si>
    <t>MID-LAD ARTERY</t>
  </si>
  <si>
    <t>MID-RIGHT CORONARY ARTERY CONDUIT</t>
  </si>
  <si>
    <t>MID/DISTAL LEFT ANTERIOR DESCENDING CORONARY ARTERY AND ALL DIAGONAL CORONARY BRANCHES</t>
  </si>
  <si>
    <t>MIDBRAIN</t>
  </si>
  <si>
    <t>MIDDLE EAR</t>
  </si>
  <si>
    <t>MIDDLE FRONTAL GYRUS</t>
  </si>
  <si>
    <t>MIDDLE PHALANX 2 OF THE HAND</t>
  </si>
  <si>
    <t>MIDDLE PHALANX 3 OF THE HAND</t>
  </si>
  <si>
    <t>MIDDLE PHALANX 4 OF THE HAND</t>
  </si>
  <si>
    <t>MIDDLE PHALANX 5 OF THE HAND</t>
  </si>
  <si>
    <t>MIDDLE TEMPORAL GYRUS</t>
  </si>
  <si>
    <t>MITRAL VALVE ANNULUS</t>
  </si>
  <si>
    <t>MITRAL VALVE</t>
  </si>
  <si>
    <t>MITRAL VALVE, ANTERIOR ANNULUS</t>
  </si>
  <si>
    <t>MITRAL VALVE, ANTERIOR CUSP</t>
  </si>
  <si>
    <t>MITRAL VALVE, POSTERIOR ANNULUS</t>
  </si>
  <si>
    <t>MITRAL VALVE, POSTERIOR CUSP</t>
  </si>
  <si>
    <t>MOTOR CORTEX</t>
  </si>
  <si>
    <t>MUCOSA OF THE LIP</t>
  </si>
  <si>
    <t>MUCOSA</t>
  </si>
  <si>
    <t>MUSCLE</t>
  </si>
  <si>
    <t>MUSCULOSKELETAL SYSTEM</t>
  </si>
  <si>
    <t>MYOMETRIUM</t>
  </si>
  <si>
    <t>NAIL BED</t>
  </si>
  <si>
    <t>NAIL</t>
  </si>
  <si>
    <t>NASAL BONE</t>
  </si>
  <si>
    <t>NASAL CAVITY</t>
  </si>
  <si>
    <t>NASAL SEPTUM</t>
  </si>
  <si>
    <t>NASAL SOFT TISSUE</t>
  </si>
  <si>
    <t>NASOPHARYNX</t>
  </si>
  <si>
    <t>NAVICULAR BONE</t>
  </si>
  <si>
    <t>NECK</t>
  </si>
  <si>
    <t>NERVE</t>
  </si>
  <si>
    <t>NIPPLE</t>
  </si>
  <si>
    <t>NOSE</t>
  </si>
  <si>
    <t>NOSTRIL</t>
  </si>
  <si>
    <t>NUCHAL LYMPH NODE</t>
  </si>
  <si>
    <t>NUCLEUS ACCUMBENS</t>
  </si>
  <si>
    <t>NUCLEUS OF DIAGONAL BAND</t>
  </si>
  <si>
    <t>OBTURATOR EXTERNUS MUSCLE</t>
  </si>
  <si>
    <t>OBTURATOR INTERNUS MUSCLE</t>
  </si>
  <si>
    <t>OBTURATOR LYMPH NODE</t>
  </si>
  <si>
    <t>OBTURATOR MUSCLE</t>
  </si>
  <si>
    <t>OCCIPITAL BONE</t>
  </si>
  <si>
    <t>OCCIPITAL LOBE</t>
  </si>
  <si>
    <t>OCCIPITAL LYMPH NODE</t>
  </si>
  <si>
    <t>OCCIPITAL SCALP</t>
  </si>
  <si>
    <t>OCULOMOTOR NERVE</t>
  </si>
  <si>
    <t>OLECRANON</t>
  </si>
  <si>
    <t>OLFACTORY BULB</t>
  </si>
  <si>
    <t>OLFACTORY MUCOSA</t>
  </si>
  <si>
    <t>OLFACTORY NERVE</t>
  </si>
  <si>
    <t>OMENTUM</t>
  </si>
  <si>
    <t>OPHTHALMIC ARTERY</t>
  </si>
  <si>
    <t>OPPONENS POLLICIS MUSCLE</t>
  </si>
  <si>
    <t>OPTIC CHIASM</t>
  </si>
  <si>
    <t>OPTIC DISC</t>
  </si>
  <si>
    <t>OPTIC NERVE</t>
  </si>
  <si>
    <t>ORAL CAVITY</t>
  </si>
  <si>
    <t>ORAL MUCOSA</t>
  </si>
  <si>
    <t>ORBICULARIS OCULI MUSCLE</t>
  </si>
  <si>
    <t>ORBIT</t>
  </si>
  <si>
    <t>OROPHARYNGEAL SOFT TISSUE</t>
  </si>
  <si>
    <t>OROPHARYNX</t>
  </si>
  <si>
    <t>OSTIOMEATAL COMPLEX</t>
  </si>
  <si>
    <t>OVARIAN FOLLICLE</t>
  </si>
  <si>
    <t>OVARY</t>
  </si>
  <si>
    <t>PALATAL RUGAE</t>
  </si>
  <si>
    <t>PALATE</t>
  </si>
  <si>
    <t>PALATINE BONE</t>
  </si>
  <si>
    <t>PALATINE UVULA</t>
  </si>
  <si>
    <t>PALM</t>
  </si>
  <si>
    <t>PALMAR DIGITAL ARTERY</t>
  </si>
  <si>
    <t>PALPEBRAL CONJUNCTIVA</t>
  </si>
  <si>
    <t>PALPEBRAL FISSURE</t>
  </si>
  <si>
    <t>PANCREAS</t>
  </si>
  <si>
    <t>PANCREAS, BODY</t>
  </si>
  <si>
    <t>PANCREAS, ENDOCRINE</t>
  </si>
  <si>
    <t>PANCREAS, EXOCRINE</t>
  </si>
  <si>
    <t>PANCREAS, HEAD</t>
  </si>
  <si>
    <t>PANCREAS, NECK</t>
  </si>
  <si>
    <t>PANCREAS, TAIL</t>
  </si>
  <si>
    <t>PANCREATIC DUCT</t>
  </si>
  <si>
    <t>PAPILLARY MUSCLE</t>
  </si>
  <si>
    <t>PARA-AORTIC LYMPH NODE</t>
  </si>
  <si>
    <t>PARACAVAL LYMPH NODE</t>
  </si>
  <si>
    <t>PARACOLIC GUTTER</t>
  </si>
  <si>
    <t>PARALARYNGEAL LYMPH NODE</t>
  </si>
  <si>
    <t>PARAMETRIUM</t>
  </si>
  <si>
    <t>PARANASAL SINUS</t>
  </si>
  <si>
    <t>PARAPHARYNGEAL LYMPH NODE</t>
  </si>
  <si>
    <t>PARASPINAL MUSCLES</t>
  </si>
  <si>
    <t>PARASPINAL REGION</t>
  </si>
  <si>
    <t>PARASYMPATHETIC GANGLIA</t>
  </si>
  <si>
    <t>PARATHYROID GLAND</t>
  </si>
  <si>
    <t>PARATRACHEAL LYMPH NODE</t>
  </si>
  <si>
    <t>PARATRACHEAL LYMPH NODE, UPPER</t>
  </si>
  <si>
    <t>PARAVERTEBRAL GANGLIA</t>
  </si>
  <si>
    <t>PARIETAL BONE</t>
  </si>
  <si>
    <t>PARIETAL LOBE</t>
  </si>
  <si>
    <t>PAROTID GLAND LYMPH NODE</t>
  </si>
  <si>
    <t>PAROTID GLAND</t>
  </si>
  <si>
    <t>PARS COMPACTA</t>
  </si>
  <si>
    <t>PATELLA</t>
  </si>
  <si>
    <t>PATELLAR TENDON</t>
  </si>
  <si>
    <t>PAW</t>
  </si>
  <si>
    <t>PECTORAL LYMPH NODE</t>
  </si>
  <si>
    <t>PECTORALIS MAJOR MUSCLE</t>
  </si>
  <si>
    <t>PECTORALIS MINOR MUSCLE</t>
  </si>
  <si>
    <t>PELVIC BONE</t>
  </si>
  <si>
    <t>PELVIC LYMPH NODE</t>
  </si>
  <si>
    <t>PELVIC SIDEWALL</t>
  </si>
  <si>
    <t>PELVIS</t>
  </si>
  <si>
    <t>PENILE ARTERY</t>
  </si>
  <si>
    <t>PENIS</t>
  </si>
  <si>
    <t>PENIS, BODY</t>
  </si>
  <si>
    <t>PENIS, GLANS</t>
  </si>
  <si>
    <t>PENIS, RADIX</t>
  </si>
  <si>
    <t>PERI-ORBITAL SOFT TISSUE</t>
  </si>
  <si>
    <t>PERIANAL REGION</t>
  </si>
  <si>
    <t>PERICARDIAL CAVITY</t>
  </si>
  <si>
    <t>PERICARDIAL LYMPH NODE</t>
  </si>
  <si>
    <t>PERICARDIAL WALL</t>
  </si>
  <si>
    <t>PERICARDIUM</t>
  </si>
  <si>
    <t>PERIFACIAL LYMPH NODE</t>
  </si>
  <si>
    <t>PERIHILAR LYMPH NODE</t>
  </si>
  <si>
    <t>PERIMENINGEAL SPACE</t>
  </si>
  <si>
    <t>PERINEUM</t>
  </si>
  <si>
    <t>PERIPANCREATIC LYMPH NODE</t>
  </si>
  <si>
    <t>PERIPHERAL NERVE</t>
  </si>
  <si>
    <t>PERIRECTAL LYMPH NODE</t>
  </si>
  <si>
    <t>PERITONEAL CAVITY</t>
  </si>
  <si>
    <t>PERITONEAL LYMPH NODE</t>
  </si>
  <si>
    <t>PERITONEUM</t>
  </si>
  <si>
    <t>PERIUMBILICAL REGION</t>
  </si>
  <si>
    <t>PERIURETERAL REGION</t>
  </si>
  <si>
    <t>PERIURETHRAL REGION</t>
  </si>
  <si>
    <t>PERIVESICAL REGION</t>
  </si>
  <si>
    <t>PERONEAL ARTERY</t>
  </si>
  <si>
    <t>PERONEAL NERVE</t>
  </si>
  <si>
    <t>PERONEUS BREVIS MUSCLE</t>
  </si>
  <si>
    <t>PERONEUS LONGUS MUSCLE</t>
  </si>
  <si>
    <t>PHARYNGEAL TONSIL</t>
  </si>
  <si>
    <t>PHARYNX</t>
  </si>
  <si>
    <t>PINEAL GLAND</t>
  </si>
  <si>
    <t>PISIFORM BONE</t>
  </si>
  <si>
    <t>PITUITARY GLAND</t>
  </si>
  <si>
    <t>PLACENTA</t>
  </si>
  <si>
    <t>PLANTAR FLEXOR MUSCLES</t>
  </si>
  <si>
    <t>PLEURA</t>
  </si>
  <si>
    <t>PLEURAL CAVITY</t>
  </si>
  <si>
    <t>PONS VAROLII</t>
  </si>
  <si>
    <t>POPLITEAL ARTERY ABOVE KNEE</t>
  </si>
  <si>
    <t>POPLITEAL ARTERY BELOW KNEE</t>
  </si>
  <si>
    <t>POPLITEAL FOSSA</t>
  </si>
  <si>
    <t>POPLITEAL LYMPH NODE</t>
  </si>
  <si>
    <t>POPLITEAL VEIN</t>
  </si>
  <si>
    <t>PORTA HEPATIS LYMPH NODE</t>
  </si>
  <si>
    <t>PORTACAVAL LYMPH NODE</t>
  </si>
  <si>
    <t>PORTAL LYMPH NODE</t>
  </si>
  <si>
    <t>PORTAL VEIN BIFURCATION</t>
  </si>
  <si>
    <t>PORTAL VEIN</t>
  </si>
  <si>
    <t>POSTCENTRAL GYRUS</t>
  </si>
  <si>
    <t>POSTERIOR CERVICAL LYMPH NODE</t>
  </si>
  <si>
    <t>POSTERIOR CINGULATE CORTEX</t>
  </si>
  <si>
    <t>POSTERIOR DESCENDING SEPTAL PERFORATORS ARTERY</t>
  </si>
  <si>
    <t>POSTERIOR INFERIOR CEREBELLAR ARTERY</t>
  </si>
  <si>
    <t>POSTERIOR POLE OF THE EYE</t>
  </si>
  <si>
    <t>POSTERIOR SUPERIOR ILIAC SPINE</t>
  </si>
  <si>
    <t>POSTERIOR TIBIAL ARTERY</t>
  </si>
  <si>
    <t>POSTERIOR TIBIAL VEIN</t>
  </si>
  <si>
    <t>POSTEROLATERAL SEGMENTAL ARTERY</t>
  </si>
  <si>
    <t>PREAURICULAR LYMPH NODE</t>
  </si>
  <si>
    <t>PRECENTRAL GYRUS</t>
  </si>
  <si>
    <t>PRECUNEUS</t>
  </si>
  <si>
    <t>PREFRONTAL CORTEX</t>
  </si>
  <si>
    <t>PRELARYNGEAL LYMPH NODE</t>
  </si>
  <si>
    <t>PREMAXILLA BONE</t>
  </si>
  <si>
    <t>PREPUTIAL GLAND</t>
  </si>
  <si>
    <t>PRESACRAL LYMPH NODE</t>
  </si>
  <si>
    <t>PRESACRAL SPACE</t>
  </si>
  <si>
    <t>PRESPHENOID BONE</t>
  </si>
  <si>
    <t>PRETRACHEAL LYMPH NODE</t>
  </si>
  <si>
    <t>PRIMARY VISUAL CORTEX</t>
  </si>
  <si>
    <t>PROCERUS MUSCLE</t>
  </si>
  <si>
    <t>PROFUNDA FEMORIS ARTERY</t>
  </si>
  <si>
    <t>PROFUNDA FEMORIS VEIN</t>
  </si>
  <si>
    <t>PRONATOR QUADRATUS MUSCLE</t>
  </si>
  <si>
    <t>PRONATOR TERES MUSCLE</t>
  </si>
  <si>
    <t>PROSTATE GLAND</t>
  </si>
  <si>
    <t>PROSTATE GLAND, LATERAL LOBE</t>
  </si>
  <si>
    <t>PROSTATE GLAND, MIDDLE LOBE</t>
  </si>
  <si>
    <t>PROSTATE GLAND, POSTERIOR LOBE</t>
  </si>
  <si>
    <t>PROXIMAL CIRCUMFLEX ARTERY</t>
  </si>
  <si>
    <t>PROXIMAL INTERPHALANGEAL JOINT 2 OF THE FOOT</t>
  </si>
  <si>
    <t>PROXIMAL INTERPHALANGEAL JOINT 2 OF THE HAND</t>
  </si>
  <si>
    <t>PROXIMAL INTERPHALANGEAL JOINT 2</t>
  </si>
  <si>
    <t>PROXIMAL INTERPHALANGEAL JOINT 3 OF THE FOOT</t>
  </si>
  <si>
    <t>PROXIMAL INTERPHALANGEAL JOINT 3 OF THE HAND</t>
  </si>
  <si>
    <t>PROXIMAL INTERPHALANGEAL JOINT 3</t>
  </si>
  <si>
    <t>PROXIMAL INTERPHALANGEAL JOINT 4 OF THE FOOT</t>
  </si>
  <si>
    <t>PROXIMAL INTERPHALANGEAL JOINT 4 OF THE HAND</t>
  </si>
  <si>
    <t>PROXIMAL INTERPHALANGEAL JOINT 4</t>
  </si>
  <si>
    <t>PROXIMAL INTERPHALANGEAL JOINT 5 OF THE FOOT</t>
  </si>
  <si>
    <t>PROXIMAL INTERPHALANGEAL JOINT 5 OF THE HAND</t>
  </si>
  <si>
    <t>PROXIMAL INTERPHALANGEAL JOINT 5</t>
  </si>
  <si>
    <t>PROXIMAL LAD ARTERY</t>
  </si>
  <si>
    <t>PROXIMAL PHALANX 1 OF THE HAND</t>
  </si>
  <si>
    <t>PROXIMAL PHALANX 2 OF THE HAND</t>
  </si>
  <si>
    <t>PROXIMAL PHALANX 3 OF THE HAND</t>
  </si>
  <si>
    <t>PROXIMAL PHALANX 4 OF THE HAND</t>
  </si>
  <si>
    <t>PROXIMAL PHALANX 5 OF THE HAND</t>
  </si>
  <si>
    <t>PROXIMAL RIGHT CORONARY ARTERY CONDUIT</t>
  </si>
  <si>
    <t>PROXIMAL URETHRA</t>
  </si>
  <si>
    <t>PUBIC BONE</t>
  </si>
  <si>
    <t>PULMONARY ARTERY BRANCH</t>
  </si>
  <si>
    <t>PULMONARY LYMPH NODE</t>
  </si>
  <si>
    <t>PULMONARY TRUNK</t>
  </si>
  <si>
    <t>PULMONARY VALVE</t>
  </si>
  <si>
    <t>PULMONARY VALVE, ANTERIOR CUSP</t>
  </si>
  <si>
    <t>PULMONARY VALVE, LEFT CUSP</t>
  </si>
  <si>
    <t>PULMONARY VALVE, RIGHT CUSP</t>
  </si>
  <si>
    <t>PULMONARY VEIN</t>
  </si>
  <si>
    <t>PUPIL</t>
  </si>
  <si>
    <t>PUTAMEN</t>
  </si>
  <si>
    <t>PYLORIC SPHINCTER</t>
  </si>
  <si>
    <t>PYLORUS</t>
  </si>
  <si>
    <t>PYRAMIDAL TRACTS, BRAINSTEM</t>
  </si>
  <si>
    <t>PYRAMIDAL TRACTS, INTERNAL CAPSULE</t>
  </si>
  <si>
    <t>QUADRICEPS MUSCLE</t>
  </si>
  <si>
    <t>RADIAL ARTERY</t>
  </si>
  <si>
    <t>RADIAL NERVE</t>
  </si>
  <si>
    <t>RADIAL SULCUS</t>
  </si>
  <si>
    <t>RADIUS SHAFT</t>
  </si>
  <si>
    <t>RADIUS</t>
  </si>
  <si>
    <t>RADIUS-LUNATE JOINT</t>
  </si>
  <si>
    <t>RAMUS INTERMEDIUS ARTERY</t>
  </si>
  <si>
    <t>RAPHE</t>
  </si>
  <si>
    <t>RECTO-UTERINE POUCH</t>
  </si>
  <si>
    <t>RECTOSIGMOID JUNCTION</t>
  </si>
  <si>
    <t>RECTOVAGINAL SPACE</t>
  </si>
  <si>
    <t>RECTUM</t>
  </si>
  <si>
    <t>RECTUS FEMORIS MUSCLE</t>
  </si>
  <si>
    <t>REGIONAL LYMPH NODE</t>
  </si>
  <si>
    <t>RENAL ARTERY</t>
  </si>
  <si>
    <t>RENAL BED</t>
  </si>
  <si>
    <t>RENAL FOSSA</t>
  </si>
  <si>
    <t>RENAL PAPILLA</t>
  </si>
  <si>
    <t>RENAL PELVIS</t>
  </si>
  <si>
    <t>RENAL VEIN</t>
  </si>
  <si>
    <t>RESPIRATORY SYSTEM</t>
  </si>
  <si>
    <t>RETINA</t>
  </si>
  <si>
    <t>RETINAL ARTERY</t>
  </si>
  <si>
    <t>RETINAL NERVE FIBER LAYER</t>
  </si>
  <si>
    <t>RETINAL PIGMENTED EPITHELIAL LAYER</t>
  </si>
  <si>
    <t>RETRO-ORBITAL REGION</t>
  </si>
  <si>
    <t>RETROAURICULAR LYMPH NODE</t>
  </si>
  <si>
    <t>RETROCRURAL LYMPH NODE</t>
  </si>
  <si>
    <t>RETROPERITONEAL LYMPH NODE</t>
  </si>
  <si>
    <t>RETROPERITONEUM</t>
  </si>
  <si>
    <t>RETROPHARYNGEAL LYMPH NODE</t>
  </si>
  <si>
    <t>RHOMBOID MAJOR MUSCLE</t>
  </si>
  <si>
    <t>RHOMBOID MINOR MUSCLE</t>
  </si>
  <si>
    <t>RIB 1</t>
  </si>
  <si>
    <t>RIB 10</t>
  </si>
  <si>
    <t>RIB 11</t>
  </si>
  <si>
    <t>RIB 12</t>
  </si>
  <si>
    <t>RIB 2</t>
  </si>
  <si>
    <t>RIB 3</t>
  </si>
  <si>
    <t>RIB 4</t>
  </si>
  <si>
    <t>RIB 5</t>
  </si>
  <si>
    <t>RIB 6</t>
  </si>
  <si>
    <t>RIB 7</t>
  </si>
  <si>
    <t>RIB 8</t>
  </si>
  <si>
    <t>RIB 9</t>
  </si>
  <si>
    <t>RIB</t>
  </si>
  <si>
    <t>RIGHT ATRIAL ENDOCARDIUM</t>
  </si>
  <si>
    <t>RIGHT CORONARY ARTERY OSTIUM</t>
  </si>
  <si>
    <t>RIGHT CORONARY ARTERY, RIGHT POSTERIOR DESCENDING, RIGHT POSTERIOLATERAL AND ACUTE MARGINAL BRANCHES</t>
  </si>
  <si>
    <t>RIGHT POSTERIOR ATRIOVENTRICULAR ARTERY</t>
  </si>
  <si>
    <t>RIGHT POSTERIOR DESCENDING ARTERY</t>
  </si>
  <si>
    <t>RIGHT VENTRICULAR BRANCH</t>
  </si>
  <si>
    <t>RIGHT VENTRICULAR ENDOCARDIUM</t>
  </si>
  <si>
    <t>ROUND LIGAMENT</t>
  </si>
  <si>
    <t>SACRAL TUBEROSITY</t>
  </si>
  <si>
    <t>SACRAL VERTEBRA</t>
  </si>
  <si>
    <t>SACROILIAC JOINT</t>
  </si>
  <si>
    <t>SACRUM</t>
  </si>
  <si>
    <t>SALIVARY GLAND</t>
  </si>
  <si>
    <t>SALIVARY GLAND, SUBLINGUAL</t>
  </si>
  <si>
    <t>SAPHENOUS VEIN</t>
  </si>
  <si>
    <t>SARTORIUS MUSCLE</t>
  </si>
  <si>
    <t>SCALENE LYMPH NODE</t>
  </si>
  <si>
    <t>SCALP</t>
  </si>
  <si>
    <t>SCAPHOID BONE</t>
  </si>
  <si>
    <t>SCAPHOID-CAPITATE JOINT</t>
  </si>
  <si>
    <t>SCAPHOID-LUNATE JOINT</t>
  </si>
  <si>
    <t>SCAPHOID-LUNATE-CAPITATE JOINT</t>
  </si>
  <si>
    <t>SCAPHOID-RADIUS JOINT</t>
  </si>
  <si>
    <t>SCAPHOID-TRAPEZIUM JOINT</t>
  </si>
  <si>
    <t>SCAPHOID-TRAPEZOID JOINT</t>
  </si>
  <si>
    <t>SCAPULA</t>
  </si>
  <si>
    <t>SCIATIC NERVE</t>
  </si>
  <si>
    <t>SCLERA</t>
  </si>
  <si>
    <t>SCROTUM</t>
  </si>
  <si>
    <t>SEBACEOUS GLAND</t>
  </si>
  <si>
    <t>SECOND DIAGONAL BRANCH ARTERY</t>
  </si>
  <si>
    <t>SECOND LEFT POSTEROLATERAL BRANCH ARTERY</t>
  </si>
  <si>
    <t>SECOND OBTUSE MARGINAL BRANCH ARTERY</t>
  </si>
  <si>
    <t>SECOND RIGHT POSTEROLATERAL ARTERY</t>
  </si>
  <si>
    <t>SEMIMEMBRANOSUS MUSCLE</t>
  </si>
  <si>
    <t>SEMINAL VESICLE</t>
  </si>
  <si>
    <t>SEMITENDINOSUS MUSCLE</t>
  </si>
  <si>
    <t>SENSORIMOTOR CORTEX</t>
  </si>
  <si>
    <t>SERRATUS ANTERIOR MUSCLE</t>
  </si>
  <si>
    <t>SHIN</t>
  </si>
  <si>
    <t>SHOULDER JOINT TENDONS</t>
  </si>
  <si>
    <t>SHOULDER JOINT</t>
  </si>
  <si>
    <t>SHOULDER</t>
  </si>
  <si>
    <t>SIGMOID SINUS</t>
  </si>
  <si>
    <t>SINUS</t>
  </si>
  <si>
    <t>SKIN AROUND THE EYE</t>
  </si>
  <si>
    <t>SKIN AROUND THE MOUTH</t>
  </si>
  <si>
    <t>SKIN BETWEEN EYEBROWS</t>
  </si>
  <si>
    <t>SKIN FOLD</t>
  </si>
  <si>
    <t>SKIN OF THE AXILLA</t>
  </si>
  <si>
    <t>SKIN OF THE BACK</t>
  </si>
  <si>
    <t>SKIN OF THE BENDING JOINT</t>
  </si>
  <si>
    <t>SKIN OF THE BUTTOCK</t>
  </si>
  <si>
    <t>SKIN OF THE CHEST</t>
  </si>
  <si>
    <t>SKIN OF THE CHIN</t>
  </si>
  <si>
    <t>SKIN OF THE EAR</t>
  </si>
  <si>
    <t>SKIN OF THE ELBOW</t>
  </si>
  <si>
    <t>SKIN OF THE FACE</t>
  </si>
  <si>
    <t>SKIN OF THE FINGER</t>
  </si>
  <si>
    <t>SKIN OF THE FOOT</t>
  </si>
  <si>
    <t>SKIN OF THE FOREARM</t>
  </si>
  <si>
    <t>SKIN OF THE HAND</t>
  </si>
  <si>
    <t>SKIN OF THE HEAD</t>
  </si>
  <si>
    <t>SKIN OF THE INFRASCAPULAR REGION</t>
  </si>
  <si>
    <t>SKIN OF THE INGUINAL REGION</t>
  </si>
  <si>
    <t>SKIN OF THE KNEE</t>
  </si>
  <si>
    <t>SKIN OF THE LIP</t>
  </si>
  <si>
    <t>SKIN OF THE LOWER LIMB</t>
  </si>
  <si>
    <t>SKIN OF THE NECK</t>
  </si>
  <si>
    <t>SKIN OF THE PALM</t>
  </si>
  <si>
    <t>SKIN OF THE SOLE</t>
  </si>
  <si>
    <t>SKIN OF THE THIGH</t>
  </si>
  <si>
    <t>SKIN OF THE TRUNK</t>
  </si>
  <si>
    <t>SKIN OF THE UPPER LIMB</t>
  </si>
  <si>
    <t>SKIN</t>
  </si>
  <si>
    <t>SKULL</t>
  </si>
  <si>
    <t>SKULL, BASE</t>
  </si>
  <si>
    <t>SMALL INTESTINAL MUCOSA</t>
  </si>
  <si>
    <t>SMALL INTESTINE</t>
  </si>
  <si>
    <t>SMALL SAPHENOUS VEIN</t>
  </si>
  <si>
    <t>SNOUT</t>
  </si>
  <si>
    <t>SOFT PALATE</t>
  </si>
  <si>
    <t>SOLE</t>
  </si>
  <si>
    <t>SOLEUS MUSCLE</t>
  </si>
  <si>
    <t>SPHENOID BONE</t>
  </si>
  <si>
    <t>SPHENOID SINUS</t>
  </si>
  <si>
    <t>SPINAL ACCESSORY NERVE</t>
  </si>
  <si>
    <t>SPINAL CORD PARENCHYMA</t>
  </si>
  <si>
    <t>SPINAL CORD</t>
  </si>
  <si>
    <t>SPINAL CORD, CERVICAL</t>
  </si>
  <si>
    <t>SPINOUS PROCESS</t>
  </si>
  <si>
    <t>SPLEEN</t>
  </si>
  <si>
    <t>SPLEEN, HILUM</t>
  </si>
  <si>
    <t>SPLENIC ARTERY</t>
  </si>
  <si>
    <t>SPLENIC HILAR LYMPH NODE</t>
  </si>
  <si>
    <t>SPLENIC LYMPH NODE</t>
  </si>
  <si>
    <t>SPLENIC VEIN</t>
  </si>
  <si>
    <t>STERNAL MANUBRIUM</t>
  </si>
  <si>
    <t>STERNEBRA</t>
  </si>
  <si>
    <t>STERNOCLAVICULAR JOINT</t>
  </si>
  <si>
    <t>STERNOCLEIDOMASTOID MUSCLE</t>
  </si>
  <si>
    <t>STERNUM</t>
  </si>
  <si>
    <t>STOMACH WALL</t>
  </si>
  <si>
    <t>STOMACH</t>
  </si>
  <si>
    <t>STRIATUM</t>
  </si>
  <si>
    <t>SUBARACHNOID SPACE</t>
  </si>
  <si>
    <t>SUBCARINAL LYMPH NODE</t>
  </si>
  <si>
    <t>SUBCLAVIAN ARTERY</t>
  </si>
  <si>
    <t>SUBCLAVIAN VEIN</t>
  </si>
  <si>
    <t>SUBCUTIS</t>
  </si>
  <si>
    <t>SUBDURAL SPACE</t>
  </si>
  <si>
    <t>SUBGLOTTIS</t>
  </si>
  <si>
    <t>SUBLINGUAL REGION</t>
  </si>
  <si>
    <t>SUBMANDIBULAR GLAND</t>
  </si>
  <si>
    <t>SUBMANDIBULAR LYMPH NODE</t>
  </si>
  <si>
    <t>SUBMENTAL LYMPH NODE</t>
  </si>
  <si>
    <t>SUBSCAPULARIS MUSCLE</t>
  </si>
  <si>
    <t>SUBSTANTIA NIGRA</t>
  </si>
  <si>
    <t>SUBTALAR JOINT</t>
  </si>
  <si>
    <t>SUDORIFEROUS GLAND</t>
  </si>
  <si>
    <t>SUPERFICIAL FEMORAL ARTERY</t>
  </si>
  <si>
    <t>SUPERFICIAL LYMPH NODE</t>
  </si>
  <si>
    <t>SUPERIOR FRONTAL GYRUS</t>
  </si>
  <si>
    <t>SUPERIOR MEDIASTINAL LYMPH NODE LEVEL VII</t>
  </si>
  <si>
    <t>SUPERIOR PUBIC RAMUS</t>
  </si>
  <si>
    <t>SUPERIOR SAGITTAL SINUS</t>
  </si>
  <si>
    <t>SUPERIOR TEMPORAL GYRUS</t>
  </si>
  <si>
    <t>SUPERIOR VENA CAVA</t>
  </si>
  <si>
    <t>SUPINATOR MUSCLE</t>
  </si>
  <si>
    <t>SUPRACLAVICULAR FOSSA</t>
  </si>
  <si>
    <t>SUPRACLAVICULAR LYMPH NODE</t>
  </si>
  <si>
    <t>SUPRAGLOTTIS</t>
  </si>
  <si>
    <t>SUPRAMARGINAL GYRUS</t>
  </si>
  <si>
    <t>SUPRAOCCIPITAL BONE</t>
  </si>
  <si>
    <t>SUPRAPUBIC REGION</t>
  </si>
  <si>
    <t>SUPRARENAL AORTA</t>
  </si>
  <si>
    <t>SUPRASPINATUS MUSCLE</t>
  </si>
  <si>
    <t>SUPRATENTORIAL BRAIN</t>
  </si>
  <si>
    <t>SURAL NERVE</t>
  </si>
  <si>
    <t>SYMPATHETIC GANGLIA</t>
  </si>
  <si>
    <t>SYNOVIAL FLUID</t>
  </si>
  <si>
    <t>SYNOVIUM</t>
  </si>
  <si>
    <t>T1 VERTEBRA</t>
  </si>
  <si>
    <t>T10 VERTEBRA</t>
  </si>
  <si>
    <t>T11 VERTEBRA</t>
  </si>
  <si>
    <t>T12 VERTEBRA</t>
  </si>
  <si>
    <t>T2 VERTEBRA</t>
  </si>
  <si>
    <t>T3 VERTEBRA</t>
  </si>
  <si>
    <t>T4 VERTEBRA</t>
  </si>
  <si>
    <t>T5 VERTEBRA</t>
  </si>
  <si>
    <t>T6 VERTEBRA</t>
  </si>
  <si>
    <t>T7 VERTEBRA</t>
  </si>
  <si>
    <t>T8 VERTEBRA</t>
  </si>
  <si>
    <t>T9 VERTEBRA</t>
  </si>
  <si>
    <t>TAIL</t>
  </si>
  <si>
    <t>TALUS</t>
  </si>
  <si>
    <t>TARSAL JOINT</t>
  </si>
  <si>
    <t>TARSUS BONE</t>
  </si>
  <si>
    <t>TECTUM MESENCEPHALI</t>
  </si>
  <si>
    <t>TEMPLE</t>
  </si>
  <si>
    <t>TEMPORAL ARTERY</t>
  </si>
  <si>
    <t>TEMPORAL BONE</t>
  </si>
  <si>
    <t>TEMPORAL LOBE</t>
  </si>
  <si>
    <t>TEMPOROMANDIBULAR JOINT</t>
  </si>
  <si>
    <t>TENDON</t>
  </si>
  <si>
    <t>TENSOR FASCIA LATA MUSCLE</t>
  </si>
  <si>
    <t>TENTORIUM CEREBELLI</t>
  </si>
  <si>
    <t>TESTIS</t>
  </si>
  <si>
    <t>THALAMUS</t>
  </si>
  <si>
    <t>THIGH</t>
  </si>
  <si>
    <t>THIRD DIAGONAL BRANCH ARTERY</t>
  </si>
  <si>
    <t>THIRD OBTUSE MARGINAL BRANCH ARTERY</t>
  </si>
  <si>
    <t>THIRD POSTEROLATERAL DESCENDING ARTERY</t>
  </si>
  <si>
    <t>THIRD RIGHT POSTEROLATERAL ARTERY</t>
  </si>
  <si>
    <t>THORACIC AORTA</t>
  </si>
  <si>
    <t>THORACIC ARTERY</t>
  </si>
  <si>
    <t>THORACIC CAVITY</t>
  </si>
  <si>
    <t>THORACIC LYMPH NODE</t>
  </si>
  <si>
    <t>THORACIC SPINE</t>
  </si>
  <si>
    <t>THORACIC VERTEBRA</t>
  </si>
  <si>
    <t>THORAX</t>
  </si>
  <si>
    <t>THROAT</t>
  </si>
  <si>
    <t>THYMUS GLAND</t>
  </si>
  <si>
    <t>THYROID GLAND ISTHMUS</t>
  </si>
  <si>
    <t>THYROID GLAND</t>
  </si>
  <si>
    <t>THYROID GLAND, LEFT LOBE</t>
  </si>
  <si>
    <t>THYROID GLAND, RIGHT LOBE</t>
  </si>
  <si>
    <t>TIBIA SHAFT</t>
  </si>
  <si>
    <t>TIBIA</t>
  </si>
  <si>
    <t>TIBIAL GROWTH PLATE</t>
  </si>
  <si>
    <t>TIBIAL NERVE</t>
  </si>
  <si>
    <t>TIBIAL-CRURAL PERIPHERAL ARTERY</t>
  </si>
  <si>
    <t>TIBIALIS ANTERIOR MUSCLE</t>
  </si>
  <si>
    <t>TIBIALIS POSTERIOR MUSCLE</t>
  </si>
  <si>
    <t>TIBIO-PERONEAL TRUNK</t>
  </si>
  <si>
    <t>TIBIOTARSAL JOINT</t>
  </si>
  <si>
    <t>TOE</t>
  </si>
  <si>
    <t>TOENAIL</t>
  </si>
  <si>
    <t>TONGUE</t>
  </si>
  <si>
    <t>TONSIL</t>
  </si>
  <si>
    <t>TOOTH CANAL</t>
  </si>
  <si>
    <t>TOOTH</t>
  </si>
  <si>
    <t>TRACHEA</t>
  </si>
  <si>
    <t>TRACHEOBRONCHIAL TREE</t>
  </si>
  <si>
    <t>TRANSVERSE TARSAL JOINT</t>
  </si>
  <si>
    <t>TRAPEZIAL BONE</t>
  </si>
  <si>
    <t>TRAPEZIUM-TRAPEZOID JOINT</t>
  </si>
  <si>
    <t>TRAPEZIUS MUSCLE</t>
  </si>
  <si>
    <t>TRAPEZOID BONE</t>
  </si>
  <si>
    <t>TRAPEZOID-CAPITATE JOINT</t>
  </si>
  <si>
    <t>TRIANGULAR BONE</t>
  </si>
  <si>
    <t>TRIANGULAR-HAMATE JOINT</t>
  </si>
  <si>
    <t>TRIANGULAR-LUNATE JOINT</t>
  </si>
  <si>
    <t>TRICEPS BRACHII MUSCLE</t>
  </si>
  <si>
    <t>TRICUSPID VALVE ANNULUS</t>
  </si>
  <si>
    <t>TRICUSPID VALVE</t>
  </si>
  <si>
    <t>TRICUSPID VALVE, ANTERIOR CUSP</t>
  </si>
  <si>
    <t>TRICUSPID VALVE, POSTERIOR ANNULUS</t>
  </si>
  <si>
    <t>TRICUSPID VALVE, POSTERIOR CUSP</t>
  </si>
  <si>
    <t>TRICUSPID VALVE, SEPTAL CUSP</t>
  </si>
  <si>
    <t>TRIGEMINAL NERVE</t>
  </si>
  <si>
    <t>TROCHANTER</t>
  </si>
  <si>
    <t>TROCHLEAR NERVE</t>
  </si>
  <si>
    <t>TRUNK</t>
  </si>
  <si>
    <t>TUNICA INTIMA</t>
  </si>
  <si>
    <t>TYMPANIC MEMBRANE</t>
  </si>
  <si>
    <t>ULNA SHAFT</t>
  </si>
  <si>
    <t>ULNA</t>
  </si>
  <si>
    <t>ULNAR ARTERY</t>
  </si>
  <si>
    <t>ULNAR NERVE</t>
  </si>
  <si>
    <t>UMBILICAL ARTERY</t>
  </si>
  <si>
    <t>UMBILICAL CORD</t>
  </si>
  <si>
    <t>UMBILICAL VEIN</t>
  </si>
  <si>
    <t>UMBILICUS</t>
  </si>
  <si>
    <t>UNCINATE PROCESS OF PANCREAS</t>
  </si>
  <si>
    <t>UPPER CERVICAL LYMPH NODE</t>
  </si>
  <si>
    <t>UPPER RESPIRATORY SYSTEM</t>
  </si>
  <si>
    <t>UPPER URINARY SYSTEM</t>
  </si>
  <si>
    <t>URACHAL TRACT</t>
  </si>
  <si>
    <t>URETER</t>
  </si>
  <si>
    <t>URETERIC ORIFICE</t>
  </si>
  <si>
    <t>URETHRA</t>
  </si>
  <si>
    <t>URETHRA, ANTERIOR</t>
  </si>
  <si>
    <t>URETHRA, PENILE</t>
  </si>
  <si>
    <t>URETHRA, POSTERIOR</t>
  </si>
  <si>
    <t>URETHRA, PROSTATIC</t>
  </si>
  <si>
    <t>URETHRAL SPHINCTER</t>
  </si>
  <si>
    <t>URINARY SYSTEM</t>
  </si>
  <si>
    <t>UTERINE ARTERY</t>
  </si>
  <si>
    <t>UTERINE HORN</t>
  </si>
  <si>
    <t>UTERINE WALL</t>
  </si>
  <si>
    <t>UTERUS</t>
  </si>
  <si>
    <t>UVEA</t>
  </si>
  <si>
    <t>VAGINA</t>
  </si>
  <si>
    <t>VAGINAL WALL</t>
  </si>
  <si>
    <t>VAGUS NERVE</t>
  </si>
  <si>
    <t>VAS DEFERENS</t>
  </si>
  <si>
    <t>VASTUS INTERMEDIUS MUSCLE</t>
  </si>
  <si>
    <t>VASTUS LATERALIS MUSCLE</t>
  </si>
  <si>
    <t>VASTUS MEDIALIS MUSCLE</t>
  </si>
  <si>
    <t>VEIN</t>
  </si>
  <si>
    <t>VENA CAVA</t>
  </si>
  <si>
    <t>VENOUS SINUS</t>
  </si>
  <si>
    <t>VERTEBRA</t>
  </si>
  <si>
    <t>VERTEBRAL ARTERY</t>
  </si>
  <si>
    <t>VERTEBRAL COLUMN</t>
  </si>
  <si>
    <t>VESICOURETERIC JUNCTION</t>
  </si>
  <si>
    <t>VESTIBULOCOCHLEAR NERVE</t>
  </si>
  <si>
    <t>VOCAL CORD</t>
  </si>
  <si>
    <t>VOMER</t>
  </si>
  <si>
    <t>VULVA</t>
  </si>
  <si>
    <t>VULVOVAGINAL REGION</t>
  </si>
  <si>
    <t>WAIST</t>
  </si>
  <si>
    <t>WALDEYER'S TONSILLAR RING</t>
  </si>
  <si>
    <t>WARDS TRIANGLE</t>
  </si>
  <si>
    <t>WHISKERS</t>
  </si>
  <si>
    <t>WRIST JOINT EXTENSOR MUSCLES</t>
  </si>
  <si>
    <t>WRIST JOINT EXTENSOR TENDONS</t>
  </si>
  <si>
    <t>WRIST JOINT FLEXOR MUSCLES</t>
  </si>
  <si>
    <t>WRIST JOINT FLEXOR TENDONS</t>
  </si>
  <si>
    <t>WRIST JOINT</t>
  </si>
  <si>
    <t>XIPHOID PROCESS</t>
  </si>
  <si>
    <t>ZYGOMATIC BONE</t>
  </si>
  <si>
    <t>C116163</t>
  </si>
  <si>
    <t>C32038</t>
  </si>
  <si>
    <t>C12664</t>
  </si>
  <si>
    <t>C12360</t>
  </si>
  <si>
    <t>C139186</t>
  </si>
  <si>
    <t>C52758</t>
  </si>
  <si>
    <t>C77608</t>
  </si>
  <si>
    <t>C12665</t>
  </si>
  <si>
    <t>C165996</t>
  </si>
  <si>
    <t>C163504</t>
  </si>
  <si>
    <t>C163505</t>
  </si>
  <si>
    <t>C165997</t>
  </si>
  <si>
    <t>C52888</t>
  </si>
  <si>
    <t>C116183</t>
  </si>
  <si>
    <t>C32042</t>
  </si>
  <si>
    <t>C32043</t>
  </si>
  <si>
    <t>C32047</t>
  </si>
  <si>
    <t>C32048</t>
  </si>
  <si>
    <t>C102285</t>
  </si>
  <si>
    <t>C163506</t>
  </si>
  <si>
    <t>C163507</t>
  </si>
  <si>
    <t>C163508</t>
  </si>
  <si>
    <t>C163509</t>
  </si>
  <si>
    <t>C163510</t>
  </si>
  <si>
    <t>C186100</t>
  </si>
  <si>
    <t>C12666</t>
  </si>
  <si>
    <t>C129430</t>
  </si>
  <si>
    <t>C89749</t>
  </si>
  <si>
    <t>C12986</t>
  </si>
  <si>
    <t>C13188</t>
  </si>
  <si>
    <t>C13011</t>
  </si>
  <si>
    <t>C12440</t>
  </si>
  <si>
    <t>C12375</t>
  </si>
  <si>
    <t>C32069</t>
  </si>
  <si>
    <t>C165177</t>
  </si>
  <si>
    <t>C25419</t>
  </si>
  <si>
    <t>C15609</t>
  </si>
  <si>
    <t>C186101</t>
  </si>
  <si>
    <t>C32077</t>
  </si>
  <si>
    <t>C161390</t>
  </si>
  <si>
    <t>C161389</t>
  </si>
  <si>
    <t>C32078</t>
  </si>
  <si>
    <t>C117868</t>
  </si>
  <si>
    <t>C186102</t>
  </si>
  <si>
    <t>C103238</t>
  </si>
  <si>
    <t>C139185</t>
  </si>
  <si>
    <t>C187996</t>
  </si>
  <si>
    <t>C32637</t>
  </si>
  <si>
    <t>C32091</t>
  </si>
  <si>
    <t>C32097</t>
  </si>
  <si>
    <t>C139187</t>
  </si>
  <si>
    <t>C12825</t>
  </si>
  <si>
    <t>C32115</t>
  </si>
  <si>
    <t>C12259</t>
  </si>
  <si>
    <t>C43362</t>
  </si>
  <si>
    <t>C12669</t>
  </si>
  <si>
    <t>C32123</t>
  </si>
  <si>
    <t>C97112</t>
  </si>
  <si>
    <t>C130167</t>
  </si>
  <si>
    <t>C12670</t>
  </si>
  <si>
    <t>C127638</t>
  </si>
  <si>
    <t>C127639</t>
  </si>
  <si>
    <t>C127640</t>
  </si>
  <si>
    <t>C186103</t>
  </si>
  <si>
    <t>C116166</t>
  </si>
  <si>
    <t>C118775</t>
  </si>
  <si>
    <t>C116165</t>
  </si>
  <si>
    <t>C83470</t>
  </si>
  <si>
    <t>C49477</t>
  </si>
  <si>
    <t>C12380</t>
  </si>
  <si>
    <t>C13190</t>
  </si>
  <si>
    <t>C52754</t>
  </si>
  <si>
    <t>C32141</t>
  </si>
  <si>
    <t>C12372</t>
  </si>
  <si>
    <t>C32150</t>
  </si>
  <si>
    <t>C127641</t>
  </si>
  <si>
    <t>C127642</t>
  </si>
  <si>
    <t>C33557</t>
  </si>
  <si>
    <t>C186104</t>
  </si>
  <si>
    <t>C176322</t>
  </si>
  <si>
    <t>C32164</t>
  </si>
  <si>
    <t>C32172</t>
  </si>
  <si>
    <t>C12674</t>
  </si>
  <si>
    <t>C32169</t>
  </si>
  <si>
    <t>C123461</t>
  </si>
  <si>
    <t>C123462</t>
  </si>
  <si>
    <t>C123463</t>
  </si>
  <si>
    <t>C12904</t>
  </si>
  <si>
    <t>C32171</t>
  </si>
  <si>
    <t>C53029</t>
  </si>
  <si>
    <t>C13062</t>
  </si>
  <si>
    <t>C12447</t>
  </si>
  <si>
    <t>C12228</t>
  </si>
  <si>
    <t>C32197</t>
  </si>
  <si>
    <t>C186105</t>
  </si>
  <si>
    <t>C186106</t>
  </si>
  <si>
    <t>C32200</t>
  </si>
  <si>
    <t>C53147</t>
  </si>
  <si>
    <t>C12376</t>
  </si>
  <si>
    <t>C12678</t>
  </si>
  <si>
    <t>C48941</t>
  </si>
  <si>
    <t>C12414</t>
  </si>
  <si>
    <t>C12332</t>
  </si>
  <si>
    <t>C48939</t>
  </si>
  <si>
    <t>C12336</t>
  </si>
  <si>
    <t>C12331</t>
  </si>
  <si>
    <t>C12679</t>
  </si>
  <si>
    <t>C12434</t>
  </si>
  <si>
    <t>C12258</t>
  </si>
  <si>
    <t>C13041</t>
  </si>
  <si>
    <t>C12431</t>
  </si>
  <si>
    <t>C12366</t>
  </si>
  <si>
    <t>C12681</t>
  </si>
  <si>
    <t>C92221</t>
  </si>
  <si>
    <t>C12682</t>
  </si>
  <si>
    <t>C12883</t>
  </si>
  <si>
    <t>C53149</t>
  </si>
  <si>
    <t>C32814</t>
  </si>
  <si>
    <t>C150849</t>
  </si>
  <si>
    <t>C12441</t>
  </si>
  <si>
    <t>C12356</t>
  </si>
  <si>
    <t>C12834</t>
  </si>
  <si>
    <t>C12439</t>
  </si>
  <si>
    <t>C12828</t>
  </si>
  <si>
    <t>C132390</t>
  </si>
  <si>
    <t>C12827</t>
  </si>
  <si>
    <t>C12971</t>
  </si>
  <si>
    <t>C12318</t>
  </si>
  <si>
    <t>C186107</t>
  </si>
  <si>
    <t>C12684</t>
  </si>
  <si>
    <t>C12683</t>
  </si>
  <si>
    <t>C154770</t>
  </si>
  <si>
    <t>C12505</t>
  </si>
  <si>
    <t>C12902</t>
  </si>
  <si>
    <t>C89806</t>
  </si>
  <si>
    <t>C32239</t>
  </si>
  <si>
    <t>C32240</t>
  </si>
  <si>
    <t>C32241</t>
  </si>
  <si>
    <t>C32242</t>
  </si>
  <si>
    <t>C32243</t>
  </si>
  <si>
    <t>C32244</t>
  </si>
  <si>
    <t>C32245</t>
  </si>
  <si>
    <t>C142295</t>
  </si>
  <si>
    <t>C32250</t>
  </si>
  <si>
    <t>C32252</t>
  </si>
  <si>
    <t>C154703</t>
  </si>
  <si>
    <t>C93027</t>
  </si>
  <si>
    <t>C32258</t>
  </si>
  <si>
    <t>C12856</t>
  </si>
  <si>
    <t>C139188</t>
  </si>
  <si>
    <t>C139189</t>
  </si>
  <si>
    <t>C12729</t>
  </si>
  <si>
    <t>C139201</t>
  </si>
  <si>
    <t>C121555</t>
  </si>
  <si>
    <t>C12686</t>
  </si>
  <si>
    <t>C25264</t>
  </si>
  <si>
    <t>C12687</t>
  </si>
  <si>
    <t>C66852</t>
  </si>
  <si>
    <t>C12688</t>
  </si>
  <si>
    <t>C103912</t>
  </si>
  <si>
    <t>C103913</t>
  </si>
  <si>
    <t>C103914</t>
  </si>
  <si>
    <t>C103915</t>
  </si>
  <si>
    <t>C103916</t>
  </si>
  <si>
    <t>C32265</t>
  </si>
  <si>
    <t>C12373</t>
  </si>
  <si>
    <t>C176319</t>
  </si>
  <si>
    <t>C12451</t>
  </si>
  <si>
    <t>C12381</t>
  </si>
  <si>
    <t>C52846</t>
  </si>
  <si>
    <t>C65166</t>
  </si>
  <si>
    <t>C12438</t>
  </si>
  <si>
    <t>C32286</t>
  </si>
  <si>
    <t>C186108</t>
  </si>
  <si>
    <t>C12445</t>
  </si>
  <si>
    <t>C12691</t>
  </si>
  <si>
    <t>C12443</t>
  </si>
  <si>
    <t>C32955</t>
  </si>
  <si>
    <t>C33472</t>
  </si>
  <si>
    <t>C32291</t>
  </si>
  <si>
    <t>C98712</t>
  </si>
  <si>
    <t>C53037</t>
  </si>
  <si>
    <t>C12351</t>
  </si>
  <si>
    <t>C32298</t>
  </si>
  <si>
    <t>C69313</t>
  </si>
  <si>
    <t>C12693</t>
  </si>
  <si>
    <t>C178002</t>
  </si>
  <si>
    <t>C12311</t>
  </si>
  <si>
    <t>C13070</t>
  </si>
  <si>
    <t>C62484</t>
  </si>
  <si>
    <t>C25389</t>
  </si>
  <si>
    <t>C81169</t>
  </si>
  <si>
    <t>C32307</t>
  </si>
  <si>
    <t>C12694</t>
  </si>
  <si>
    <t>C12344</t>
  </si>
  <si>
    <t>C12345</t>
  </si>
  <si>
    <t>C52713</t>
  </si>
  <si>
    <t>C102287</t>
  </si>
  <si>
    <t>C102286</t>
  </si>
  <si>
    <t>C12695</t>
  </si>
  <si>
    <t>C176323</t>
  </si>
  <si>
    <t>C12308</t>
  </si>
  <si>
    <t>C12494</t>
  </si>
  <si>
    <t>C32334</t>
  </si>
  <si>
    <t>C12696</t>
  </si>
  <si>
    <t>C176317</t>
  </si>
  <si>
    <t>C176315</t>
  </si>
  <si>
    <t>C12382</t>
  </si>
  <si>
    <t>C12265</t>
  </si>
  <si>
    <t>C12268</t>
  </si>
  <si>
    <t>C12266</t>
  </si>
  <si>
    <t>C33929</t>
  </si>
  <si>
    <t>C103438</t>
  </si>
  <si>
    <t>C12383</t>
  </si>
  <si>
    <t>C12384</t>
  </si>
  <si>
    <t>C12267</t>
  </si>
  <si>
    <t>C12385</t>
  </si>
  <si>
    <t>C164003</t>
  </si>
  <si>
    <t>C12698</t>
  </si>
  <si>
    <t>C32354</t>
  </si>
  <si>
    <t>C154771</t>
  </si>
  <si>
    <t>C32357</t>
  </si>
  <si>
    <t>C103384</t>
  </si>
  <si>
    <t>C52744</t>
  </si>
  <si>
    <t>C12341</t>
  </si>
  <si>
    <t>C12342</t>
  </si>
  <si>
    <t>C12707</t>
  </si>
  <si>
    <t>C12928</t>
  </si>
  <si>
    <t>C12699</t>
  </si>
  <si>
    <t>C12843</t>
  </si>
  <si>
    <t>C32089</t>
  </si>
  <si>
    <t>C12872</t>
  </si>
  <si>
    <t>C12875</t>
  </si>
  <si>
    <t>C32378</t>
  </si>
  <si>
    <t>C12882</t>
  </si>
  <si>
    <t>C12446</t>
  </si>
  <si>
    <t>C32216</t>
  </si>
  <si>
    <t>C32675</t>
  </si>
  <si>
    <t>C33610</t>
  </si>
  <si>
    <t>C26465</t>
  </si>
  <si>
    <t>C12448</t>
  </si>
  <si>
    <t>C12316</t>
  </si>
  <si>
    <t>C163511</t>
  </si>
  <si>
    <t>C32391</t>
  </si>
  <si>
    <t>C102288</t>
  </si>
  <si>
    <t>C102289</t>
  </si>
  <si>
    <t>C77638</t>
  </si>
  <si>
    <t>C12700</t>
  </si>
  <si>
    <t>C32414</t>
  </si>
  <si>
    <t>C32446</t>
  </si>
  <si>
    <t>C174321</t>
  </si>
  <si>
    <t>C186109</t>
  </si>
  <si>
    <t>C32455</t>
  </si>
  <si>
    <t>C12702</t>
  </si>
  <si>
    <t>C132391</t>
  </si>
  <si>
    <t>C40186</t>
  </si>
  <si>
    <t>C177918</t>
  </si>
  <si>
    <t>C102290</t>
  </si>
  <si>
    <t>C60801</t>
  </si>
  <si>
    <t>C174320</t>
  </si>
  <si>
    <t>C139208</t>
  </si>
  <si>
    <t>C114198</t>
  </si>
  <si>
    <t>C114188</t>
  </si>
  <si>
    <t>C102291</t>
  </si>
  <si>
    <t>C114199</t>
  </si>
  <si>
    <t>C114189</t>
  </si>
  <si>
    <t>C102292</t>
  </si>
  <si>
    <t>C114275</t>
  </si>
  <si>
    <t>C114273</t>
  </si>
  <si>
    <t>C102293</t>
  </si>
  <si>
    <t>C114276</t>
  </si>
  <si>
    <t>C114274</t>
  </si>
  <si>
    <t>C102294</t>
  </si>
  <si>
    <t>C102295</t>
  </si>
  <si>
    <t>C139190</t>
  </si>
  <si>
    <t>C139191</t>
  </si>
  <si>
    <t>C139192</t>
  </si>
  <si>
    <t>C139193</t>
  </si>
  <si>
    <t>C139194</t>
  </si>
  <si>
    <t>C102296</t>
  </si>
  <si>
    <t>C106042</t>
  </si>
  <si>
    <t>C12934</t>
  </si>
  <si>
    <t>C32478</t>
  </si>
  <si>
    <t>C52854</t>
  </si>
  <si>
    <t>C12263</t>
  </si>
  <si>
    <t>C32488</t>
  </si>
  <si>
    <t>C102627</t>
  </si>
  <si>
    <t>C12394</t>
  </si>
  <si>
    <t>C12499</t>
  </si>
  <si>
    <t>C12292</t>
  </si>
  <si>
    <t>C32999</t>
  </si>
  <si>
    <t>C163512</t>
  </si>
  <si>
    <t>C163513</t>
  </si>
  <si>
    <t>C32497</t>
  </si>
  <si>
    <t>C13004</t>
  </si>
  <si>
    <t>C12309</t>
  </si>
  <si>
    <t>C32514</t>
  </si>
  <si>
    <t>C12313</t>
  </si>
  <si>
    <t>C97338</t>
  </si>
  <si>
    <t>C13164</t>
  </si>
  <si>
    <t>C69300</t>
  </si>
  <si>
    <t>C12328</t>
  </si>
  <si>
    <t>C41449</t>
  </si>
  <si>
    <t>C139195</t>
  </si>
  <si>
    <t>C32525</t>
  </si>
  <si>
    <t>C12709</t>
  </si>
  <si>
    <t>C98182</t>
  </si>
  <si>
    <t>C139196</t>
  </si>
  <si>
    <t>C32538</t>
  </si>
  <si>
    <t>C12389</t>
  </si>
  <si>
    <t>C12252</t>
  </si>
  <si>
    <t>C12250</t>
  </si>
  <si>
    <t>C12255</t>
  </si>
  <si>
    <t>C12254</t>
  </si>
  <si>
    <t>C12251</t>
  </si>
  <si>
    <t>C12253</t>
  </si>
  <si>
    <t>C12711</t>
  </si>
  <si>
    <t>C12276</t>
  </si>
  <si>
    <t>C186110</t>
  </si>
  <si>
    <t>C187833</t>
  </si>
  <si>
    <t>C52914</t>
  </si>
  <si>
    <t>C186111</t>
  </si>
  <si>
    <t>C163514</t>
  </si>
  <si>
    <t>C52918</t>
  </si>
  <si>
    <t>C52916</t>
  </si>
  <si>
    <t>C163515</t>
  </si>
  <si>
    <t>C186112</t>
  </si>
  <si>
    <t>C186113</t>
  </si>
  <si>
    <t>C186114</t>
  </si>
  <si>
    <t>C186115</t>
  </si>
  <si>
    <t>C12498</t>
  </si>
  <si>
    <t>C32558</t>
  </si>
  <si>
    <t>C88143</t>
  </si>
  <si>
    <t>C165584</t>
  </si>
  <si>
    <t>C32573</t>
  </si>
  <si>
    <t>C174319</t>
  </si>
  <si>
    <t>C33199</t>
  </si>
  <si>
    <t>C176325</t>
  </si>
  <si>
    <t>C12401</t>
  </si>
  <si>
    <t>C12667</t>
  </si>
  <si>
    <t>C12668</t>
  </si>
  <si>
    <t>C33885</t>
  </si>
  <si>
    <t>C32575</t>
  </si>
  <si>
    <t>C32576</t>
  </si>
  <si>
    <t>C12713</t>
  </si>
  <si>
    <t>C13071</t>
  </si>
  <si>
    <t>C32577</t>
  </si>
  <si>
    <t>C63706</t>
  </si>
  <si>
    <t>C13073</t>
  </si>
  <si>
    <t>C12714</t>
  </si>
  <si>
    <t>C32582</t>
  </si>
  <si>
    <t>C12403</t>
  </si>
  <si>
    <t>C13108</t>
  </si>
  <si>
    <t>C176326</t>
  </si>
  <si>
    <t>C181454</t>
  </si>
  <si>
    <t>C61600</t>
  </si>
  <si>
    <t>C12402</t>
  </si>
  <si>
    <t>C12715</t>
  </si>
  <si>
    <t>C114186</t>
  </si>
  <si>
    <t>C32718</t>
  </si>
  <si>
    <t>C98183</t>
  </si>
  <si>
    <t>C61563</t>
  </si>
  <si>
    <t>C12716</t>
  </si>
  <si>
    <t>C116167</t>
  </si>
  <si>
    <t>C96209</t>
  </si>
  <si>
    <t>C12717</t>
  </si>
  <si>
    <t>C120670</t>
  </si>
  <si>
    <t>C12718</t>
  </si>
  <si>
    <t>C154772</t>
  </si>
  <si>
    <t>C163516</t>
  </si>
  <si>
    <t>C161384</t>
  </si>
  <si>
    <t>C163517</t>
  </si>
  <si>
    <t>C161383</t>
  </si>
  <si>
    <t>C32608</t>
  </si>
  <si>
    <t>C32609</t>
  </si>
  <si>
    <t>C187834</t>
  </si>
  <si>
    <t>C102297</t>
  </si>
  <si>
    <t>C139197</t>
  </si>
  <si>
    <t>C139198</t>
  </si>
  <si>
    <t>C102298</t>
  </si>
  <si>
    <t>C102299</t>
  </si>
  <si>
    <t>C102300</t>
  </si>
  <si>
    <t>C93028</t>
  </si>
  <si>
    <t>C53155</t>
  </si>
  <si>
    <t>C53156</t>
  </si>
  <si>
    <t>C163518</t>
  </si>
  <si>
    <t>C52921</t>
  </si>
  <si>
    <t>C52923</t>
  </si>
  <si>
    <t>C150850</t>
  </si>
  <si>
    <t>C165998</t>
  </si>
  <si>
    <t>C52925</t>
  </si>
  <si>
    <t>C186116</t>
  </si>
  <si>
    <t>C150851</t>
  </si>
  <si>
    <t>C54187</t>
  </si>
  <si>
    <t>C32621</t>
  </si>
  <si>
    <t>C52839</t>
  </si>
  <si>
    <t>C52840</t>
  </si>
  <si>
    <t>C52841</t>
  </si>
  <si>
    <t>C52842</t>
  </si>
  <si>
    <t>C52843</t>
  </si>
  <si>
    <t>C52772</t>
  </si>
  <si>
    <t>C32622</t>
  </si>
  <si>
    <t>C186117</t>
  </si>
  <si>
    <t>C32628</t>
  </si>
  <si>
    <t>C40185</t>
  </si>
  <si>
    <t>C89803</t>
  </si>
  <si>
    <t>C176321</t>
  </si>
  <si>
    <t>C186118</t>
  </si>
  <si>
    <t>C33049</t>
  </si>
  <si>
    <t>C26463</t>
  </si>
  <si>
    <t>C32635</t>
  </si>
  <si>
    <t>C12352</t>
  </si>
  <si>
    <t>C12277</t>
  </si>
  <si>
    <t>C186119</t>
  </si>
  <si>
    <t>C135172</t>
  </si>
  <si>
    <t>C12257</t>
  </si>
  <si>
    <t>C12315</t>
  </si>
  <si>
    <t>C12377</t>
  </si>
  <si>
    <t>C12719</t>
  </si>
  <si>
    <t>C12256</t>
  </si>
  <si>
    <t>C154773</t>
  </si>
  <si>
    <t>C32656</t>
  </si>
  <si>
    <t>C32666</t>
  </si>
  <si>
    <t>C163519</t>
  </si>
  <si>
    <t>C163520</t>
  </si>
  <si>
    <t>C32668</t>
  </si>
  <si>
    <t>C12378</t>
  </si>
  <si>
    <t>C34082</t>
  </si>
  <si>
    <t>C33010</t>
  </si>
  <si>
    <t>C176241</t>
  </si>
  <si>
    <t>C33837</t>
  </si>
  <si>
    <t>C176314</t>
  </si>
  <si>
    <t>C176233</t>
  </si>
  <si>
    <t>C52928</t>
  </si>
  <si>
    <t>C176324</t>
  </si>
  <si>
    <t>C25177</t>
  </si>
  <si>
    <t>C12810</t>
  </si>
  <si>
    <t>C32677</t>
  </si>
  <si>
    <t>C139199</t>
  </si>
  <si>
    <t>C32682</t>
  </si>
  <si>
    <t>C12449</t>
  </si>
  <si>
    <t>C13250</t>
  </si>
  <si>
    <t>C12723</t>
  </si>
  <si>
    <t>C12724</t>
  </si>
  <si>
    <t>C128630</t>
  </si>
  <si>
    <t>C164282</t>
  </si>
  <si>
    <t>C78205</t>
  </si>
  <si>
    <t>C52560</t>
  </si>
  <si>
    <t>C52933</t>
  </si>
  <si>
    <t>C12725</t>
  </si>
  <si>
    <t>C52935</t>
  </si>
  <si>
    <t>C33004</t>
  </si>
  <si>
    <t>C32698</t>
  </si>
  <si>
    <t>C102955</t>
  </si>
  <si>
    <t>C12262</t>
  </si>
  <si>
    <t>C12936</t>
  </si>
  <si>
    <t>C32706</t>
  </si>
  <si>
    <t>C13317</t>
  </si>
  <si>
    <t>C32711</t>
  </si>
  <si>
    <t>C33543</t>
  </si>
  <si>
    <t>C32705</t>
  </si>
  <si>
    <t>C12860</t>
  </si>
  <si>
    <t>C53042</t>
  </si>
  <si>
    <t>C178000</t>
  </si>
  <si>
    <t>C52834</t>
  </si>
  <si>
    <t>C177996</t>
  </si>
  <si>
    <t>C52835</t>
  </si>
  <si>
    <t>C177998</t>
  </si>
  <si>
    <t>C52836</t>
  </si>
  <si>
    <t>C177999</t>
  </si>
  <si>
    <t>C52837</t>
  </si>
  <si>
    <t>C177997</t>
  </si>
  <si>
    <t>C52838</t>
  </si>
  <si>
    <t>C52771</t>
  </si>
  <si>
    <t>C32712</t>
  </si>
  <si>
    <t>C12230</t>
  </si>
  <si>
    <t>C12418</t>
  </si>
  <si>
    <t>C32719</t>
  </si>
  <si>
    <t>C32720</t>
  </si>
  <si>
    <t>C12419</t>
  </si>
  <si>
    <t>C12727</t>
  </si>
  <si>
    <t>C32126</t>
  </si>
  <si>
    <t>C12728</t>
  </si>
  <si>
    <t>C48589</t>
  </si>
  <si>
    <t>C34241</t>
  </si>
  <si>
    <t>C127643</t>
  </si>
  <si>
    <t>C12869</t>
  </si>
  <si>
    <t>C12871</t>
  </si>
  <si>
    <t>C127644</t>
  </si>
  <si>
    <t>C127645</t>
  </si>
  <si>
    <t>C127646</t>
  </si>
  <si>
    <t>C12868</t>
  </si>
  <si>
    <t>C12870</t>
  </si>
  <si>
    <t>C127647</t>
  </si>
  <si>
    <t>C127648</t>
  </si>
  <si>
    <t>C127649</t>
  </si>
  <si>
    <t>C49485</t>
  </si>
  <si>
    <t>C12730</t>
  </si>
  <si>
    <t>C186120</t>
  </si>
  <si>
    <t>C119295</t>
  </si>
  <si>
    <t>C161381</t>
  </si>
  <si>
    <t>C161382</t>
  </si>
  <si>
    <t>C32729</t>
  </si>
  <si>
    <t>C77640</t>
  </si>
  <si>
    <t>C32736</t>
  </si>
  <si>
    <t>C43612</t>
  </si>
  <si>
    <t>C98187</t>
  </si>
  <si>
    <t>C25724</t>
  </si>
  <si>
    <t>C77625</t>
  </si>
  <si>
    <t>C186121</t>
  </si>
  <si>
    <t>C53039</t>
  </si>
  <si>
    <t>C186122</t>
  </si>
  <si>
    <t>C32742</t>
  </si>
  <si>
    <t>C64193</t>
  </si>
  <si>
    <t>C12444</t>
  </si>
  <si>
    <t>C114187</t>
  </si>
  <si>
    <t>C120671</t>
  </si>
  <si>
    <t>C12731</t>
  </si>
  <si>
    <t>C165999</t>
  </si>
  <si>
    <t>C32752</t>
  </si>
  <si>
    <t>C12732</t>
  </si>
  <si>
    <t>C12246</t>
  </si>
  <si>
    <t>C12458</t>
  </si>
  <si>
    <t>C178001</t>
  </si>
  <si>
    <t>C176318</t>
  </si>
  <si>
    <t>C176316</t>
  </si>
  <si>
    <t>C12387</t>
  </si>
  <si>
    <t>C33757</t>
  </si>
  <si>
    <t>C103818</t>
  </si>
  <si>
    <t>C103454</t>
  </si>
  <si>
    <t>C32761</t>
  </si>
  <si>
    <t>C12734</t>
  </si>
  <si>
    <t>C32764</t>
  </si>
  <si>
    <t>C139207</t>
  </si>
  <si>
    <t>C32765</t>
  </si>
  <si>
    <t>C32769</t>
  </si>
  <si>
    <t>C32770</t>
  </si>
  <si>
    <t>C113695</t>
  </si>
  <si>
    <t>C132392</t>
  </si>
  <si>
    <t>C32791</t>
  </si>
  <si>
    <t>C12815</t>
  </si>
  <si>
    <t>C63705</t>
  </si>
  <si>
    <t>C116179</t>
  </si>
  <si>
    <t>C32797</t>
  </si>
  <si>
    <t>C12509</t>
  </si>
  <si>
    <t>C32801</t>
  </si>
  <si>
    <t>C12726</t>
  </si>
  <si>
    <t>C32278</t>
  </si>
  <si>
    <t>C32818</t>
  </si>
  <si>
    <t>C32845</t>
  </si>
  <si>
    <t>C88142</t>
  </si>
  <si>
    <t>C52941</t>
  </si>
  <si>
    <t>C32853</t>
  </si>
  <si>
    <t>C186123</t>
  </si>
  <si>
    <t>C114200</t>
  </si>
  <si>
    <t>C102301</t>
  </si>
  <si>
    <t>C114201</t>
  </si>
  <si>
    <t>C114190</t>
  </si>
  <si>
    <t>C102302</t>
  </si>
  <si>
    <t>C114202</t>
  </si>
  <si>
    <t>C114191</t>
  </si>
  <si>
    <t>C102303</t>
  </si>
  <si>
    <t>C114203</t>
  </si>
  <si>
    <t>C114192</t>
  </si>
  <si>
    <t>C102304</t>
  </si>
  <si>
    <t>C114204</t>
  </si>
  <si>
    <t>C114193</t>
  </si>
  <si>
    <t>C102305</t>
  </si>
  <si>
    <t>C32868</t>
  </si>
  <si>
    <t>C32867</t>
  </si>
  <si>
    <t>C102306</t>
  </si>
  <si>
    <t>C120672</t>
  </si>
  <si>
    <t>C32874</t>
  </si>
  <si>
    <t>C49478</t>
  </si>
  <si>
    <t>C12736</t>
  </si>
  <si>
    <t>C12677</t>
  </si>
  <si>
    <t>C96803</t>
  </si>
  <si>
    <t>C12359</t>
  </si>
  <si>
    <t>C12737</t>
  </si>
  <si>
    <t>C105446</t>
  </si>
  <si>
    <t>C103455</t>
  </si>
  <si>
    <t>C32884</t>
  </si>
  <si>
    <t>C48821</t>
  </si>
  <si>
    <t>C12388</t>
  </si>
  <si>
    <t>C13044</t>
  </si>
  <si>
    <t>C12738</t>
  </si>
  <si>
    <t>C186124</t>
  </si>
  <si>
    <t>C12415</t>
  </si>
  <si>
    <t>C12739</t>
  </si>
  <si>
    <t>C32740</t>
  </si>
  <si>
    <t>C93180</t>
  </si>
  <si>
    <t>C12740</t>
  </si>
  <si>
    <t>C93179</t>
  </si>
  <si>
    <t>C186125</t>
  </si>
  <si>
    <t>C161388</t>
  </si>
  <si>
    <t>C32898</t>
  </si>
  <si>
    <t>C32899</t>
  </si>
  <si>
    <t>C32900</t>
  </si>
  <si>
    <t>C112327</t>
  </si>
  <si>
    <t>C32901</t>
  </si>
  <si>
    <t>C112328</t>
  </si>
  <si>
    <t>C32902</t>
  </si>
  <si>
    <t>C142296</t>
  </si>
  <si>
    <t>C32903</t>
  </si>
  <si>
    <t>C154781</t>
  </si>
  <si>
    <t>C120673</t>
  </si>
  <si>
    <t>C32906</t>
  </si>
  <si>
    <t>C12346</t>
  </si>
  <si>
    <t>C102313</t>
  </si>
  <si>
    <t>C12379</t>
  </si>
  <si>
    <t>C12420</t>
  </si>
  <si>
    <t>C102307</t>
  </si>
  <si>
    <t>C102308</t>
  </si>
  <si>
    <t>C139202</t>
  </si>
  <si>
    <t>C102309</t>
  </si>
  <si>
    <t>C102310</t>
  </si>
  <si>
    <t>C102311</t>
  </si>
  <si>
    <t>C102312</t>
  </si>
  <si>
    <t>C102425</t>
  </si>
  <si>
    <t>C33150</t>
  </si>
  <si>
    <t>C116175</t>
  </si>
  <si>
    <t>C116177</t>
  </si>
  <si>
    <t>C116176</t>
  </si>
  <si>
    <t>C12874</t>
  </si>
  <si>
    <t>C116174</t>
  </si>
  <si>
    <t>C116173</t>
  </si>
  <si>
    <t>C116172</t>
  </si>
  <si>
    <t>C116178</t>
  </si>
  <si>
    <t>C102314</t>
  </si>
  <si>
    <t>C127650</t>
  </si>
  <si>
    <t>C127651</t>
  </si>
  <si>
    <t>C127652</t>
  </si>
  <si>
    <t>C127653</t>
  </si>
  <si>
    <t>C127654</t>
  </si>
  <si>
    <t>C127655</t>
  </si>
  <si>
    <t>C127656</t>
  </si>
  <si>
    <t>C127657</t>
  </si>
  <si>
    <t>C127658</t>
  </si>
  <si>
    <t>C127659</t>
  </si>
  <si>
    <t>C127660</t>
  </si>
  <si>
    <t>C102315</t>
  </si>
  <si>
    <t>C127661</t>
  </si>
  <si>
    <t>C127662</t>
  </si>
  <si>
    <t>C127663</t>
  </si>
  <si>
    <t>C127664</t>
  </si>
  <si>
    <t>C127665</t>
  </si>
  <si>
    <t>C127666</t>
  </si>
  <si>
    <t>C52749</t>
  </si>
  <si>
    <t>C32974</t>
  </si>
  <si>
    <t>C12743</t>
  </si>
  <si>
    <t>C32979</t>
  </si>
  <si>
    <t>C12261</t>
  </si>
  <si>
    <t>C32982</t>
  </si>
  <si>
    <t>C13046</t>
  </si>
  <si>
    <t>C12429</t>
  </si>
  <si>
    <t>C12742</t>
  </si>
  <si>
    <t>C12671</t>
  </si>
  <si>
    <t>C40373</t>
  </si>
  <si>
    <t>C12220</t>
  </si>
  <si>
    <t>C12222</t>
  </si>
  <si>
    <t>C12221</t>
  </si>
  <si>
    <t>C32996</t>
  </si>
  <si>
    <t>C49579</t>
  </si>
  <si>
    <t>C12392</t>
  </si>
  <si>
    <t>C33000</t>
  </si>
  <si>
    <t>C79733</t>
  </si>
  <si>
    <t>C79735</t>
  </si>
  <si>
    <t>C79732</t>
  </si>
  <si>
    <t>C79734</t>
  </si>
  <si>
    <t>C32965</t>
  </si>
  <si>
    <t>C112404</t>
  </si>
  <si>
    <t>C79736</t>
  </si>
  <si>
    <t>C79739</t>
  </si>
  <si>
    <t>C79737</t>
  </si>
  <si>
    <t>C79738</t>
  </si>
  <si>
    <t>C33481</t>
  </si>
  <si>
    <t>C97333</t>
  </si>
  <si>
    <t>C176234</t>
  </si>
  <si>
    <t>C132512</t>
  </si>
  <si>
    <t>C33012</t>
  </si>
  <si>
    <t>C34004</t>
  </si>
  <si>
    <t>C69314</t>
  </si>
  <si>
    <t>C12744</t>
  </si>
  <si>
    <t>C48824</t>
  </si>
  <si>
    <t>C186126</t>
  </si>
  <si>
    <t>C150852</t>
  </si>
  <si>
    <t>C12786</t>
  </si>
  <si>
    <t>C34021</t>
  </si>
  <si>
    <t>C12468</t>
  </si>
  <si>
    <t>C49282</t>
  </si>
  <si>
    <t>C33020</t>
  </si>
  <si>
    <t>C33021</t>
  </si>
  <si>
    <t>C32967</t>
  </si>
  <si>
    <t>C132393</t>
  </si>
  <si>
    <t>C132394</t>
  </si>
  <si>
    <t>C132395</t>
  </si>
  <si>
    <t>C132396</t>
  </si>
  <si>
    <t>C132397</t>
  </si>
  <si>
    <t>C132398</t>
  </si>
  <si>
    <t>C132399</t>
  </si>
  <si>
    <t>C132400</t>
  </si>
  <si>
    <t>C132401</t>
  </si>
  <si>
    <t>C33022</t>
  </si>
  <si>
    <t>C12286</t>
  </si>
  <si>
    <t>C33023</t>
  </si>
  <si>
    <t>C33483</t>
  </si>
  <si>
    <t>C132402</t>
  </si>
  <si>
    <t>C132403</t>
  </si>
  <si>
    <t>C132404</t>
  </si>
  <si>
    <t>C132405</t>
  </si>
  <si>
    <t>C132406</t>
  </si>
  <si>
    <t>C132407</t>
  </si>
  <si>
    <t>C132408</t>
  </si>
  <si>
    <t>C132409</t>
  </si>
  <si>
    <t>C132410</t>
  </si>
  <si>
    <t>C132411</t>
  </si>
  <si>
    <t>C33031</t>
  </si>
  <si>
    <t>C12745</t>
  </si>
  <si>
    <t>C26464</t>
  </si>
  <si>
    <t>C32968</t>
  </si>
  <si>
    <t>C33486</t>
  </si>
  <si>
    <t>C61599</t>
  </si>
  <si>
    <t>C12722</t>
  </si>
  <si>
    <t>C33051</t>
  </si>
  <si>
    <t>C12367</t>
  </si>
  <si>
    <t>C12290</t>
  </si>
  <si>
    <t>C13074</t>
  </si>
  <si>
    <t>C12503</t>
  </si>
  <si>
    <t>C26470</t>
  </si>
  <si>
    <t>C12275</t>
  </si>
  <si>
    <t>C139204</t>
  </si>
  <si>
    <t>C33070</t>
  </si>
  <si>
    <t>C52815</t>
  </si>
  <si>
    <t>C103417</t>
  </si>
  <si>
    <t>C33073</t>
  </si>
  <si>
    <t>C164004</t>
  </si>
  <si>
    <t>C12748</t>
  </si>
  <si>
    <t>C32098</t>
  </si>
  <si>
    <t>C33123</t>
  </si>
  <si>
    <t>C33368</t>
  </si>
  <si>
    <t>C33684</t>
  </si>
  <si>
    <t>C12442</t>
  </si>
  <si>
    <t>C12348</t>
  </si>
  <si>
    <t>C186127</t>
  </si>
  <si>
    <t>C52975</t>
  </si>
  <si>
    <t>C77641</t>
  </si>
  <si>
    <t>C53055</t>
  </si>
  <si>
    <t>C33103</t>
  </si>
  <si>
    <t>C33105</t>
  </si>
  <si>
    <t>C127667</t>
  </si>
  <si>
    <t>C52796</t>
  </si>
  <si>
    <t>C52795</t>
  </si>
  <si>
    <t>C52794</t>
  </si>
  <si>
    <t>C52793</t>
  </si>
  <si>
    <t>C52792</t>
  </si>
  <si>
    <t>C12751</t>
  </si>
  <si>
    <t>C102316</t>
  </si>
  <si>
    <t>C102317</t>
  </si>
  <si>
    <t>C102318</t>
  </si>
  <si>
    <t>C102319</t>
  </si>
  <si>
    <t>C102320</t>
  </si>
  <si>
    <t>C12752</t>
  </si>
  <si>
    <t>C102321</t>
  </si>
  <si>
    <t>C102322</t>
  </si>
  <si>
    <t>C102323</t>
  </si>
  <si>
    <t>C102324</t>
  </si>
  <si>
    <t>C102325</t>
  </si>
  <si>
    <t>C33108</t>
  </si>
  <si>
    <t>C102326</t>
  </si>
  <si>
    <t>C132511</t>
  </si>
  <si>
    <t>C102328</t>
  </si>
  <si>
    <t>C102329</t>
  </si>
  <si>
    <t>C102327</t>
  </si>
  <si>
    <t>C12510</t>
  </si>
  <si>
    <t>C12274</t>
  </si>
  <si>
    <t>C33118</t>
  </si>
  <si>
    <t>C142297</t>
  </si>
  <si>
    <t>C142298</t>
  </si>
  <si>
    <t>C142299</t>
  </si>
  <si>
    <t>C142300</t>
  </si>
  <si>
    <t>C33125</t>
  </si>
  <si>
    <t>C127306</t>
  </si>
  <si>
    <t>C12753</t>
  </si>
  <si>
    <t>C127668</t>
  </si>
  <si>
    <t>C127669</t>
  </si>
  <si>
    <t>C127670</t>
  </si>
  <si>
    <t>C127671</t>
  </si>
  <si>
    <t>C97339</t>
  </si>
  <si>
    <t>C12226</t>
  </si>
  <si>
    <t>C13166</t>
  </si>
  <si>
    <t>C13056</t>
  </si>
  <si>
    <t>C12754</t>
  </si>
  <si>
    <t>C12314</t>
  </si>
  <si>
    <t>C170605</t>
  </si>
  <si>
    <t>C33156</t>
  </si>
  <si>
    <t>C33157</t>
  </si>
  <si>
    <t>C12424</t>
  </si>
  <si>
    <t>C33160</t>
  </si>
  <si>
    <t>C164006</t>
  </si>
  <si>
    <t>C12423</t>
  </si>
  <si>
    <t>C33162</t>
  </si>
  <si>
    <t>C13063</t>
  </si>
  <si>
    <t>C12466</t>
  </si>
  <si>
    <t>C12299</t>
  </si>
  <si>
    <t>C12756</t>
  </si>
  <si>
    <t>C33178</t>
  </si>
  <si>
    <t>C142301</t>
  </si>
  <si>
    <t>C52733</t>
  </si>
  <si>
    <t>C97342</t>
  </si>
  <si>
    <t>C33191</t>
  </si>
  <si>
    <t>C33192</t>
  </si>
  <si>
    <t>C88141</t>
  </si>
  <si>
    <t>C33193</t>
  </si>
  <si>
    <t>C12757</t>
  </si>
  <si>
    <t>C12355</t>
  </si>
  <si>
    <t>C98188</t>
  </si>
  <si>
    <t>C103456</t>
  </si>
  <si>
    <t>C12758</t>
  </si>
  <si>
    <t>C33200</t>
  </si>
  <si>
    <t>C28401</t>
  </si>
  <si>
    <t>C33205</t>
  </si>
  <si>
    <t>C12759</t>
  </si>
  <si>
    <t>C33209</t>
  </si>
  <si>
    <t>C33216</t>
  </si>
  <si>
    <t>C150853</t>
  </si>
  <si>
    <t>C90609</t>
  </si>
  <si>
    <t>C12760</t>
  </si>
  <si>
    <t>C12761</t>
  </si>
  <si>
    <t>C12421</t>
  </si>
  <si>
    <t>C77637</t>
  </si>
  <si>
    <t>C52886</t>
  </si>
  <si>
    <t>C12347</t>
  </si>
  <si>
    <t>C186128</t>
  </si>
  <si>
    <t>C12762</t>
  </si>
  <si>
    <t>C174318</t>
  </si>
  <si>
    <t>C33244</t>
  </si>
  <si>
    <t>C12404</t>
  </si>
  <si>
    <t>C186129</t>
  </si>
  <si>
    <t>C12229</t>
  </si>
  <si>
    <t>C52745</t>
  </si>
  <si>
    <t>C12232</t>
  </si>
  <si>
    <t>C33252</t>
  </si>
  <si>
    <t>C177994</t>
  </si>
  <si>
    <t>C12901</t>
  </si>
  <si>
    <t>C174322</t>
  </si>
  <si>
    <t>C12393</t>
  </si>
  <si>
    <t>C12270</t>
  </si>
  <si>
    <t>C12608</t>
  </si>
  <si>
    <t>C32546</t>
  </si>
  <si>
    <t>C12269</t>
  </si>
  <si>
    <t>C158551</t>
  </si>
  <si>
    <t>C12271</t>
  </si>
  <si>
    <t>C12272</t>
  </si>
  <si>
    <t>C33259</t>
  </si>
  <si>
    <t>C77643</t>
  </si>
  <si>
    <t>C117869</t>
  </si>
  <si>
    <t>C89787</t>
  </si>
  <si>
    <t>C147453</t>
  </si>
  <si>
    <t>C12320</t>
  </si>
  <si>
    <t>C12763</t>
  </si>
  <si>
    <t>C142302</t>
  </si>
  <si>
    <t>C52902</t>
  </si>
  <si>
    <t>C166000</t>
  </si>
  <si>
    <t>C52557</t>
  </si>
  <si>
    <t>C12765</t>
  </si>
  <si>
    <t>C103426</t>
  </si>
  <si>
    <t>C186130</t>
  </si>
  <si>
    <t>C97925</t>
  </si>
  <si>
    <t>C12766</t>
  </si>
  <si>
    <t>C12354</t>
  </si>
  <si>
    <t>C33278</t>
  </si>
  <si>
    <t>C12427</t>
  </si>
  <si>
    <t>C97341</t>
  </si>
  <si>
    <t>C33282</t>
  </si>
  <si>
    <t>C187835</t>
  </si>
  <si>
    <t>C77660</t>
  </si>
  <si>
    <t>C120322</t>
  </si>
  <si>
    <t>C33284</t>
  </si>
  <si>
    <t>C33285</t>
  </si>
  <si>
    <t>C33287</t>
  </si>
  <si>
    <t>C12363</t>
  </si>
  <si>
    <t>C189531</t>
  </si>
  <si>
    <t>C12767</t>
  </si>
  <si>
    <t>C177995</t>
  </si>
  <si>
    <t>C12409</t>
  </si>
  <si>
    <t>C12325</t>
  </si>
  <si>
    <t>C12324</t>
  </si>
  <si>
    <t>C124350</t>
  </si>
  <si>
    <t>C164007</t>
  </si>
  <si>
    <t>C99148</t>
  </si>
  <si>
    <t>C38662</t>
  </si>
  <si>
    <t>C117870</t>
  </si>
  <si>
    <t>C127672</t>
  </si>
  <si>
    <t>C13005</t>
  </si>
  <si>
    <t>C170601</t>
  </si>
  <si>
    <t>C102330</t>
  </si>
  <si>
    <t>C186131</t>
  </si>
  <si>
    <t>C33301</t>
  </si>
  <si>
    <t>C77642</t>
  </si>
  <si>
    <t>C12768</t>
  </si>
  <si>
    <t>C154774</t>
  </si>
  <si>
    <t>C12769</t>
  </si>
  <si>
    <t>C77644</t>
  </si>
  <si>
    <t>C12770</t>
  </si>
  <si>
    <t>C139205</t>
  </si>
  <si>
    <t>C132412</t>
  </si>
  <si>
    <t>C111287</t>
  </si>
  <si>
    <t>C178003</t>
  </si>
  <si>
    <t>C33314</t>
  </si>
  <si>
    <t>C52814</t>
  </si>
  <si>
    <t>C186132</t>
  </si>
  <si>
    <t>C53171</t>
  </si>
  <si>
    <t>C33318</t>
  </si>
  <si>
    <t>C12425</t>
  </si>
  <si>
    <t>C12398</t>
  </si>
  <si>
    <t>C12855</t>
  </si>
  <si>
    <t>C12399</t>
  </si>
  <si>
    <t>C13272</t>
  </si>
  <si>
    <t>C186133</t>
  </si>
  <si>
    <t>C12469</t>
  </si>
  <si>
    <t>C12840</t>
  </si>
  <si>
    <t>C12511</t>
  </si>
  <si>
    <t>C116180</t>
  </si>
  <si>
    <t>C116181</t>
  </si>
  <si>
    <t>C103222</t>
  </si>
  <si>
    <t>C53146</t>
  </si>
  <si>
    <t>C33339</t>
  </si>
  <si>
    <t>C117871</t>
  </si>
  <si>
    <t>C117872</t>
  </si>
  <si>
    <t>C77645</t>
  </si>
  <si>
    <t>C132413</t>
  </si>
  <si>
    <t>C33343</t>
  </si>
  <si>
    <t>C33346</t>
  </si>
  <si>
    <t>C103428</t>
  </si>
  <si>
    <t>C154778</t>
  </si>
  <si>
    <t>C102348</t>
  </si>
  <si>
    <t>C33362</t>
  </si>
  <si>
    <t>C142303</t>
  </si>
  <si>
    <t>C139206</t>
  </si>
  <si>
    <t>C12826</t>
  </si>
  <si>
    <t>C33386</t>
  </si>
  <si>
    <t>C116170</t>
  </si>
  <si>
    <t>C103429</t>
  </si>
  <si>
    <t>C33393</t>
  </si>
  <si>
    <t>C112399</t>
  </si>
  <si>
    <t>C154779</t>
  </si>
  <si>
    <t>C147454</t>
  </si>
  <si>
    <t>C186134</t>
  </si>
  <si>
    <t>C79432</t>
  </si>
  <si>
    <t>C154775</t>
  </si>
  <si>
    <t>C132414</t>
  </si>
  <si>
    <t>C186135</t>
  </si>
  <si>
    <t>C147455</t>
  </si>
  <si>
    <t>C97340</t>
  </si>
  <si>
    <t>C166001</t>
  </si>
  <si>
    <t>C32436</t>
  </si>
  <si>
    <t>C154776</t>
  </si>
  <si>
    <t>C150854</t>
  </si>
  <si>
    <t>C53174</t>
  </si>
  <si>
    <t>C12410</t>
  </si>
  <si>
    <t>C13092</t>
  </si>
  <si>
    <t>C13094</t>
  </si>
  <si>
    <t>C13093</t>
  </si>
  <si>
    <t>C102331</t>
  </si>
  <si>
    <t>C114205</t>
  </si>
  <si>
    <t>C114194</t>
  </si>
  <si>
    <t>C102332</t>
  </si>
  <si>
    <t>C114206</t>
  </si>
  <si>
    <t>C114195</t>
  </si>
  <si>
    <t>C102333</t>
  </si>
  <si>
    <t>C114207</t>
  </si>
  <si>
    <t>C114196</t>
  </si>
  <si>
    <t>C102334</t>
  </si>
  <si>
    <t>C114208</t>
  </si>
  <si>
    <t>C114197</t>
  </si>
  <si>
    <t>C102335</t>
  </si>
  <si>
    <t>C102336</t>
  </si>
  <si>
    <t>C150848</t>
  </si>
  <si>
    <t>C142304</t>
  </si>
  <si>
    <t>C142305</t>
  </si>
  <si>
    <t>C142306</t>
  </si>
  <si>
    <t>C142307</t>
  </si>
  <si>
    <t>C102337</t>
  </si>
  <si>
    <t>C115335</t>
  </si>
  <si>
    <t>C33423</t>
  </si>
  <si>
    <t>C12774</t>
  </si>
  <si>
    <t>C191304</t>
  </si>
  <si>
    <t>C116918</t>
  </si>
  <si>
    <t>C12775</t>
  </si>
  <si>
    <t>C127673</t>
  </si>
  <si>
    <t>C127674</t>
  </si>
  <si>
    <t>C127675</t>
  </si>
  <si>
    <t>C12776</t>
  </si>
  <si>
    <t>C33429</t>
  </si>
  <si>
    <t>C12452</t>
  </si>
  <si>
    <t>C33433</t>
  </si>
  <si>
    <t>C12260</t>
  </si>
  <si>
    <t>C142308</t>
  </si>
  <si>
    <t>C142309</t>
  </si>
  <si>
    <t>C33441</t>
  </si>
  <si>
    <t>C12838</t>
  </si>
  <si>
    <t>C52812</t>
  </si>
  <si>
    <t>C187836</t>
  </si>
  <si>
    <t>C120674</t>
  </si>
  <si>
    <t>C12777</t>
  </si>
  <si>
    <t>C142310</t>
  </si>
  <si>
    <t>C102338</t>
  </si>
  <si>
    <t>C97335</t>
  </si>
  <si>
    <t>C33447</t>
  </si>
  <si>
    <t>C54188</t>
  </si>
  <si>
    <t>C142311</t>
  </si>
  <si>
    <t>C12390</t>
  </si>
  <si>
    <t>C53175</t>
  </si>
  <si>
    <t>C49018</t>
  </si>
  <si>
    <t>C12778</t>
  </si>
  <si>
    <t>C131138</t>
  </si>
  <si>
    <t>C142312</t>
  </si>
  <si>
    <t>C33460</t>
  </si>
  <si>
    <t>C12887</t>
  </si>
  <si>
    <t>C33462</t>
  </si>
  <si>
    <t>C12779</t>
  </si>
  <si>
    <t>C12343</t>
  </si>
  <si>
    <t>C52997</t>
  </si>
  <si>
    <t>C32953</t>
  </si>
  <si>
    <t>C33470</t>
  </si>
  <si>
    <t>C54155</t>
  </si>
  <si>
    <t>C142313</t>
  </si>
  <si>
    <t>C103439</t>
  </si>
  <si>
    <t>C98189</t>
  </si>
  <si>
    <t>C12298</t>
  </si>
  <si>
    <t>C77649</t>
  </si>
  <si>
    <t>C186136</t>
  </si>
  <si>
    <t>C186137</t>
  </si>
  <si>
    <t>C52770</t>
  </si>
  <si>
    <t>C52769</t>
  </si>
  <si>
    <t>C52768</t>
  </si>
  <si>
    <t>C52767</t>
  </si>
  <si>
    <t>C52766</t>
  </si>
  <si>
    <t>C52765</t>
  </si>
  <si>
    <t>C52764</t>
  </si>
  <si>
    <t>C52763</t>
  </si>
  <si>
    <t>C52762</t>
  </si>
  <si>
    <t>C52761</t>
  </si>
  <si>
    <t>C52760</t>
  </si>
  <si>
    <t>C52759</t>
  </si>
  <si>
    <t>C12782</t>
  </si>
  <si>
    <t>C102339</t>
  </si>
  <si>
    <t>C116169</t>
  </si>
  <si>
    <t>C102340</t>
  </si>
  <si>
    <t>C102341</t>
  </si>
  <si>
    <t>C102342</t>
  </si>
  <si>
    <t>C116171</t>
  </si>
  <si>
    <t>C102343</t>
  </si>
  <si>
    <t>C12319</t>
  </si>
  <si>
    <t>C105447</t>
  </si>
  <si>
    <t>C12853</t>
  </si>
  <si>
    <t>C33507</t>
  </si>
  <si>
    <t>C33508</t>
  </si>
  <si>
    <t>C12426</t>
  </si>
  <si>
    <t>C12234</t>
  </si>
  <si>
    <t>C33511</t>
  </si>
  <si>
    <t>C33515</t>
  </si>
  <si>
    <t>C89780</t>
  </si>
  <si>
    <t>C89807</t>
  </si>
  <si>
    <t>C12854</t>
  </si>
  <si>
    <t>C127676</t>
  </si>
  <si>
    <t>C142314</t>
  </si>
  <si>
    <t>C127677</t>
  </si>
  <si>
    <t>C142315</t>
  </si>
  <si>
    <t>C127678</t>
  </si>
  <si>
    <t>C142316</t>
  </si>
  <si>
    <t>C12783</t>
  </si>
  <si>
    <t>C52810</t>
  </si>
  <si>
    <t>C12784</t>
  </si>
  <si>
    <t>C12785</t>
  </si>
  <si>
    <t>C33519</t>
  </si>
  <si>
    <t>C102344</t>
  </si>
  <si>
    <t>C102345</t>
  </si>
  <si>
    <t>C102346</t>
  </si>
  <si>
    <t>C102347</t>
  </si>
  <si>
    <t>C52987</t>
  </si>
  <si>
    <t>C12787</t>
  </si>
  <si>
    <t>C53176</t>
  </si>
  <si>
    <t>C154777</t>
  </si>
  <si>
    <t>C33540</t>
  </si>
  <si>
    <t>C154780</t>
  </si>
  <si>
    <t>C161387</t>
  </si>
  <si>
    <t>C33548</t>
  </si>
  <si>
    <t>C25203</t>
  </si>
  <si>
    <t>C166111</t>
  </si>
  <si>
    <t>C33556</t>
  </si>
  <si>
    <t>C170599</t>
  </si>
  <si>
    <t>C170600</t>
  </si>
  <si>
    <t>C142317</t>
  </si>
  <si>
    <t>C170602</t>
  </si>
  <si>
    <t>C116164</t>
  </si>
  <si>
    <t>C142318</t>
  </si>
  <si>
    <t>C170603</t>
  </si>
  <si>
    <t>C150855</t>
  </si>
  <si>
    <t>C161379</t>
  </si>
  <si>
    <t>C142319</t>
  </si>
  <si>
    <t>C49481</t>
  </si>
  <si>
    <t>C52755</t>
  </si>
  <si>
    <t>C33561</t>
  </si>
  <si>
    <t>C52720</t>
  </si>
  <si>
    <t>C52750</t>
  </si>
  <si>
    <t>C161378</t>
  </si>
  <si>
    <t>C52753</t>
  </si>
  <si>
    <t>C52757</t>
  </si>
  <si>
    <t>C161391</t>
  </si>
  <si>
    <t>C161380</t>
  </si>
  <si>
    <t>C64859</t>
  </si>
  <si>
    <t>C12291</t>
  </si>
  <si>
    <t>C164047</t>
  </si>
  <si>
    <t>C52756</t>
  </si>
  <si>
    <t>C170604</t>
  </si>
  <si>
    <t>C170606</t>
  </si>
  <si>
    <t>C150856</t>
  </si>
  <si>
    <t>C12295</t>
  </si>
  <si>
    <t>C164048</t>
  </si>
  <si>
    <t>C12470</t>
  </si>
  <si>
    <t>C12789</t>
  </si>
  <si>
    <t>C12493</t>
  </si>
  <si>
    <t>C33568</t>
  </si>
  <si>
    <t>C12386</t>
  </si>
  <si>
    <t>C33546</t>
  </si>
  <si>
    <t>C186138</t>
  </si>
  <si>
    <t>C12231</t>
  </si>
  <si>
    <t>C12471</t>
  </si>
  <si>
    <t>C33326</t>
  </si>
  <si>
    <t>C53075</t>
  </si>
  <si>
    <t>C12790</t>
  </si>
  <si>
    <t>C12278</t>
  </si>
  <si>
    <t>C32041</t>
  </si>
  <si>
    <t>C186139</t>
  </si>
  <si>
    <t>C12464</t>
  </si>
  <si>
    <t>C12892</t>
  </si>
  <si>
    <t>C116112</t>
  </si>
  <si>
    <t>C12432</t>
  </si>
  <si>
    <t>C33601</t>
  </si>
  <si>
    <t>C33597</t>
  </si>
  <si>
    <t>C33600</t>
  </si>
  <si>
    <t>C142320</t>
  </si>
  <si>
    <t>C33608</t>
  </si>
  <si>
    <t>C52730</t>
  </si>
  <si>
    <t>C176320</t>
  </si>
  <si>
    <t>C33615</t>
  </si>
  <si>
    <t>C33616</t>
  </si>
  <si>
    <t>C12793</t>
  </si>
  <si>
    <t>C186140</t>
  </si>
  <si>
    <t>C12391</t>
  </si>
  <si>
    <t>C142370</t>
  </si>
  <si>
    <t>C156507</t>
  </si>
  <si>
    <t>C117873</t>
  </si>
  <si>
    <t>C33643</t>
  </si>
  <si>
    <t>C12794</t>
  </si>
  <si>
    <t>C33645</t>
  </si>
  <si>
    <t>C189532</t>
  </si>
  <si>
    <t>C12280</t>
  </si>
  <si>
    <t>C102349</t>
  </si>
  <si>
    <t>C12233</t>
  </si>
  <si>
    <t>C77650</t>
  </si>
  <si>
    <t>C142322</t>
  </si>
  <si>
    <t>C33651</t>
  </si>
  <si>
    <t>C12453</t>
  </si>
  <si>
    <t>C33653</t>
  </si>
  <si>
    <t>C33712</t>
  </si>
  <si>
    <t>C33661</t>
  </si>
  <si>
    <t>C102716</t>
  </si>
  <si>
    <t>C33674</t>
  </si>
  <si>
    <t>C132515</t>
  </si>
  <si>
    <t>C132415</t>
  </si>
  <si>
    <t>C12515</t>
  </si>
  <si>
    <t>C33698</t>
  </si>
  <si>
    <t>C12816</t>
  </si>
  <si>
    <t>C186141</t>
  </si>
  <si>
    <t>C142323</t>
  </si>
  <si>
    <t>C12903</t>
  </si>
  <si>
    <t>C12279</t>
  </si>
  <si>
    <t>C33706</t>
  </si>
  <si>
    <t>C186142</t>
  </si>
  <si>
    <t>C32755</t>
  </si>
  <si>
    <t>C130168</t>
  </si>
  <si>
    <t>C33709</t>
  </si>
  <si>
    <t>C12512</t>
  </si>
  <si>
    <t>C77675</t>
  </si>
  <si>
    <t>C186143</t>
  </si>
  <si>
    <t>C12467</t>
  </si>
  <si>
    <t>C33718</t>
  </si>
  <si>
    <t>C12473</t>
  </si>
  <si>
    <t>C33720</t>
  </si>
  <si>
    <t>C33721</t>
  </si>
  <si>
    <t>C33722</t>
  </si>
  <si>
    <t>C33723</t>
  </si>
  <si>
    <t>C33724</t>
  </si>
  <si>
    <t>C33725</t>
  </si>
  <si>
    <t>C33726</t>
  </si>
  <si>
    <t>C33727</t>
  </si>
  <si>
    <t>C33728</t>
  </si>
  <si>
    <t>C33729</t>
  </si>
  <si>
    <t>C33730</t>
  </si>
  <si>
    <t>C33731</t>
  </si>
  <si>
    <t>C77663</t>
  </si>
  <si>
    <t>C52799</t>
  </si>
  <si>
    <t>C33735</t>
  </si>
  <si>
    <t>C12796</t>
  </si>
  <si>
    <t>C12460</t>
  </si>
  <si>
    <t>C142369</t>
  </si>
  <si>
    <t>C33741</t>
  </si>
  <si>
    <t>C12797</t>
  </si>
  <si>
    <t>C12353</t>
  </si>
  <si>
    <t>C32888</t>
  </si>
  <si>
    <t>C13045</t>
  </si>
  <si>
    <t>C53072</t>
  </si>
  <si>
    <t>C33749</t>
  </si>
  <si>
    <t>C12412</t>
  </si>
  <si>
    <t>C12459</t>
  </si>
  <si>
    <t>C33763</t>
  </si>
  <si>
    <t>C102350</t>
  </si>
  <si>
    <t>C102351</t>
  </si>
  <si>
    <t>C102352</t>
  </si>
  <si>
    <t>C102353</t>
  </si>
  <si>
    <t>C33766</t>
  </si>
  <si>
    <t>C142325</t>
  </si>
  <si>
    <t>C12905</t>
  </si>
  <si>
    <t>C33769</t>
  </si>
  <si>
    <t>C69315</t>
  </si>
  <si>
    <t>C12798</t>
  </si>
  <si>
    <t>C12799</t>
  </si>
  <si>
    <t>C54272</t>
  </si>
  <si>
    <t>C12433</t>
  </si>
  <si>
    <t>C32887</t>
  </si>
  <si>
    <t>C12400</t>
  </si>
  <si>
    <t>C32973</t>
  </si>
  <si>
    <t>C33491</t>
  </si>
  <si>
    <t>C120675</t>
  </si>
  <si>
    <t>C12800</t>
  </si>
  <si>
    <t>C181455</t>
  </si>
  <si>
    <t>C52809</t>
  </si>
  <si>
    <t>C116168</t>
  </si>
  <si>
    <t>C117874</t>
  </si>
  <si>
    <t>C140526</t>
  </si>
  <si>
    <t>C116182</t>
  </si>
  <si>
    <t>C156506</t>
  </si>
  <si>
    <t>C33788</t>
  </si>
  <si>
    <t>C33790</t>
  </si>
  <si>
    <t>C12422</t>
  </si>
  <si>
    <t>C12802</t>
  </si>
  <si>
    <t>C66864</t>
  </si>
  <si>
    <t>C12506</t>
  </si>
  <si>
    <t>C12428</t>
  </si>
  <si>
    <t>C117875</t>
  </si>
  <si>
    <t>C102354</t>
  </si>
  <si>
    <t>C12857</t>
  </si>
  <si>
    <t>C142326</t>
  </si>
  <si>
    <t>C33809</t>
  </si>
  <si>
    <t>C12859</t>
  </si>
  <si>
    <t>C142327</t>
  </si>
  <si>
    <t>C12858</t>
  </si>
  <si>
    <t>C139200</t>
  </si>
  <si>
    <t>C139203</t>
  </si>
  <si>
    <t>C90604</t>
  </si>
  <si>
    <t>C130047</t>
  </si>
  <si>
    <t>C12805</t>
  </si>
  <si>
    <t>C32799</t>
  </si>
  <si>
    <t>C130169</t>
  </si>
  <si>
    <t>C33055</t>
  </si>
  <si>
    <t>C33534</t>
  </si>
  <si>
    <t>C12806</t>
  </si>
  <si>
    <t>C33814</t>
  </si>
  <si>
    <t>C12808</t>
  </si>
  <si>
    <t>C33816</t>
  </si>
  <si>
    <t>C33820</t>
  </si>
  <si>
    <t>C12502</t>
  </si>
  <si>
    <t>C120676</t>
  </si>
  <si>
    <t>C12809</t>
  </si>
  <si>
    <t>C12839</t>
  </si>
  <si>
    <t>C52807</t>
  </si>
  <si>
    <t>C33827</t>
  </si>
  <si>
    <t>C34320</t>
  </si>
  <si>
    <t>C33830</t>
  </si>
  <si>
    <t>C77533</t>
  </si>
  <si>
    <t>C62432</t>
  </si>
  <si>
    <t>C103447</t>
  </si>
  <si>
    <t>C33839</t>
  </si>
  <si>
    <t>C142328</t>
  </si>
  <si>
    <t>C12338</t>
  </si>
  <si>
    <t>C12416</t>
  </si>
  <si>
    <t>C12337</t>
  </si>
  <si>
    <t>C12417</t>
  </si>
  <si>
    <t>C61125</t>
  </si>
  <si>
    <t>C61123</t>
  </si>
  <si>
    <t>C61126</t>
  </si>
  <si>
    <t>C13101</t>
  </si>
  <si>
    <t>C128573</t>
  </si>
  <si>
    <t>C12413</t>
  </si>
  <si>
    <t>C142329</t>
  </si>
  <si>
    <t>C161570</t>
  </si>
  <si>
    <t>C13039</t>
  </si>
  <si>
    <t>C12405</t>
  </si>
  <si>
    <t>C12811</t>
  </si>
  <si>
    <t>C12407</t>
  </si>
  <si>
    <t>C161377</t>
  </si>
  <si>
    <t>C12812</t>
  </si>
  <si>
    <t>C12813</t>
  </si>
  <si>
    <t>C117876</t>
  </si>
  <si>
    <t>C53073</t>
  </si>
  <si>
    <t>C117736</t>
  </si>
  <si>
    <t>C12814</t>
  </si>
  <si>
    <t>C12817</t>
  </si>
  <si>
    <t>C12877</t>
  </si>
  <si>
    <t>C33868</t>
  </si>
  <si>
    <t>C12819</t>
  </si>
  <si>
    <t>C12998</t>
  </si>
  <si>
    <t>C106202</t>
  </si>
  <si>
    <t>C12996</t>
  </si>
  <si>
    <t>C12822</t>
  </si>
  <si>
    <t>C33888</t>
  </si>
  <si>
    <t>C12408</t>
  </si>
  <si>
    <t>C94529</t>
  </si>
  <si>
    <t>C64192</t>
  </si>
  <si>
    <t>C73468</t>
  </si>
  <si>
    <t>C122161</t>
  </si>
  <si>
    <t>C186144</t>
  </si>
  <si>
    <t>C166003</t>
  </si>
  <si>
    <t>C161386</t>
  </si>
  <si>
    <t>C166004</t>
  </si>
  <si>
    <t>C161385</t>
  </si>
  <si>
    <t>C33894</t>
  </si>
  <si>
    <t>C33895</t>
  </si>
  <si>
    <t>C187837</t>
  </si>
  <si>
    <t>The spinous process of the 5th lumbar vertebra.</t>
  </si>
  <si>
    <t>Fifth Lumbar Spinous Process</t>
  </si>
  <si>
    <t>The portion of the descending aorta that lies within the abdomen, beginning below the diaphragm and ending at its division into the right and left common iliac arteries. (NCI)</t>
  </si>
  <si>
    <t>Abdominal Aorta</t>
  </si>
  <si>
    <t>Abdomen</t>
  </si>
  <si>
    <t>The body cavity between the thoracic and pelvic cavities in mammals.</t>
  </si>
  <si>
    <t>Any lymph node within the abdomen.</t>
  </si>
  <si>
    <t>Intra-Abdominal Lymph Node</t>
  </si>
  <si>
    <t>Any portion of the body that lies within the boundary, either internally or externally, of the abdomen: superior margin, the thorax; inferior margin, the pelvis; lateral margins, the ribs.</t>
  </si>
  <si>
    <t>Abdominal Region</t>
  </si>
  <si>
    <t>Abdominal Skin</t>
  </si>
  <si>
    <t>The integument that covers the abdomen.</t>
  </si>
  <si>
    <t>The tissue that surrounds the organs present in the abdominal cavity.</t>
  </si>
  <si>
    <t>Abdominal Wall</t>
  </si>
  <si>
    <t>The sixth cranial nerve.</t>
  </si>
  <si>
    <t>Abducens Nerve</t>
  </si>
  <si>
    <t>A muscle of the hand, in general extending from the pisiform bone, the pisohamate ligament, and the flexor retinaculum to the ulnopalmar margin of the proximal phalanx. Primary function is abduction of the little finger and flexion of the phalanx nearest the hand.</t>
  </si>
  <si>
    <t>Abductor Digiti Minimi Muscle of the Hand</t>
  </si>
  <si>
    <t>Abductor Digiti Minimi; Abductor Minimi Digiti</t>
  </si>
  <si>
    <t>A muscle in the foot, in general extending from the medial and lateral processes of the posterior calcaneal tuberosity to the lateral side of the base of the proximal phalanx of the fifth toe and the fifth metatarsal; primary function is to abduct the fifth toe at the metatarsophalangeal joint and support the lateral arch.</t>
  </si>
  <si>
    <t>Abductor Digiti Minimi Muscle</t>
  </si>
  <si>
    <t>A muscle in the foot, in general extending from the medial process of the posterior calcaneal tuberosity to the medial side of the base of the proximal phalanx of the big toe; primary function is to abduct and flex the big toe at the metatarsophalangeal joint.</t>
  </si>
  <si>
    <t>Abductor Hallucis Muscle</t>
  </si>
  <si>
    <t>A muscle of the hand, in general extending from the flexor retinaculum and the tubercles of the scaphoid and trapezium bones to the outer side of the base of the proximal phalanx of the thumb. Primary function is abduction of the thumb away from the palm.</t>
  </si>
  <si>
    <t>Abductor Pollicis Brevis Muscle</t>
  </si>
  <si>
    <t>A skeletal muscle of the forearm originating from the posterior surfaces of the ulna and radius and the interosseous membrane. (NCI)</t>
  </si>
  <si>
    <t>Abductor Pollicis Longus</t>
  </si>
  <si>
    <t>An additional renal vessel originating from the aorta and entering the kidney at the proximal or distal end of the organ. Accessory renal arteries are found in 26-30% of humans.</t>
  </si>
  <si>
    <t>Accessory Renal Artery</t>
  </si>
  <si>
    <t>Acetabulum</t>
  </si>
  <si>
    <t>Two cup shaped areas, one each on the lateral side of the lower pelvis that house the head of the femur to form the ball and socket joint of the hip. (NCI)</t>
  </si>
  <si>
    <t>The tendon that, in general, attaches the gastrocnemius muscle to the calcaneous bone in the tarsus.</t>
  </si>
  <si>
    <t>Achilles Tendon</t>
  </si>
  <si>
    <t>Acromioclavicular Joint</t>
  </si>
  <si>
    <t>The junction of the upper distal end of the scapula to the distal edge of the collarbone, also known as the acromion and the clavicle. (NCI)</t>
  </si>
  <si>
    <t>Acromion</t>
  </si>
  <si>
    <t>The upper distal process of the scapula. (NCI)</t>
  </si>
  <si>
    <t>ACUTE MARGINAL ARTERY SEGMENT(S); AMARG</t>
  </si>
  <si>
    <t>The arteries that arise at the junction of the proximal and mid-right coronary artery conduit segments.</t>
  </si>
  <si>
    <t>Acute Marginal Artery</t>
  </si>
  <si>
    <t>A muscle in the leg, in general extending from the external surface of the body of pubis and the anterior surface of the inferior pubic ramus to the pectineal line and the medial lip of the linea aspera; primary function is to adduct, flex, and rotate the thigh.</t>
  </si>
  <si>
    <t>Adductor Brevis Muscle</t>
  </si>
  <si>
    <t>The larger of two heads of the adductor hallucis muscle, in general originating from the sheath of the peroneus longus tendon and the plantar surface of the bases of the second to fourth metatarsal bones in the foot.</t>
  </si>
  <si>
    <t>Oblique Head of Adductor Hallucis Muscle</t>
  </si>
  <si>
    <t>The smaller of two heads of the adductor hallucis muscle, in general originating from the deep transverse metatarsal ligament and the plantar surface of the metatarsophalangeal joints of the lateral three toes.</t>
  </si>
  <si>
    <t>Transverse Head of Adductor Hallucis Muscle</t>
  </si>
  <si>
    <t>A muscle in the thigh, in general extending from the external surface of the body of pubis to the middle third of the linea aspera; primary function is to adduct and medially rotate the thigh.</t>
  </si>
  <si>
    <t>Adductor Longus Muscle</t>
  </si>
  <si>
    <t>A muscle in the thigh, in general extending from the ischiopubic ramus and ischial tuberosity to the gluteal tuberosity of the femur, medial lip of the linea aspera, medial supracondylar ridge, and adductor tubercle; primary function is to adduct, flex, extend, and medially rotate the thigh at the hip joint.</t>
  </si>
  <si>
    <t>Adductor Magnus Muscle</t>
  </si>
  <si>
    <t>A muscle of the hand that extends from the capitate and bases of the second and third metacarpals for the oblique head, and the anterior surface of body of the third metacarpal for the transverse head, to the base of proximal phalanx and extensor hood of the thumb; primary function is to draw the first metacarpal laterally to oppose the thumb toward the center of palm and rotate it medially.</t>
  </si>
  <si>
    <t>Adductor Pollicis Muscle</t>
  </si>
  <si>
    <t>The endocrine glands adjacent to the kidneys that consist of the outer adrenal cortex and the inner adrenal medulla in mammals.</t>
  </si>
  <si>
    <t>Adrenal Gland</t>
  </si>
  <si>
    <t>Greater Wing of the Sphenoid Bone</t>
  </si>
  <si>
    <t>The bony process of the sphenoid bone, extending from the side of the body of the sphenoid and curving upward, laterally, and backward.</t>
  </si>
  <si>
    <t>Sphenoid Wing</t>
  </si>
  <si>
    <t>Alveolar Margin; Alveolar Ridge</t>
  </si>
  <si>
    <t>The thickened bony structures in the mandible and maxilla that contain the sockets of the teeth.</t>
  </si>
  <si>
    <t>Alveolar Ridge</t>
  </si>
  <si>
    <t>Alveoli</t>
  </si>
  <si>
    <t>Any of the terminal sacs in the lungs through which gas exchange takes place with the pulmonary capillary blood.</t>
  </si>
  <si>
    <t>Alveolus</t>
  </si>
  <si>
    <t>Aqua Amnii</t>
  </si>
  <si>
    <t>The fluid within the amniotic cavity which surrounds and protects the developing embryo. (NCI)</t>
  </si>
  <si>
    <t>Amniotic Fluid</t>
  </si>
  <si>
    <t>The junction of the common bile and main pancreatic ducts, which protrudes into the medial aspect of the descending duodenum at the major duodenal papilla.</t>
  </si>
  <si>
    <t>Ampulla of Vater</t>
  </si>
  <si>
    <t>Amygdala; Amygdaloid Body; Amygdaloid Nucleus</t>
  </si>
  <si>
    <t>A group of nuclei adjacent to the lateral ventricle of the brain within the temporal lobe, and is part of the limbic system.</t>
  </si>
  <si>
    <t>Amygdala</t>
  </si>
  <si>
    <t>The terminal section of the alimentary canal, which extends from the anorectal junction and ends at the anal opening. (NCI)</t>
  </si>
  <si>
    <t>Anal Canal</t>
  </si>
  <si>
    <t>The area that includes the anus and the perianal skin.</t>
  </si>
  <si>
    <t>Anal Region</t>
  </si>
  <si>
    <t>The internal and external muscles surrounding the anus that maintain continence.</t>
  </si>
  <si>
    <t>Anal Sphincter</t>
  </si>
  <si>
    <t>The transitional zone between the moist, hairless, modified skin of the anal canal and the perianal skin.</t>
  </si>
  <si>
    <t>Anal Margin</t>
  </si>
  <si>
    <t>Anastomosis</t>
  </si>
  <si>
    <t>A natural or surgically-induced connection between tubular structures in the body. (NCI)</t>
  </si>
  <si>
    <t>A muscle of the elbow, in general extending from the lateral epicondyle of the humerus to the lateral surface of the ulnar olecranon; primary function is to extend the forearm and stabilize the elbow joint.</t>
  </si>
  <si>
    <t>Anconeus Muscle</t>
  </si>
  <si>
    <t>A ridge on the posterior part of the inferior parietal lobule.</t>
  </si>
  <si>
    <t>Angular Gyrus</t>
  </si>
  <si>
    <t>The tendons in the anterior compartment of the leg that cross the tibiotalar joint anteriorly and connect muscles that originate on the surfaces of the tibia and fibula to bones in the toes, enabling dorsiflexion of the foot at the ankle and extension of the toes. (NCI)</t>
  </si>
  <si>
    <t>Ankle Joint Anterior Extensor Tendons</t>
  </si>
  <si>
    <t>The tendons in the anterior compartment of the leg that connect muscles that originate on the surfaces of the femur, tibia, and fibula to bones in the toes, enabling plantar flexion of the foot at the ankle. (NCI)</t>
  </si>
  <si>
    <t>Ankle Joint Anterior Flexor Tendons</t>
  </si>
  <si>
    <t>Ankle; Ankle Joint</t>
  </si>
  <si>
    <t>A gliding joint between the distal ends of the tibia and fibula and the proximal end of the talus. (NCI)</t>
  </si>
  <si>
    <t>Ankle Joint</t>
  </si>
  <si>
    <t>Talar Mortise</t>
  </si>
  <si>
    <t>A rectangular socket or bony arch that connects the ends of the tibia and fibula to the talus.</t>
  </si>
  <si>
    <t>Ankle Mortise</t>
  </si>
  <si>
    <t>The distal portion of the gastrointestinal tract that includes the anal canal and rectum.</t>
  </si>
  <si>
    <t>Anorectum</t>
  </si>
  <si>
    <t>Antecubital Region</t>
  </si>
  <si>
    <t>A triangular space on the anterior side of the elbow joint. Three main veins of the arm, the brachial artery, the medial nerve and the tendon of the biceps muscle pass through this space.</t>
  </si>
  <si>
    <t>Antecubital Fossa</t>
  </si>
  <si>
    <t>The part of the cingulate cortex that lies most frontal, with the most anterior portion of the cortex bending in a horseshoe shape around the genu of the corpus callosum.</t>
  </si>
  <si>
    <t>Anterior Cingulate Cortex</t>
  </si>
  <si>
    <t>The part of the cingulate gyrus that lies inferior to the superior frontal gyrus, and is separated from it by the cingulate sulcus; it ends inferior to the rostrum of the corpus callosum.</t>
  </si>
  <si>
    <t>Anterior Cingulate Gyrus</t>
  </si>
  <si>
    <t>Frontal Horn of the Lateral Ventricle</t>
  </si>
  <si>
    <t>The part of the lateral ventricle located in the frontal lobe, anterior to the interventricular foramen of Monroe, and bounded by the septum pellucidum, fornix, and genu of the corpus callosum.</t>
  </si>
  <si>
    <t>AICA</t>
  </si>
  <si>
    <t>A basilar artery branch that supplies the anterior portion of the inferior surface of the cerebellum.</t>
  </si>
  <si>
    <t>Anterior Inferior Cerebellar Artery</t>
  </si>
  <si>
    <t>Prevascular Lymph Node</t>
  </si>
  <si>
    <t>A lymph node located in the anterior part of the mediastinum.</t>
  </si>
  <si>
    <t>Anterior Mediastinal Lymph Node</t>
  </si>
  <si>
    <t>A bony projection from the anterior region of the iliac crest, and is the site of attachment for the sartorius and tensor fascia latae muscles and the inguinal ligament.</t>
  </si>
  <si>
    <t>Anterior Superior Iliac Spine</t>
  </si>
  <si>
    <t>An artery of the lower extremity that supplies blood to the anterior part of the leg and the foot.</t>
  </si>
  <si>
    <t>Anterior Tibial Artery</t>
  </si>
  <si>
    <t>The vein that runs parallel to the anterior tibial artery and empties into the popliteal vein.</t>
  </si>
  <si>
    <t>Anterior Tibial Vein</t>
  </si>
  <si>
    <t>Antrum Pylori</t>
  </si>
  <si>
    <t>The initial part of the pyloric canal of the stomach. This site contains endocrine cells that produce gastrin and somatostatin. (NCI)</t>
  </si>
  <si>
    <t>The distal orifice of the digestive tract located between the rectum and the external surface of the body, comprising glandular, transitional, and squamous epithelium.</t>
  </si>
  <si>
    <t>Anus</t>
  </si>
  <si>
    <t>The major artery of the body; it arises from the left ventricle of the heart and terminally bifurcates into the common iliac arteries.</t>
  </si>
  <si>
    <t>Aorta</t>
  </si>
  <si>
    <t>Aortic Arch</t>
  </si>
  <si>
    <t>The curved segment of the aorta between the ascending and the descending segments.</t>
  </si>
  <si>
    <t>A small mass that is located on the inferior surface of the aortic arch. It functions as a peripheral chemoreceptor and is composed of glomus cells.</t>
  </si>
  <si>
    <t>Aortic Body</t>
  </si>
  <si>
    <t>A fibrous membrane that attaches to, and provides support for, the aortic valve leaflets.</t>
  </si>
  <si>
    <t>Aortic Valve Annulus</t>
  </si>
  <si>
    <t>A cardiac valve located between the left ventricle and the aorta.</t>
  </si>
  <si>
    <t>Aortic Valve</t>
  </si>
  <si>
    <t>Aortic Valve, Left Semilunar Cusp</t>
  </si>
  <si>
    <t>The cusp of the aortic valve that overlies the left coronary ostium.</t>
  </si>
  <si>
    <t>Left Coronary Cusp of the Aortic Valve</t>
  </si>
  <si>
    <t>Aortic Valve, Posterior Semilunar Cusp</t>
  </si>
  <si>
    <t>The cusp of the aortic valve that is positioned posteriorly relative to the left and right aortic cusps.</t>
  </si>
  <si>
    <t>Non-Coronary Cusp of the Aortic Valve</t>
  </si>
  <si>
    <t>Aortic Valve, Right Semilunar Cusp</t>
  </si>
  <si>
    <t>The cusp of the aortic valve that overlies the right coronary ostium.</t>
  </si>
  <si>
    <t>Right Coronary Cusp of the Aortic Valve</t>
  </si>
  <si>
    <t>The wall that separates the aorta and pulmonary arteries during embryonic development.</t>
  </si>
  <si>
    <t>Aorticopulmonary Septum</t>
  </si>
  <si>
    <t>The segment of the blood vessels that includes the iliac artery and its origin from the aorta.</t>
  </si>
  <si>
    <t>Aortoiliac Artery Segment</t>
  </si>
  <si>
    <t>A lymph node located in the area between the abdominal aorta and inferior vena cava. (NCI)</t>
  </si>
  <si>
    <t>Aortocaval Lymph Node</t>
  </si>
  <si>
    <t>A lymph node located in the aortopulmonary window.</t>
  </si>
  <si>
    <t>Aortopulmonary Window Lymph Node</t>
  </si>
  <si>
    <t>The distal end of the appendix. (NCI)</t>
  </si>
  <si>
    <t>Appendiceal Tip</t>
  </si>
  <si>
    <t>The part of the skeleton that includes the bones of the upper and lower limbs, including the shoulder and pelvic girdles</t>
  </si>
  <si>
    <t>Appendicular Skeleton</t>
  </si>
  <si>
    <t>A pouch-like tissue attached to the cecum, which may exist as a diverticulum.</t>
  </si>
  <si>
    <t>Appendix</t>
  </si>
  <si>
    <t>Aqueous Humour</t>
  </si>
  <si>
    <t>The watery fluid which is present in the anterior and posterior chambers of the eye. (NCI)</t>
  </si>
  <si>
    <t>Aqueous Humor</t>
  </si>
  <si>
    <t>Arm Skin</t>
  </si>
  <si>
    <t>The integument that covers the arm.</t>
  </si>
  <si>
    <t>Arm; Brachium; Upper Arm</t>
  </si>
  <si>
    <t>The portion of the upper extremity between the shoulder and the elbow.</t>
  </si>
  <si>
    <t>Arm</t>
  </si>
  <si>
    <t>Artery</t>
  </si>
  <si>
    <t>A blood vessel that carries blood away from the heart. (NCI)</t>
  </si>
  <si>
    <t>The portion of the aorta that emerges from the left ventricle and precedes the aortic arch.</t>
  </si>
  <si>
    <t>Ascending Aorta</t>
  </si>
  <si>
    <t>The portion of the ascending aorta between the aortic annulus and the sinotubular junction.</t>
  </si>
  <si>
    <t>Aortic Root</t>
  </si>
  <si>
    <t>The terminus of the aortic root; the point at which the aorta attains a tubular configuration.</t>
  </si>
  <si>
    <t>Sinotubular Junction</t>
  </si>
  <si>
    <t>Any one of the naturally occurring sinuses of the aortic root distal to the semilunar valve.</t>
  </si>
  <si>
    <t>Sinus of Valsalva</t>
  </si>
  <si>
    <t>The confluence of the atrial septum and the ventricular septum.</t>
  </si>
  <si>
    <t>Atrioventricular Septum</t>
  </si>
  <si>
    <t>Either of the two valves in the heart situated between the atria and ventricles, i.e., the mitral valve or the tricuspid valve.</t>
  </si>
  <si>
    <t>Atrioventricular Valve</t>
  </si>
  <si>
    <t>Ossicles of the Ear</t>
  </si>
  <si>
    <t>Any of the small bones in the middle ear that transmit acoustic vibrations from the eardrum to the inner ear.</t>
  </si>
  <si>
    <t>Auditory Ossicle</t>
  </si>
  <si>
    <t>The part of the skeleton that includes the skull and spinal column and sternum and ribs. (NCI)</t>
  </si>
  <si>
    <t>Axial Skeleton</t>
  </si>
  <si>
    <t>Armpit; Axilla</t>
  </si>
  <si>
    <t>The underside concavity where the arm and the shoulder are joined. (NCI)</t>
  </si>
  <si>
    <t>Axilla</t>
  </si>
  <si>
    <t>An artery that originates from the subclavian artery at the lateral margin of the first rib. It supplies the brachial artery.</t>
  </si>
  <si>
    <t>Axillary Artery</t>
  </si>
  <si>
    <t>Axillary lymph nodes located inferolateral to pectoralis minor.</t>
  </si>
  <si>
    <t>Axillary Lymph Node Level I</t>
  </si>
  <si>
    <t>Axillary lymph nodes located posterior to pectoralis minor.</t>
  </si>
  <si>
    <t>Axillary Lymph Node Level II</t>
  </si>
  <si>
    <t>Axillary lymph nodes located superomedial to pectoralis minor.</t>
  </si>
  <si>
    <t>Axillary Lymph Node Level III</t>
  </si>
  <si>
    <t>Lymph node(s) in the axillary region.</t>
  </si>
  <si>
    <t>Axillary Lymph Node</t>
  </si>
  <si>
    <t>A large blood vessel which returns blood to the heart from the lateral thorax, axilla and upper limb. Each side of the body contains one axillary vein.</t>
  </si>
  <si>
    <t>Axillary Vein</t>
  </si>
  <si>
    <t>A blood vessel which returns blood to the heart from the posterior walls of the thorax and abdomen.</t>
  </si>
  <si>
    <t>Azygos Vein</t>
  </si>
  <si>
    <t>Back</t>
  </si>
  <si>
    <t>The dorsal area between the base of the neck and the sacrum. (NCI)</t>
  </si>
  <si>
    <t>Clusters of neurons comprising the globus pallidus, putamen, caudate, nucleus accumbens, substantia nigra and subthalamic nucleus.</t>
  </si>
  <si>
    <t>Basal Ganglia</t>
  </si>
  <si>
    <t>The posterior one third of the tongue behind the terminal sulcus that forms the anterior aspect of the oro-pharynx.</t>
  </si>
  <si>
    <t>Base of the Tongue</t>
  </si>
  <si>
    <t>Basilic Vein</t>
  </si>
  <si>
    <t>One of the moderately large superficial veins of the forearm that transports blood from the hand and the medial aspect of the forearm to the axillary vein. (NCI)</t>
  </si>
  <si>
    <t>The basilar portion of the occipital bone; it is present during fetal development and later fuses with the occipital bone.</t>
  </si>
  <si>
    <t>Basioccipital Bone</t>
  </si>
  <si>
    <t>One of the bones of the orbit, situated rostrally to the basilar part of the occipital bone; it is present during fetal development and later fuses to form the posterior portion of the sphenoid bone.</t>
  </si>
  <si>
    <t>Basisphenoid Bone</t>
  </si>
  <si>
    <t>A muscle of the proximal arm/forelimb, in general extending from the scapula to the radius and adjacent fascia; primary function is flexion of the elbow joint and, in some species, also functions in supination of the antebrachium.</t>
  </si>
  <si>
    <t>Biceps Brachii</t>
  </si>
  <si>
    <t>A muscle in the thigh, in general extending from the ischial tuberosity and posterior femur to the fibula; primary function is to extend the femorotibial joint.</t>
  </si>
  <si>
    <t>Biceps Femoris</t>
  </si>
  <si>
    <t>Any of the ducts conveying bile between the liver and the intestine, including hepatic, cystic, and common bile duct.</t>
  </si>
  <si>
    <t>Bile Duct</t>
  </si>
  <si>
    <t>Biliary Tract</t>
  </si>
  <si>
    <t>The duct system that transports bile from its origination by hepatocytes in the liver to the small intestine. It is comprised of the common bile duct that connects the liver and gall bladder to the small intestine and the cystic duct that connects the gall bladder to the common bile duct. (NCI)</t>
  </si>
  <si>
    <t>The tissue layers that form the urinary bladder. They include the mucosa, submucosa, smooth muscle, and serosa.</t>
  </si>
  <si>
    <t>Bladder Wall</t>
  </si>
  <si>
    <t>Urinary Bladder</t>
  </si>
  <si>
    <t>The distensible sac-like organ that functions as a reservoir of urine, collecting from the kidneys and eliminating via the urethra. (NCI)</t>
  </si>
  <si>
    <t>Bladder</t>
  </si>
  <si>
    <t>Dome of the Bladder</t>
  </si>
  <si>
    <t>The upper, convex surface of the bladder. (NCI)</t>
  </si>
  <si>
    <t>Fundus of the Bladder</t>
  </si>
  <si>
    <t>The portion of the bladder that is formed by the posterior wall and is located opposite to the bladder opening. (NCI)</t>
  </si>
  <si>
    <t>Bladder Fundus</t>
  </si>
  <si>
    <t>Neck of the Bladder</t>
  </si>
  <si>
    <t>The inferior portion of the urinary bladder which is formed as the walls of the bladder converge and become contiguous with the proximal urethra. (NCI)</t>
  </si>
  <si>
    <t>Bladder Neck</t>
  </si>
  <si>
    <t>Trigone of the Bladder</t>
  </si>
  <si>
    <t>The triangular area in the bladder mucosa that is formed by the two ureteral orifices and the urethral orifice. (NCI)</t>
  </si>
  <si>
    <t>Bladder Trigone</t>
  </si>
  <si>
    <t>A tubular structure through which the blood circulates in the body. Blood vessels constitute a network composed of arteries, arterioles, capillaries, venules, and veins. (NCI)</t>
  </si>
  <si>
    <t>Blood Vessel</t>
  </si>
  <si>
    <t>Peripheral Blood; Whole Blood</t>
  </si>
  <si>
    <t>A liquid tissue with the primary function of transporting oxygen and carbon dioxide. It supplies the tissues with nutrients, removes waste products, and contains various components of the immune system defending the body against infection.</t>
  </si>
  <si>
    <t>Blood</t>
  </si>
  <si>
    <t>Body of Stomach</t>
  </si>
  <si>
    <t>The main section of the digestive tube that connects the esophagus to the small intestine. The body proper excludes the upper and lower sections of the fundus and pyloric portion respectively. (NCI)</t>
  </si>
  <si>
    <t>Whole Body</t>
  </si>
  <si>
    <t>The entire physical structure of an organism. It is composed of anatomic systems, regions, cavities, and spaces. (NCI)</t>
  </si>
  <si>
    <t>Body</t>
  </si>
  <si>
    <t>The tissue occupying the spaces of some bones. It consists of blood vessel sinuses and a network of hematopoietic cells.</t>
  </si>
  <si>
    <t>Bone Marrow</t>
  </si>
  <si>
    <t>Calcified connective tissue that forms the skeletal components of the body. (NCI)</t>
  </si>
  <si>
    <t>Bone</t>
  </si>
  <si>
    <t>An artery of the forelimb; in general it arises from the axillary artery and branches to form the radial and ulnar arteries.</t>
  </si>
  <si>
    <t>Brachial Artery</t>
  </si>
  <si>
    <t>Lymph node(s) adjacent to the brachial vein.</t>
  </si>
  <si>
    <t>Brachial Lymph Node</t>
  </si>
  <si>
    <t>Brachial Plexus</t>
  </si>
  <si>
    <t>A nerve network originating from spinal nerves in the cervical and thoracic vertebrae and giving rise to multiple nerves that innervate the arm/forelimb.</t>
  </si>
  <si>
    <t>A vein of the arm/forelimb; in general it arises from the union of the radial and ulnar veins and drains into the axillary vein.</t>
  </si>
  <si>
    <t>Brachial Vein</t>
  </si>
  <si>
    <t>A muscle that originates from the lower two-thirds of the anterior surface of the humerus that flexes the elbow. (NCI)</t>
  </si>
  <si>
    <t>Brachialis</t>
  </si>
  <si>
    <t>Innominate Artery</t>
  </si>
  <si>
    <t>An artery of the mediastinum; in general it arises from the aortic arch and branches to form the right subclavian artery and one or both common carotid arteries.</t>
  </si>
  <si>
    <t>A muscle in the forearm, in general extending from the proximal two-thirds of the lateral supracondylar ridge of the humerus and inserting into the styloid process of the radius; primary function is flexion of the elbow and pronation and supination of the forearm.</t>
  </si>
  <si>
    <t>Brachioradialis Muscle</t>
  </si>
  <si>
    <t>Brain Stem</t>
  </si>
  <si>
    <t>The part of the brain that connects the cerebral hemispheres with the spinal cord. It consists of the mesencephalon, pons, and medulla oblongata. (NCI)</t>
  </si>
  <si>
    <t>Brain Ventricle</t>
  </si>
  <si>
    <t>The four connected cavities (hollow spaces) centrally located within the brain that connect posteriorly with the central canal of the spinal cord. (NCI)</t>
  </si>
  <si>
    <t>The rostral extensions of the ventricular system of the brain consisting of two cavities, one on each side of the brain within the central regions of each cerebral hemisphere. Cerebrospinal fluid flows from the lateral ventricles into the centrally third ventricle via the foramen of Monroe. (NCI)</t>
  </si>
  <si>
    <t>Lateral Ventricle</t>
  </si>
  <si>
    <t>Nervous System, Brain</t>
  </si>
  <si>
    <t>An organ composed of gray and white matter that is the center for intelligence and reasoning. It is protected by the bony cranium.</t>
  </si>
  <si>
    <t>Brain</t>
  </si>
  <si>
    <t>A diamond-shaped cavity filled with cerebrospinal fluid within the pons, extending between the obex in the caudal medulla and the aqueduct of Sylvius in the cerebellum.</t>
  </si>
  <si>
    <t>Fourth Ventricle</t>
  </si>
  <si>
    <t>The area of the body surrounding the ventricles of the brain.</t>
  </si>
  <si>
    <t>Periventricular Region</t>
  </si>
  <si>
    <t>A centrally placed component of the ventricular system of the brain that is located in the diencephalon; the thalamus and the hypothalamus border the third ventricle.</t>
  </si>
  <si>
    <t>Third Ventricle</t>
  </si>
  <si>
    <t>Breast</t>
  </si>
  <si>
    <t>One of two hemispheric projections of variable size situated in the subcutaneous layer over the pectoralis major muscle on either side of the chest. (NCI)</t>
  </si>
  <si>
    <t>A wide fold of peritoneum that connects the uterus to the lateral walls and floor of the pelvis, and also attaches to the ovaries, fallopian tubes, ovarian ligaments, round ligament of the uterus, and ovarian and uterine arteries.</t>
  </si>
  <si>
    <t>Broad Ligament</t>
  </si>
  <si>
    <t>The part of a bronchus that remains after resection.</t>
  </si>
  <si>
    <t>Bronchial Stump</t>
  </si>
  <si>
    <t>The smallest subdivisions of the bronchial tree, which are both acartilagenous and aglandular.</t>
  </si>
  <si>
    <t>Bronchiole</t>
  </si>
  <si>
    <t>Bronchi</t>
  </si>
  <si>
    <t>Tubular structure in continuation with the trachea, serving as an air passage.</t>
  </si>
  <si>
    <t>Bronchus</t>
  </si>
  <si>
    <t>Buccinator Lymph Node</t>
  </si>
  <si>
    <t>Lymph node(s) that are located superficial to the buccinator muscle.</t>
  </si>
  <si>
    <t>Buccal Lymph Node</t>
  </si>
  <si>
    <t>The mucosal membranes located on the inside of the cheek, in the buccal cavity. (NCI)</t>
  </si>
  <si>
    <t>Buccal Mucosa</t>
  </si>
  <si>
    <t>The part of the conjunctiva that covers the eyeball.</t>
  </si>
  <si>
    <t>Bulbar Conjunctiva</t>
  </si>
  <si>
    <t>Buttock</t>
  </si>
  <si>
    <t>Either of the fleshy mounds in the rear pelvic area of the human body formed by the gluteal muscles.</t>
  </si>
  <si>
    <t>C1 Vertebra</t>
  </si>
  <si>
    <t>The first of the seven cervical vertebrae. (NCI)</t>
  </si>
  <si>
    <t>C2 Vertebra</t>
  </si>
  <si>
    <t>The second of the seven cervical vertebrae. (NCI)</t>
  </si>
  <si>
    <t>C3 Vertebra</t>
  </si>
  <si>
    <t>The third of the seven cervical vertebrae. (NCI)</t>
  </si>
  <si>
    <t>C4 Vertebra</t>
  </si>
  <si>
    <t>The fourth of the seven cervical vertebrae. (NCI)</t>
  </si>
  <si>
    <t>C5 Vertebra</t>
  </si>
  <si>
    <t>The fifth of the seven cervical vertebrae. (NCI)</t>
  </si>
  <si>
    <t>C6 Vertebra</t>
  </si>
  <si>
    <t>The sixth of the seven cervical vertebrae. (NCI)</t>
  </si>
  <si>
    <t>C7 Vertebra</t>
  </si>
  <si>
    <t>The seventh of the seven cervical vertebrae. (NCI)</t>
  </si>
  <si>
    <t>A roughened surface on the superior portion of the posterior half of the calcaneus, where the calcaneal (Achilles) tendon inserts.</t>
  </si>
  <si>
    <t>Calcaneal Tuberosity</t>
  </si>
  <si>
    <t>Calcaneum; Calcaneus Bone</t>
  </si>
  <si>
    <t>The irregular and largest tarsal bone that forms the heel. (NCI)</t>
  </si>
  <si>
    <t>Calcaneum</t>
  </si>
  <si>
    <t>A cerebral fissure that originates near the occipital lobe and terminates below the corpus callosum. (NCI)</t>
  </si>
  <si>
    <t>Calcarine Sulcus</t>
  </si>
  <si>
    <t>Any of the veins located within the muscles of the posterior lower leg, such as the gastrocnemial, soleal, and gemellar veins.</t>
  </si>
  <si>
    <t>Calf Muscular Vein</t>
  </si>
  <si>
    <t>The posterior aspect of the lower extremity that extends from the knee to the foot. (NCI)</t>
  </si>
  <si>
    <t>Calf</t>
  </si>
  <si>
    <t>Canine Tooth</t>
  </si>
  <si>
    <t>A single-cusped (pointed) and usually single-rooted tooth located between the incisors and premolars. (NCI)</t>
  </si>
  <si>
    <t>Capitate Bone</t>
  </si>
  <si>
    <t>The largest of eight carpal bones, located in the center of the hand. (NCI)</t>
  </si>
  <si>
    <t>A condyloid synovial joint within the wrist connecting the capitate bone to the hamate bone.</t>
  </si>
  <si>
    <t>Capitate-Hamate Joint</t>
  </si>
  <si>
    <t>A condyloid synovial joint within the wrist connecting the capitate bone to the lunate bone.</t>
  </si>
  <si>
    <t>Capitate-Lunate Joint</t>
  </si>
  <si>
    <t>A valve located in the heart.</t>
  </si>
  <si>
    <t>Cardiac Valve</t>
  </si>
  <si>
    <t>All of the tissue that comprises the solid, outer structure of the heart, including the epicardium, the myocardium, and the endocardium.</t>
  </si>
  <si>
    <t>Cardiac Wall</t>
  </si>
  <si>
    <t>Cardiophrenic Angle Lymph Node</t>
  </si>
  <si>
    <t>A lymph node located in the angle between the heart and diaphragm.</t>
  </si>
  <si>
    <t>Cardiophrenic Lymph Node</t>
  </si>
  <si>
    <t>Circulatory System</t>
  </si>
  <si>
    <t>A collection of organs including the heart and the blood vessels.</t>
  </si>
  <si>
    <t>Cardiovascular System</t>
  </si>
  <si>
    <t>Carina, Tracheal</t>
  </si>
  <si>
    <t>A ridge at the bifurcation of the trachea where the primary bronchi meet.</t>
  </si>
  <si>
    <t>Carina</t>
  </si>
  <si>
    <t>Common Carotid Artery</t>
  </si>
  <si>
    <t>An artery of the mediastinum and neck; in general it arises as a primary or secondary branch of the aortic arch and branches into the internal and external carotid arteries.</t>
  </si>
  <si>
    <t>A cluster of cells that function as chemo-receptors, located near the bifurcation of the carotid artery.</t>
  </si>
  <si>
    <t>Carotid Body</t>
  </si>
  <si>
    <t>Any of the bones of the joint located between the radius and ulna and metacarpus.</t>
  </si>
  <si>
    <t>Carpal Bone</t>
  </si>
  <si>
    <t>CMC1</t>
  </si>
  <si>
    <t>A saddle-shaped synovial joint between the metacarpal of the thumb and the trapezium. (NCI)</t>
  </si>
  <si>
    <t>Carpometacarpal Joint 1</t>
  </si>
  <si>
    <t>CMC2</t>
  </si>
  <si>
    <t>A plane joint primarily between the second metacarpal and the trapezoid, which also connects with the trapezium and capitate. (NCI)</t>
  </si>
  <si>
    <t>Carpometacarpal Joint 2</t>
  </si>
  <si>
    <t>CMC3</t>
  </si>
  <si>
    <t>A plane joint between the third metacarpal and the capitate. (NCI)</t>
  </si>
  <si>
    <t>Carpometacarpal Joint 3</t>
  </si>
  <si>
    <t>CMC4</t>
  </si>
  <si>
    <t>A plane joint between the fourth metacarpal and the hamate. (NCI)</t>
  </si>
  <si>
    <t>Carpometacarpal Joint 4</t>
  </si>
  <si>
    <t>CMC5</t>
  </si>
  <si>
    <t>A plane joint between the fifth metacarpal and the pisiform. (NCI)</t>
  </si>
  <si>
    <t>Carpometacarpal Joint 5</t>
  </si>
  <si>
    <t>The articulation of the proximal bases of the metacarpal bones and the distal carpal bones in the fingers, and the first metacarpal bone and the trapezium bone of the wrist in the thumb.</t>
  </si>
  <si>
    <t>Carpometacarpal Joint</t>
  </si>
  <si>
    <t>A type of connective tissue composed of chondrocytes and an extracellular matrix composed of collagen, elastin, and ground substance. There are three types of cartilage; namely elastic, hyaline, and fibrocartilage.</t>
  </si>
  <si>
    <t>Cartilage</t>
  </si>
  <si>
    <t>Any of the vertebrae below or posterior to the sacral vertebrae and that form the tail.</t>
  </si>
  <si>
    <t>Caudal Vertebra</t>
  </si>
  <si>
    <t>The gray matter adjacent to each lateral ventricle of the brain that comprises the medial dorsal striatum of the basal ganglia.</t>
  </si>
  <si>
    <t>Caudate Nucleus</t>
  </si>
  <si>
    <t>The pouch-like portion of the proximal large intestine opening into the colon.</t>
  </si>
  <si>
    <t>Cecum</t>
  </si>
  <si>
    <t>Celiac Trunk</t>
  </si>
  <si>
    <t>An artery of the abdomen; in general it arises from the abdominal aorta below the diaphragm and branches to form the left gastric artery, common hepatic artery, and splenic artery.</t>
  </si>
  <si>
    <t>Celiac Artery</t>
  </si>
  <si>
    <t>Celiac Axis Lymph Node; Celiac Lymph Node</t>
  </si>
  <si>
    <t>A lymph node at the base of the celiac artery. (NCI)</t>
  </si>
  <si>
    <t>Celiac Lymph Node</t>
  </si>
  <si>
    <t>The part of the nervous system that consists of the brain, spinal cord, and meninges. (NCI)</t>
  </si>
  <si>
    <t>Central Nervous System</t>
  </si>
  <si>
    <t>Vena Cephalica</t>
  </si>
  <si>
    <t>A vein of the arm/forelimb; in general it arises from the dorsal venous network of the hand/forefoot and drains into the axillary vein.</t>
  </si>
  <si>
    <t>Cephalic Vein</t>
  </si>
  <si>
    <t>Any one of the individual lobes that make up the cerebellum of the brain.</t>
  </si>
  <si>
    <t>Cerebellar Lobe</t>
  </si>
  <si>
    <t>The portion of the brain that extends from the brainstem through the cerebellar folia.</t>
  </si>
  <si>
    <t>Cerebellum</t>
  </si>
  <si>
    <t>Any artery supplying the cerebral cortex.</t>
  </si>
  <si>
    <t>Cerebral Artery</t>
  </si>
  <si>
    <t>Cerebral Cortex</t>
  </si>
  <si>
    <t>The outer layer of the cerebrum composed of neurons and unmyelinated nerve fibers. It is responsible for memory, attention, consciousness and other higher levels of mental function.</t>
  </si>
  <si>
    <t>The left half of the cerebrum.</t>
  </si>
  <si>
    <t>Left Cerebral Hemisphere</t>
  </si>
  <si>
    <t>The right half of the cerebrum.</t>
  </si>
  <si>
    <t>Right Cerebral Hemisphere</t>
  </si>
  <si>
    <t>The paired anterior portions of the midbrain consisting of the crus cerebri, the tegmentum, and the substantia nigra.</t>
  </si>
  <si>
    <t>Cerebral Peduncle</t>
  </si>
  <si>
    <t>Cerebral Subcortex</t>
  </si>
  <si>
    <t>The layer located below the cerebral cortex that includes the forebrain, midbrain and hindbrain. (NCI)</t>
  </si>
  <si>
    <t>Any of the external or internal veins that drain the cerebral hemispheres.</t>
  </si>
  <si>
    <t>Cerebral Vein</t>
  </si>
  <si>
    <t>The portion of the brain comprising the frontal, parietal, temporal, and occipital lobes and extending through the thalamus.</t>
  </si>
  <si>
    <t>Cerebral Hemisphere</t>
  </si>
  <si>
    <t>Lymph node(s) in the cervical region, or neck.</t>
  </si>
  <si>
    <t>Cervical Lymph Node</t>
  </si>
  <si>
    <t>The set of vertebrae immediately caudal to the skull.</t>
  </si>
  <si>
    <t>Cervical Spine</t>
  </si>
  <si>
    <t>Any one of the seven vertebrae that are caudal to the skull, denoted as C1, C2, C3, C4, C5, C6 or C7.</t>
  </si>
  <si>
    <t>Cervical Vertebra</t>
  </si>
  <si>
    <t>The region of the body that comprises the uterine cervix and vagina. (NCI)</t>
  </si>
  <si>
    <t>Cervicovaginal Region</t>
  </si>
  <si>
    <t>Cervix Uteri; Uterine Cervix</t>
  </si>
  <si>
    <t>The portion of the uterus (or uterine horns) that empties into the vagina.</t>
  </si>
  <si>
    <t>Cervix Uteri</t>
  </si>
  <si>
    <t>The soft tissue on the lateral aspects of the face, generally bounded by the eyes, nose, ear, and jaw line.</t>
  </si>
  <si>
    <t>Cheek</t>
  </si>
  <si>
    <t>Chest Wall</t>
  </si>
  <si>
    <t>The total system of structures outside the lungs that move as a part of breathing; it includes all structures from the skin to the parietal pleura. (NCI)</t>
  </si>
  <si>
    <t>Chest</t>
  </si>
  <si>
    <t>The anterior side of the thorax from the neck to the abdomen. The shape of the chest is often regarded as potential insight into a disease process, as in the case of barrel chest and respiratory dysfunction. (NCI)</t>
  </si>
  <si>
    <t>The part of the face below the lower lip and including the protruding part of the lower jaw.</t>
  </si>
  <si>
    <t>Mentum</t>
  </si>
  <si>
    <t>Chorda Tendinea</t>
  </si>
  <si>
    <t>Any of the tendons that connect the papillary muscles to the tricuspid and mitral valves.</t>
  </si>
  <si>
    <t>Chordae Tendineae</t>
  </si>
  <si>
    <t>Blood vessels and ependyma forming villous structures in the ventricles of the brain.</t>
  </si>
  <si>
    <t>Choroid Plexus</t>
  </si>
  <si>
    <t>A blood vessel-containing membrane of the eye that lies between the retina and the sclera. (NCI)</t>
  </si>
  <si>
    <t>Choroid</t>
  </si>
  <si>
    <t>Circumferential tissue located behind the iris and composed of muscle and epithelium.</t>
  </si>
  <si>
    <t>Ciliary Body</t>
  </si>
  <si>
    <t>Part of the medial aspect of the cerebral cortex. (NCI)</t>
  </si>
  <si>
    <t>Cingulate Cortex</t>
  </si>
  <si>
    <t>CIRC AV; CIRCUMFLEX ARTERY AV GROOVE CONTINUATION ARTERY SEGMENT</t>
  </si>
  <si>
    <t>The segment of the left circumflex artery that is distal to the third marginal branch, located in the atrioventricular groove.</t>
  </si>
  <si>
    <t>Circumflex Artery AV Groove Continuation Artery</t>
  </si>
  <si>
    <t>The left circumflex coronary artery and all of its branches.</t>
  </si>
  <si>
    <t>Circumflex Artery and its Branches</t>
  </si>
  <si>
    <t>The paired bone that is situated between the sternum and the shoulder.</t>
  </si>
  <si>
    <t>Clavicle</t>
  </si>
  <si>
    <t>The curved, pointed appendage on the distal end of a digit, composed of keratin.</t>
  </si>
  <si>
    <t>Claw</t>
  </si>
  <si>
    <t>The erectile tissue in the vulva. It is composed of the corpora cavernosa and the glans clitoris.</t>
  </si>
  <si>
    <t>Clitoris</t>
  </si>
  <si>
    <t>A sloped depression between the dorsum sellae and foramen magnum at the base of the skull.</t>
  </si>
  <si>
    <t>Clivus</t>
  </si>
  <si>
    <t>Coccygeal Vertebra</t>
  </si>
  <si>
    <t>Four vertebral segments positioned at the base of the spine that are fused. (NCI)</t>
  </si>
  <si>
    <t>Coccyx</t>
  </si>
  <si>
    <t>A small bone located at the bottom of the spine. The coccyx is a result of 3-5 fused rudimentary vertebrae. (NCI)</t>
  </si>
  <si>
    <t>A lymph node located in the colon.</t>
  </si>
  <si>
    <t>Colon Lymph Node</t>
  </si>
  <si>
    <t>The portion of the gastrointestinal tract wall that surrounds the cavity of the colon and contains teniae coli, haustra, and epiploic appendages.</t>
  </si>
  <si>
    <t>Colon Wall</t>
  </si>
  <si>
    <t>The portion of the large intestine which extends from the cecum (or small intestine in animals that don't have a cecum) to the rectum.</t>
  </si>
  <si>
    <t>Colon</t>
  </si>
  <si>
    <t>Ascending Colon</t>
  </si>
  <si>
    <t>The first part of the colon (large intestine) that starts in the right lower quadrant of the abdomen and ends at the transverse colon in the right upper quadrant of the abdomen. (NCI)</t>
  </si>
  <si>
    <t>Descending Colon</t>
  </si>
  <si>
    <t>The fourth portion of the large intestine (colon) that communicates with the transverse colon in the left-upper quadrant of the abdomen and the rectum below. (NCI)</t>
  </si>
  <si>
    <t>Hepatic Flexure; Right Colic Flexure</t>
  </si>
  <si>
    <t>The bend at the junction of the ascending and transverse colon.</t>
  </si>
  <si>
    <t>Hepatic Flexure</t>
  </si>
  <si>
    <t>Left Colon</t>
  </si>
  <si>
    <t>The portion of the large intestine that includes the descending and sigmoid colon. (NCI)</t>
  </si>
  <si>
    <t>A portion of the large intestine that includes the sigmoid colon and rectum.</t>
  </si>
  <si>
    <t>Rectosigmoid Colon</t>
  </si>
  <si>
    <t>Right Colon</t>
  </si>
  <si>
    <t>The proximal segment of the large intestine that is located in the right side of the abdominal cavity. It includes the cecum (with the attached appendix) and the ascending colon. (NCI)</t>
  </si>
  <si>
    <t>Sigmoid Colon</t>
  </si>
  <si>
    <t>The portion of the colon that connects to the descending colon above and the rectum below. (NCI)</t>
  </si>
  <si>
    <t>Left Colic Flexure; Splenic Flexure</t>
  </si>
  <si>
    <t>The bend at the junction of the transverse and descending colon.</t>
  </si>
  <si>
    <t>Splenic Flexure</t>
  </si>
  <si>
    <t>Transverse Colon</t>
  </si>
  <si>
    <t>The third division of the colon (large intestine). It communicates with the ascending colon in the upper right-hand quadrant of the abdomen and the descending colon in the upper left-hand quadrant. (NCI)</t>
  </si>
  <si>
    <t>The mucosal membranes that line the inner surface of the colon.</t>
  </si>
  <si>
    <t>Colonic Mucosa</t>
  </si>
  <si>
    <t>Common Duct; Common Hepatic Duct</t>
  </si>
  <si>
    <t>A duct that conveys bile from the convergence of the cystic and hepatic duct to the duodenum.</t>
  </si>
  <si>
    <t>Common Bile Duct</t>
  </si>
  <si>
    <t>An artery arising from the external iliac artery at the inguinal ligament which bifurcates forming the deep and superficial femoral arteries.</t>
  </si>
  <si>
    <t>Common Femoral Artery</t>
  </si>
  <si>
    <t>A vein that accompanies the common femoral artery and originates at the confluence of the femoral vein and the deep femoral vein.</t>
  </si>
  <si>
    <t>Common Femoral Vein</t>
  </si>
  <si>
    <t>An artery arising from the bifurcation of the abdominal aorta which then bifurcates forming the internal and external iliac arteries.</t>
  </si>
  <si>
    <t>Common Iliac Artery</t>
  </si>
  <si>
    <t>A lymph node located adjacent to the common iliac artery. (NCI)</t>
  </si>
  <si>
    <t>Common Iliac Lymph Node</t>
  </si>
  <si>
    <t>Any of the arteries arising from the superficial palmar arch which run distally on the second, third and fourth lumbricals muscles to the interdigital clefts where each artery then separates into two proper palmar digital arteries.</t>
  </si>
  <si>
    <t>Common Palmar Digital Artery</t>
  </si>
  <si>
    <t>A thin tissue divided into the palpebral conjunctiva (covering the inner side of the eye lid) and the bulbar conjunctiva (covering the eyeball). (NCI)</t>
  </si>
  <si>
    <t>Conjunctiva</t>
  </si>
  <si>
    <t>The transparent, avascular tissue covering the front of the eye and is continuous with the sclera.</t>
  </si>
  <si>
    <t>Cornea</t>
  </si>
  <si>
    <t>The endothelial layer of the cornea.</t>
  </si>
  <si>
    <t>Corneal Endothelium</t>
  </si>
  <si>
    <t>The epithelial layer of the cornea.</t>
  </si>
  <si>
    <t>Corneal Epithelium</t>
  </si>
  <si>
    <t>The stromal layer of the cornea.</t>
  </si>
  <si>
    <t>Corneal Stroma</t>
  </si>
  <si>
    <t>One of the arteries of the heart; in general it arises from the aortic root and supplies the myocardium.</t>
  </si>
  <si>
    <t>Coronary Artery</t>
  </si>
  <si>
    <t>Anterior Descending Coronary Artery; Left Anterior Descending Coronary Artery</t>
  </si>
  <si>
    <t>A left coronary artery branch that descends on the anterior portion of the heart through the anterior interventricular groove. (NCI)</t>
  </si>
  <si>
    <t>Anterior Descending Coronary Artery</t>
  </si>
  <si>
    <t>Left Coronary Artery; Left Main Coronary Artery; Left Main Coronary Artery Segment; LM</t>
  </si>
  <si>
    <t>A coronary artery that arises from the aorta and bifurcates into the left anterior descending artery and the left circumflex artery. (NCI)</t>
  </si>
  <si>
    <t>Left Coronary Artery</t>
  </si>
  <si>
    <t>Right Coronary Artery</t>
  </si>
  <si>
    <t>A coronary artery that originates above the right coronary cusp and supplies blood predominantly to the right side of the heart. (NCI)</t>
  </si>
  <si>
    <t>The coronary vein that terminates in the right atrium and transports deoxygenated blood from the coronary circulation.</t>
  </si>
  <si>
    <t>Coronary Sinus</t>
  </si>
  <si>
    <t>A blood vessel in the heart which returns coronary blood to the right atrium.</t>
  </si>
  <si>
    <t>Coronary Vein</t>
  </si>
  <si>
    <t>A white matter structure within the brain that connects the left and right cerebral hemispheres.</t>
  </si>
  <si>
    <t>Corpus Callosum</t>
  </si>
  <si>
    <t>An area within the corpus callosum between the genu (anterior region) and the splenium (posterior region).</t>
  </si>
  <si>
    <t>Body of the Corpus Callosum</t>
  </si>
  <si>
    <t>The anterior portion of the corpus callosum that bends down and back.</t>
  </si>
  <si>
    <t>Genu of the Corpus Callosum</t>
  </si>
  <si>
    <t>The thick, convex posterior region of the corpus callosum.</t>
  </si>
  <si>
    <t>Splenium of the Corpus Callosum</t>
  </si>
  <si>
    <t>Corpus Luteum</t>
  </si>
  <si>
    <t>A group of cells that remain of the Graafian follicle following ovulation. This structure is composed of endocrine tissue and produces progesterone. This is needed to prepare the uterine lining for implantation by the fertilized egg. (NCI)</t>
  </si>
  <si>
    <t>The portion of the brain consisting of the neostriatum and globus pallidus.</t>
  </si>
  <si>
    <t>Corpus Striatum</t>
  </si>
  <si>
    <t>Uterine Body; Uterus, Corpus</t>
  </si>
  <si>
    <t>The body of the uterus.</t>
  </si>
  <si>
    <t>Corpus Uteri</t>
  </si>
  <si>
    <t>A muscle of the face, in general extending from the medial superciliary arch to the skin above the middle of the supraorbital margins; primary function is to move the eyebrows.</t>
  </si>
  <si>
    <t>Corrugator Supercilii Muscle</t>
  </si>
  <si>
    <t>Costal Cartilage</t>
  </si>
  <si>
    <t>The cartilage positioned between the anterior end of the rib and the sternum. Its elasticity allows the ribcage to expand while breathing. (NCI)</t>
  </si>
  <si>
    <t>The first hyaline cartilaginous joint between the ribs and costal cartilage.</t>
  </si>
  <si>
    <t>Costochondral Joint 1</t>
  </si>
  <si>
    <t>The seventh hyaline cartilaginous joint between the ribs and costal cartilage.</t>
  </si>
  <si>
    <t>Costochondral Joint 7</t>
  </si>
  <si>
    <t>Intracranial Cavity</t>
  </si>
  <si>
    <t>The space that is formed by the bones of the skull, and contains the brain.</t>
  </si>
  <si>
    <t>Cranial Cavity</t>
  </si>
  <si>
    <t>Any of the 12 paired nerves that originate in the brain stem. (NCI)</t>
  </si>
  <si>
    <t>Cranial Nerve</t>
  </si>
  <si>
    <t>Cuboid Bone</t>
  </si>
  <si>
    <t>A bone on the lateral side of the tarsus between the calcaneus and the fourth and fifth metatarsal bones. (NCI)</t>
  </si>
  <si>
    <t>The muscle that creates the rounded contour of the shoulder which originates from the lateral third of the clavicle, the superior surface of the acromion process, and the posterior border of the spine of the scapula and inserts on the lateral side of the shaft of the humerus. (NCI)</t>
  </si>
  <si>
    <t>Deltoid</t>
  </si>
  <si>
    <t>The curved or bowlike structure formed by the arrangement of teeth within the jaw.</t>
  </si>
  <si>
    <t>Dental Arch</t>
  </si>
  <si>
    <t>Dermal projection on the face, generally associated with whiskers. (Makris S, Solomon HM, Clark R, Shiota K, Barbellion S, Buschmann J, Ema M, Fujiwara M, Grote K, Hazelden KP, Hew KW, Horimoto M, Ooshima Y, Parkinson M, Wise LD. Terminology of developmental abnormalities in common laboratory mammals (Version 2). Part B. Birth Defects Res B Dev Reprod Toxicol. 2009 Aug;86(4):227-327.)</t>
  </si>
  <si>
    <t>Dermal Papillae Of The Face</t>
  </si>
  <si>
    <t>The portion of the aorta distal to the aortic arch which passes into the chest and abdomen to create the thoracic and abdominal segments.</t>
  </si>
  <si>
    <t>Descending Aorta</t>
  </si>
  <si>
    <t>A musculotendinous sheet separating the thoracic cavity from the abdominal cavity.</t>
  </si>
  <si>
    <t>Diaphragm</t>
  </si>
  <si>
    <t>Lymph node located adjacent to the diaphragm.</t>
  </si>
  <si>
    <t>Diaphragmatic Lymph Node</t>
  </si>
  <si>
    <t>The most distal structure of the limb, usually containing claws or nails and pads.</t>
  </si>
  <si>
    <t>Digit</t>
  </si>
  <si>
    <t>A type of artery that supplies blood to the fingers and toes. In the hand, the digital arteries include the common palmar digital arteries that arise from the superficial palmar arch, the proper palmar digital arteries that are branches of the common palmar digital arteries and occasionally have dorsal branches distal to the proximal interphalangeal joints, and the dorsal digital arteries that are branches of the dorsal metacarpal arteries. In the foot, the digital arteries include the plantar digital arteries that arise from the plantar arch and the dorsal digital arteries that are branches of the dorsal metatarsal arteries. (NCI)</t>
  </si>
  <si>
    <t>Digital Artery</t>
  </si>
  <si>
    <t>DCIRC; DISTAL CIRCUMFLEX ARTERY SEGMENT</t>
  </si>
  <si>
    <t>The segment of the left circumflex artery that is between the second and third obtuse marginal branches.</t>
  </si>
  <si>
    <t>Distal Circumflex Artery</t>
  </si>
  <si>
    <t>The portion of the common bile duct that is closest to the intestine and furthest from the hepatic and cystic ducts.</t>
  </si>
  <si>
    <t>Distal Common Bile Duct</t>
  </si>
  <si>
    <t>The area of the body that extends from where the cystic duct meets the common bile duct to the common bile duct's insertion into the small intestine.</t>
  </si>
  <si>
    <t>Distal Extrahepatic Bile Duct Region</t>
  </si>
  <si>
    <t>The portion of the distal femur, identified during a dual x-ray absorptiometry (DXA) scan, that contains primarily metaphyseal or trabecular bone.</t>
  </si>
  <si>
    <t>Distal Femur R1</t>
  </si>
  <si>
    <t>DIP2 of the Foot</t>
  </si>
  <si>
    <t>A ginglymoid (hinge) synovial joint within the second digit of the foot articulating the middle and distal phalanges. (NCI)</t>
  </si>
  <si>
    <t>Distal Interphalangeal Joint 2 of the Foot</t>
  </si>
  <si>
    <t>DIP2 of the Hand</t>
  </si>
  <si>
    <t>A ginglymoid (hinge) synovial joint within the second digit of the hand articulating the middle and distal phalanges. (NCI)</t>
  </si>
  <si>
    <t>Distal Interphalangeal Joint 2 of the Hand</t>
  </si>
  <si>
    <t>DIP2</t>
  </si>
  <si>
    <t>A condyloid synovial joint within the second digit of the hand or foot articulating the middle and distal phalanges. (NCI)</t>
  </si>
  <si>
    <t>Distal Interphalangeal Joint 2</t>
  </si>
  <si>
    <t>DIP3 of the Foot</t>
  </si>
  <si>
    <t>A ginglymoid (hinge) synovial joint within the third digit of the foot articulating the middle and distal phalanges. (NCI)</t>
  </si>
  <si>
    <t>Distal Interphalangeal Joint 3 of the Foot</t>
  </si>
  <si>
    <t>DIP3 of the Hand</t>
  </si>
  <si>
    <t>A ginglymoid (hinge) synovial joint within the third digit of the hand articulating the middle and distal phalanges. (NCI)</t>
  </si>
  <si>
    <t>Distal Interphalangeal Joint 3 of the Hand</t>
  </si>
  <si>
    <t>DIP3</t>
  </si>
  <si>
    <t>A condyloid synovial joint within the third digit of the hand or foot articulating the middle and distal phalanges. (NCI)</t>
  </si>
  <si>
    <t>Distal Interphalangeal Joint 3</t>
  </si>
  <si>
    <t>DIP4 of the Foot</t>
  </si>
  <si>
    <t>A ginglymoid (hinge) synovial joint within the fourth digit of the foot articulating the middle and distal phalanges. (NCI)</t>
  </si>
  <si>
    <t>Distal Interphalangeal Joint 4 of the Foot</t>
  </si>
  <si>
    <t>DIP4 of the Hand</t>
  </si>
  <si>
    <t>A ginglymoid (hinge) synovial joint within the fourth digit of the hand articulating the middle and distal phalanges. (NCI)</t>
  </si>
  <si>
    <t>Distal Interphalangeal Joint 4 of the Hand</t>
  </si>
  <si>
    <t>DIP4</t>
  </si>
  <si>
    <t>A condyloid synovial joint within the fourth digit of the hand or foot articulating the middle and distal phalanges. (NCI)</t>
  </si>
  <si>
    <t>Distal Interphalangeal Joint 4</t>
  </si>
  <si>
    <t>DIP5 of the Foot</t>
  </si>
  <si>
    <t>A ginglymoid (hinge) synovial joint within the fifth digit of the foot articulating the middle and distal phalanges. (NCI)</t>
  </si>
  <si>
    <t>Distal Interphalangeal Joint 5 of the Foot</t>
  </si>
  <si>
    <t>DIP5 of the Hand</t>
  </si>
  <si>
    <t>A ginglymoid (hinge) synovial joint within the fifth digit of the hand articulating the middle and distal phalanges. (NCI)</t>
  </si>
  <si>
    <t>Distal Interphalangeal Joint 5 of the Hand</t>
  </si>
  <si>
    <t>DIP5</t>
  </si>
  <si>
    <t>A condyloid synovial joint within the fifth digit of the hand or foot articulating the middle and distal phalanges. (NCI)</t>
  </si>
  <si>
    <t>Distal Interphalangeal Joint 5</t>
  </si>
  <si>
    <t>DISTAL LAD ARTERY SEGMENT; DLAD</t>
  </si>
  <si>
    <t>The segment of the left anterior descending (LAD) artery that is distal to the third diagonal branch.</t>
  </si>
  <si>
    <t>Distal Left Anterior Descending Artery</t>
  </si>
  <si>
    <t>The bone that forms the tip of the second finger, as counted from the thenar side of the hand.</t>
  </si>
  <si>
    <t>Hand Digit 2 Distal Phalanx</t>
  </si>
  <si>
    <t>The bone that forms the tip of the third finger, as counted from the thenar side of the hand.</t>
  </si>
  <si>
    <t>Hand Digit 3 Distal Phalanx</t>
  </si>
  <si>
    <t>The bone that forms the tip of the fourth finger, as counted from the thenar side of the hand.</t>
  </si>
  <si>
    <t>Hand Digit 4 Distal Phalanx</t>
  </si>
  <si>
    <t>The bone that forms the tip of the fifth finger, as counted from the thenar side of the hand.</t>
  </si>
  <si>
    <t>Hand Digit 5 Distal Phalanx</t>
  </si>
  <si>
    <t>The articulation of the distal head of the ulna bone and the ulnar notch of the radius.</t>
  </si>
  <si>
    <t>Distal Radioulnar Joint</t>
  </si>
  <si>
    <t>DISTAL RIGHT CORONARY ARTERY CONDUIT SEGMENT; DRCA</t>
  </si>
  <si>
    <t>The section of the right coronary artery distal to the origin of the acute marginal artery.</t>
  </si>
  <si>
    <t>Distal Right Coronary Artery Conduit</t>
  </si>
  <si>
    <t>Lymph node(s) that is distant to the anatomic region of interest.</t>
  </si>
  <si>
    <t>Distant Lymph Node</t>
  </si>
  <si>
    <t>A brain nucleus located in the medulla oblongata. (NCI)</t>
  </si>
  <si>
    <t>Dorsal Motor Nucleus</t>
  </si>
  <si>
    <t>Dorsal Pedal Artery; Dorsalis Pedis Artery</t>
  </si>
  <si>
    <t>An artery of the dorsal surface of the foot, originating from the anterior tibial artery of the lower leg. The following arterial branches originate from the dorsalis pedis artery: the arcuate artery of the foot and deep plantar artery. (NCI)</t>
  </si>
  <si>
    <t>Dorsalis Pedis Artery</t>
  </si>
  <si>
    <t>An embryonic blood vessel that allows blood to bypass the lungs by connecting the pulmonary artery and the proximal descending aorta.</t>
  </si>
  <si>
    <t>Ductus Arteriosus</t>
  </si>
  <si>
    <t>The portion of the small intestine between the stomach and jejunum.</t>
  </si>
  <si>
    <t>Duodenum</t>
  </si>
  <si>
    <t>The outermost, toughest, and most fibrous of the three membranes (meninges) that surround and protect the brain and spinal cord. (NCI)</t>
  </si>
  <si>
    <t>Dura Mater</t>
  </si>
  <si>
    <t>Venous channels within the dura mater of the brain which receives both blood from blood vessels within the brain as well as cerebrospinal fluid then drains into the internal jugular vein. Unlike other blood vessels, dural venous sinuses lack valves and other vessel associated layers.</t>
  </si>
  <si>
    <t>Dural Venous Sinus</t>
  </si>
  <si>
    <t>A sensory organ that contains auditory and vestibular apparatuses.</t>
  </si>
  <si>
    <t>Ear</t>
  </si>
  <si>
    <t>Internal Ear; Labyrinth</t>
  </si>
  <si>
    <t>The innermost portion of the ear that contains the vestibule, cochlea and semicircular canals.</t>
  </si>
  <si>
    <t>Inner Ear</t>
  </si>
  <si>
    <t>Auricle; External Ear; Pinna</t>
  </si>
  <si>
    <t>The external part of the ear. (NCI)</t>
  </si>
  <si>
    <t>External Ear</t>
  </si>
  <si>
    <t>The soft fleshy portion of the lower external ear composed of areolar and adipose connective tissues. (NCI)</t>
  </si>
  <si>
    <t>Lobule of the Auricle</t>
  </si>
  <si>
    <t>A group of two muscles in the upper extremity, the triceps brachii and anconeus; primary function is to straighten the arm at the elbow joint.</t>
  </si>
  <si>
    <t>Elbow Extensors</t>
  </si>
  <si>
    <t>A group of three muscles in the upper extremity, the brachialis, biceps brachii, and the brachioradialis; primary function is to bend the arm at the elbow joint.</t>
  </si>
  <si>
    <t>Elbow Flexors</t>
  </si>
  <si>
    <t>Elbow; Elbow Joint</t>
  </si>
  <si>
    <t>A joint involving the humerus, radius and ulna bones.</t>
  </si>
  <si>
    <t>Elbow Joint</t>
  </si>
  <si>
    <t>The layer of endothelial cells and connective tissue lining the chambers of the heart. (NCI)</t>
  </si>
  <si>
    <t>Endocardium</t>
  </si>
  <si>
    <t>The portion of the cervix which is lined by single columnar epithelium (mucosa). (NCI)</t>
  </si>
  <si>
    <t>Endocervix</t>
  </si>
  <si>
    <t>Endometrial Cavity</t>
  </si>
  <si>
    <t>A space inside the uterus lined by a layer of mucous membranes called the endometrium.</t>
  </si>
  <si>
    <t>The mucous membrane comprising the inner layer of the uterine wall.</t>
  </si>
  <si>
    <t>Endometrium</t>
  </si>
  <si>
    <t>A brain region in the medial temporal lobe near the hippocampus. (NCI)</t>
  </si>
  <si>
    <t>Entorhinal Cortex</t>
  </si>
  <si>
    <t>The outer membranous connective tissue layer of the heart tissue. (NCI)</t>
  </si>
  <si>
    <t>Epicardium</t>
  </si>
  <si>
    <t>Epicondyle</t>
  </si>
  <si>
    <t>A bone prominence to which ligaments and tendons of the joints are attached. (NCI)</t>
  </si>
  <si>
    <t>A crescent-like structure located adjacent to the testis. It consists of a single highly coiled duct and is divided into 3 regions: caput (head), corpus (body) and cauda (tail).</t>
  </si>
  <si>
    <t>Epididymis</t>
  </si>
  <si>
    <t>The body space between the dura mater and the walls of the vertebral canal.</t>
  </si>
  <si>
    <t>Epidural Spinal Canal Space</t>
  </si>
  <si>
    <t>A parietal lymph node located along the inferior epigastric vessels.</t>
  </si>
  <si>
    <t>Epigastric Lymph Node</t>
  </si>
  <si>
    <t>The most superior, central area of the abdomen, lying immediately superior to the umbilicus and bounded laterally by the costal margins.</t>
  </si>
  <si>
    <t>Epigastric Region</t>
  </si>
  <si>
    <t>Epiglottis</t>
  </si>
  <si>
    <t>A small cartilagenous flap-like valve that closes over the larynx during swallowing to prevent food entering the lungs. (NCI)</t>
  </si>
  <si>
    <t>A lymph node located above and adjacent to the elbow. (NCI)</t>
  </si>
  <si>
    <t>Epitrochlear Lymph Node</t>
  </si>
  <si>
    <t>Any lymph node located near the esophagus, including cervical, and upper, middle, and lower thoracic lymph nodes.</t>
  </si>
  <si>
    <t>Esophageal Lymph Node</t>
  </si>
  <si>
    <t>The mucosal membranes that line the inner surface of the esophagus.</t>
  </si>
  <si>
    <t>Esophageal Mucosa</t>
  </si>
  <si>
    <t>The portion of the digestive tract between the pharynx and stomach.</t>
  </si>
  <si>
    <t>Esophagus</t>
  </si>
  <si>
    <t>Abdominal Esophagus</t>
  </si>
  <si>
    <t>Clinical esophageal segment composed of smooth muscle. It corresponds to the inferior part of the lower third topographic segment of the esophagus. (NCI)</t>
  </si>
  <si>
    <t>Cervical Esophagus</t>
  </si>
  <si>
    <t>Clinical esophageal segment composed of skeletal muscle. It corresponds to the superior part of the upper third topographic segment of the esophagus. (NCI)</t>
  </si>
  <si>
    <t>Lower Third of the Esophagus</t>
  </si>
  <si>
    <t>The lower one third of the esophagus in which the muscle layer is composed of muscle cells predominantly of the smooth type. (NCI)</t>
  </si>
  <si>
    <t>Middle Third of the Esophagus</t>
  </si>
  <si>
    <t>The middle one third of the esophagus in which the muscle layer is composed of muscle cells of the striated and smooth types.</t>
  </si>
  <si>
    <t>Thoracic Esophagus</t>
  </si>
  <si>
    <t>Clinical esophageal segment composed of smooth muscle. It includes the middle third topographic segment, as well as parts of the upper and lower thirds. (NCI)</t>
  </si>
  <si>
    <t>Upper Third of the Esophagus</t>
  </si>
  <si>
    <t>The upper one third of esophagus in which the muscle layer is composed of muscle cells of the striated type. (NCI)</t>
  </si>
  <si>
    <t>Ethmoid Bone</t>
  </si>
  <si>
    <t>A light and spongy bone that is cubical in shape. This bone is positioned at the anterior part of the cranium, sitting between the two orbits, at the roof of the nose. It consists of four parts: a horizontal or cribriform plate; a perpendicular plate; and two lateral masses or labyrinths. (NCI)</t>
  </si>
  <si>
    <t>Ethmoid Sinus</t>
  </si>
  <si>
    <t>A sinus of the meatuses of the nasal cavity. (NCI)</t>
  </si>
  <si>
    <t>The lateral portions of the occipital bone lying on either side of the foramen magnum; it is present during fetal development and later fuses with the occipital bone.</t>
  </si>
  <si>
    <t>Exoccipital Bone</t>
  </si>
  <si>
    <t>A group of two muscles of the hand, the extensor carpi radialis brevis and extensor carpi radialis longus. Primary function is radial extension and abduction or deviation of the wrist.</t>
  </si>
  <si>
    <t>Extensor Carpi Radialis Muscles</t>
  </si>
  <si>
    <t>A muscle of the wrist, in general extending from the humeral and ulnar heads to the base of the fifth metacarpal bone; primary function is to extend and abduct the wrist toward the ulna.</t>
  </si>
  <si>
    <t>Extensor Carpi Ulnaris</t>
  </si>
  <si>
    <t>A muscle of the forearm, in general extending from the lateral epicondyle of the humerus to the extensor expansion of the fifth digit; primary function is to extend the fifth digit at the metacarpophalangeal joint.</t>
  </si>
  <si>
    <t>Extensor Digiti Minimi Muscle</t>
  </si>
  <si>
    <t>A muscle in the foot, in general extending from the superolateral surface of the anterior calcaneus to the lateral sides of the tendons of extensor digitorum longus on the second, third and fourth toes; primary function is to extend the second, third and fourth toes.</t>
  </si>
  <si>
    <t>Extensor Digitorum Brevis Muscle</t>
  </si>
  <si>
    <t>Long Digital Extensor Muscle</t>
  </si>
  <si>
    <t>A muscle extending from the lateral surface of the tibia to the digits; primary function is the extension of the digits and flexion of the tarsal joint.</t>
  </si>
  <si>
    <t>Extensor Digitorum Longus</t>
  </si>
  <si>
    <t>A muscle of the hand, in general extending from the lateral epicondyle of the humerus to the base of the proximal, middle, and distal phalanges; primary function is to extend the fingers.</t>
  </si>
  <si>
    <t>Extensor Digitorum Communis</t>
  </si>
  <si>
    <t>A muscle in the foot, in general extending from the superior surface of the anterior calcaneus to the dorsal surface of the base of the proximal phalanx of the big toe; primary function is to extend the big toe.</t>
  </si>
  <si>
    <t>Extensor Hallucis Brevis Muscle</t>
  </si>
  <si>
    <t>A muscle of the lower leg, in general extending from the middle third of the medial surface of the fibula and the adjacent interosseous membrane to the base and dorsal center of the distal phalanx of the great toe; primary function is to extend the big toe and dorsiflex the ankle.</t>
  </si>
  <si>
    <t>Extensor Hallucis Longus Muscle</t>
  </si>
  <si>
    <t>A muscle of the forearm, in general extending from the posterior surface of the ulna to the base of the second proximal phalanx and the tendon of the extensor digitorum muscle; primary function is to extend the second digit at metacarpophalangeal and interphalangeal joints.</t>
  </si>
  <si>
    <t>Extensor Indicis Proprius Muscle</t>
  </si>
  <si>
    <t>A muscle of the forearm, in general extending from the posterior surface of the distal third of the radius and the adjacent interosseous membrane to the posterior surface of the base of the proximal phalanx of the thumb; primary function is to extend the thumb at the carpometacarpal and metacarpophalangeal joints.</t>
  </si>
  <si>
    <t>Extensor Pollicis Brevis Muscle</t>
  </si>
  <si>
    <t>A muscle of the forearm, in general extending from the posterior surface of the middle third of the ulna and the adjacent interosseous membrane to the posterior surface of the base of the distal phalanx of the thumb; primary function is to extend the thumb at the metacarpophalangeal and interphalangeal joints and extend and abduct the wrist joint.</t>
  </si>
  <si>
    <t>Extensor Pollicis Longus Muscle</t>
  </si>
  <si>
    <t>Auditory Canal; Ear Canal; External Acoustic Meatus; External Auditory Canal; External Auditory Meatus</t>
  </si>
  <si>
    <t>A tubular structure that runs from the outer ear to the tympanic membrane.</t>
  </si>
  <si>
    <t>External Acoustic Meatus</t>
  </si>
  <si>
    <t>An artery arising from the bifurcation of the common iliac artery in the lower torso. The external iliac artery becomes the femoral artery and is the main blood supply for the leg.</t>
  </si>
  <si>
    <t>External Iliac Artery</t>
  </si>
  <si>
    <t>A lymph node located along the external iliac artery. (NCI)</t>
  </si>
  <si>
    <t>External Iliac Lymph Node</t>
  </si>
  <si>
    <t>A lymph node that is located outside of the abdominal wall.</t>
  </si>
  <si>
    <t>Extra-Abdominal Lymph Node</t>
  </si>
  <si>
    <t>The portion of the biliary tract outside the liver; the common hepatic duct joins the cystic duct to form the common bile duct. (NCI)</t>
  </si>
  <si>
    <t>Extrahepatic Bile Duct</t>
  </si>
  <si>
    <t>The area of the body where the right and left hepatic ducts exit the liver and join to form the common hepatic duct that is proximal to the origin of the cystic duct. (PDQ)</t>
  </si>
  <si>
    <t>Extrahepatic Perihilar Bile Duct Region</t>
  </si>
  <si>
    <t>Oculomotor Muscle</t>
  </si>
  <si>
    <t>A group of muscles in the orbit extending from the posterior orbit to the eye and upper eyelid; primary function is the movement of the eye and retraction of the upper eyelid.</t>
  </si>
  <si>
    <t>Extraocular Muscle</t>
  </si>
  <si>
    <t>The external protuberance of the eyeball beneath the eyelid. (Makris S, Solomon HM, Clark R, Shiota K, Barbellion S, Buschmann J, Ema M, Fujiwara M, Grote K, Hazelden KP, Hew KW, Horimoto M, Ooshima Y, Parkinson M, Wise LD. Terminology of developmental abnormalities in common laboratory mammals (Version 2). Part B. Birth Defects Res B Dev Reprod Toxicol. 2009 Aug;86(4):227-327.)</t>
  </si>
  <si>
    <t>Eye Bulge</t>
  </si>
  <si>
    <t>Eyeball</t>
  </si>
  <si>
    <t>The sensory organ of vision.</t>
  </si>
  <si>
    <t>Eye</t>
  </si>
  <si>
    <t>The space in the eye filled with aqueous humor and bounded by the cornea, a small portion of the sclera, a small portion of the ciliary body, the iris and lens. (Cline et al., Dictionary of Visual Science, 4th ed, p109)</t>
  </si>
  <si>
    <t>Anterior Chamber of the Eye</t>
  </si>
  <si>
    <t>The front part of the eye, which is posteriorly bordered by posterior surfaces of the posterior lens capsule, lens zonules, and ciliary body; it includes the cornea, conjunctiva, lacrimal gland, tear film, iris, lens, ciliary body, anterior portion of the sclera, and anterior chamber.</t>
  </si>
  <si>
    <t>Anterior Eye Segment</t>
  </si>
  <si>
    <t>Postremal Chamber</t>
  </si>
  <si>
    <t>The largest space within the eye which is bounded by the lens and the retina and filled with the gelatinous vitreous humor. (NCI)</t>
  </si>
  <si>
    <t>Vitreous Chamber</t>
  </si>
  <si>
    <t>The arched strip of hairs (supercilia) on the brow ridge (supercilium) above each eye socket.</t>
  </si>
  <si>
    <t>Eyebrow</t>
  </si>
  <si>
    <t>Anyone of the short hairs that grow on the edge of the eyelid. (NCI)</t>
  </si>
  <si>
    <t>Eyelash</t>
  </si>
  <si>
    <t>Palpebra</t>
  </si>
  <si>
    <t>The section of skin, containing muscle and conjunctiva, that covers and protects the eye.</t>
  </si>
  <si>
    <t>Eyelid</t>
  </si>
  <si>
    <t>The portion of the head that contains the structures such as the eyes, nose, mouth, and jaws.</t>
  </si>
  <si>
    <t>Face</t>
  </si>
  <si>
    <t>Facet Joint</t>
  </si>
  <si>
    <t>A synovial joint between two adjacent vertebrae. The facet joint links the articular process of one vertebra and the inferior articular process of the adjacent vertebra. (NCI)</t>
  </si>
  <si>
    <t>Facial Bone</t>
  </si>
  <si>
    <t>Any bone that contributes to the facial structures, except those bones that are part of the braincase. (NCI)</t>
  </si>
  <si>
    <t>Mimetic Muscles</t>
  </si>
  <si>
    <t>Any of the muscles of the face that are supplied by the facial nerve and control facial expressions.</t>
  </si>
  <si>
    <t>Facial Muscle</t>
  </si>
  <si>
    <t>Seventh Cranial Nerve</t>
  </si>
  <si>
    <t>A cranial nerve extending from the brain stem between the pons and medulla, which innervates the facial muscles, glands and the tongue.</t>
  </si>
  <si>
    <t>Facial Nerve</t>
  </si>
  <si>
    <t>A fold of tissue consisting of two layers of peritoneum extending from the notch of the anterior margin of the liver to the anterior abdominal wall and diaphragm.</t>
  </si>
  <si>
    <t>Falciform Ligament</t>
  </si>
  <si>
    <t>Fallopian Tube</t>
  </si>
  <si>
    <t>The tube through which eggs pass from an ovary.</t>
  </si>
  <si>
    <t>A sheet or band of fibrous connective tissue enveloping, separating, or binding together muscles, organs and other soft structures of the body.</t>
  </si>
  <si>
    <t>Fascia</t>
  </si>
  <si>
    <t>Encapsulated adipose tissue within the body.</t>
  </si>
  <si>
    <t>Fat Pad</t>
  </si>
  <si>
    <t>Isthmus of Fauces; Oropharyngeal Isthmus</t>
  </si>
  <si>
    <t>The anatomical opening formed by the arch of the hard palate at the back of the mouth, where the oral cavity and pharynx meet.</t>
  </si>
  <si>
    <t>Oropharyngeal Isthmus</t>
  </si>
  <si>
    <t>Female Genitalia</t>
  </si>
  <si>
    <t>Female internal and external organs of reproduction.</t>
  </si>
  <si>
    <t>The sex organs of the female.</t>
  </si>
  <si>
    <t>Female Reproductive System</t>
  </si>
  <si>
    <t>An artery of the thigh; in general it arises from the external iliac artery distal to the inguinal ligment and continues as the popliteal artery.</t>
  </si>
  <si>
    <t>Femoral Artery</t>
  </si>
  <si>
    <t>The rounded bony projection at the distal end of the femur.</t>
  </si>
  <si>
    <t>Femoral Condyle</t>
  </si>
  <si>
    <t>Femur Head</t>
  </si>
  <si>
    <t>The highest portion of the femoral bone that articulates with the acetabulum. (NCI)</t>
  </si>
  <si>
    <t>Head of the Femur</t>
  </si>
  <si>
    <t>A lymph node located in the upper inner portion of the thigh. (NCI)</t>
  </si>
  <si>
    <t>Femoral Lymph Node</t>
  </si>
  <si>
    <t>Femoral Neck</t>
  </si>
  <si>
    <t>The short, constricted portion of the thigh bone between the femur head and the trochanter. (NCI)</t>
  </si>
  <si>
    <t>A vein of the thigh; in general it arises from the popliteal vein and drains into the external iliac vein.</t>
  </si>
  <si>
    <t>Femoral Vein</t>
  </si>
  <si>
    <t>The segment of the blood vessels that includes the popliteal artery and its origin from the femoral artery.</t>
  </si>
  <si>
    <t>Femoropopliteal Artery Segment</t>
  </si>
  <si>
    <t>The cylindrical body of the femur. (NCI)</t>
  </si>
  <si>
    <t>Femoral Shaft</t>
  </si>
  <si>
    <t>Bone, Femoral</t>
  </si>
  <si>
    <t>The bone positioned between the pelvis and the femorotibial joint.</t>
  </si>
  <si>
    <t>Femur</t>
  </si>
  <si>
    <t>The elongated bony body of the fibula.</t>
  </si>
  <si>
    <t>Fibular Shaft</t>
  </si>
  <si>
    <t>The long bone that is lateral to the tibia.</t>
  </si>
  <si>
    <t>Fibula</t>
  </si>
  <si>
    <t>A vein that arises from the plantar veins of the foot, accompanies the peroneal artery, and travels up the back of the leg to join the anterior and posterior tibial veins in forming the popliteal vein on the posterior surface of the knee.</t>
  </si>
  <si>
    <t>Fibular Vein</t>
  </si>
  <si>
    <t>A group of six muscles in the upper extremity, the abductor pollicis longus, extensor pollicis brevis, extensor pollicis longus, extensor indicis, extensor digitorum, and extensor digiti minimi muscles; primary function is to straighten the fingers to open the hand.</t>
  </si>
  <si>
    <t>Finger Extensors</t>
  </si>
  <si>
    <t>The tendons located on the dorsal side of the fingers that connect muscles of the forearm and hand to bones in the fingers, enabling extension of the fingers. (NCI)</t>
  </si>
  <si>
    <t>Finger Extensor Tendons</t>
  </si>
  <si>
    <t>A group of three muscles in the upper extremity, the flexor digitorum superficialis, flexor digitorum profundus, and flexor pollicis longus muscles; primary function is to bend the fingers.</t>
  </si>
  <si>
    <t>Finger Flexors</t>
  </si>
  <si>
    <t>The tendons located on the palm side of the fingers that connect the flexor muscles of the forearm and hand to bones in the fingers, enabling flexion towards the palm. (NCI)</t>
  </si>
  <si>
    <t>Finger Flexor Tendons</t>
  </si>
  <si>
    <t>Finger</t>
  </si>
  <si>
    <t>Any of the digits of the hand. (NCI)</t>
  </si>
  <si>
    <t>Fingernail</t>
  </si>
  <si>
    <t>The nail at the end of a finger. (NCI)</t>
  </si>
  <si>
    <t>The most distal end of the finger, beyond the nail bed.</t>
  </si>
  <si>
    <t>Fingertip</t>
  </si>
  <si>
    <t>1ST DIAG; FIRST DIAGONAL BRANCH ARTERY SEGMENT</t>
  </si>
  <si>
    <t>The first artery arising from the left anterior descending (LAD) artery that supplies the anterolateral wall, when counted from proximal to distal.</t>
  </si>
  <si>
    <t>First Diagonal Branch Artery</t>
  </si>
  <si>
    <t>A dorsal interosseous muscle of the foot that originates on the lateral side of the first metatarsal and the medial side of the second metatarsal, and inserts into the medial side of the base of the proximal phalanx of the second toe.</t>
  </si>
  <si>
    <t>First Dorsal Interosseous Muscle of the Foot</t>
  </si>
  <si>
    <t>A dorsal interosseous muscle of the hand that originates on the proximal half of the lateral border of the index metacarpal and the full length of the medial border of the thumb metacarpal, and inserts into the lateral side of the index finger.</t>
  </si>
  <si>
    <t>First Dorsal Interosseous Muscle of the Hand</t>
  </si>
  <si>
    <t>1ST LPL; FIRST LEFT POSTEROLATERAL BRANCH ARTERY SEGMENT</t>
  </si>
  <si>
    <t>In an individual with a left-dominant heart, this is the first branch that arises from the circumflex artery atrioventricular groove continuation when counted from proximal to distal. It supplies the posterolateral wall.</t>
  </si>
  <si>
    <t>First Left Posterolateral Branch Artery</t>
  </si>
  <si>
    <t>1ST OM; FIRST OBTUSE MARGINAL BRANCH ARTERY SEGMENT</t>
  </si>
  <si>
    <t>The first artery arising from the left circumflex artery that supplies the lateral wall, when counted from proximal to distal.</t>
  </si>
  <si>
    <t>First Obtuse Marginal Branch Artery</t>
  </si>
  <si>
    <t>1ST RPL; FIRST RIGHT POSTEROLATERAL ARTERY SEGMENT</t>
  </si>
  <si>
    <t>In an individual with a right-dominant heart, this is the first branch that arises from the right coronary artery distal to the right posterior descending artery, when counted from proximal to distal.</t>
  </si>
  <si>
    <t>First Right Posterolateral Artery</t>
  </si>
  <si>
    <t>The region on either side of the body that extends from the last rib to the hip.</t>
  </si>
  <si>
    <t>Flank</t>
  </si>
  <si>
    <t>A muscle in the forearm running from the head of the humerus to the radial side of the wrist that flexes and radially abducts the hand. (NCI)</t>
  </si>
  <si>
    <t>Flexor Carpi Radialis</t>
  </si>
  <si>
    <t>A muscle in the forearm running from the humeral and ulnar heads to the ulnar side of the wrist that flexes and abducts the hand toward the ulna. (NCI)</t>
  </si>
  <si>
    <t>Flexor Carpi Ulnaris</t>
  </si>
  <si>
    <t>A muscle in the foot, in general extending from the medial process of the posterior calcaneal tuberosity to the borders of the middle phalanx of the four lateral toes; primary function is flexion of the four lateral toes and support of the medial and lateral longitudinal arches.</t>
  </si>
  <si>
    <t>Flexor Digitorum Brevis Muscle</t>
  </si>
  <si>
    <t>A muscle in the leg/hindlimb and foot/hindpaw, in general extending from the tibia to the phalanges; primary function is to flex the digits.</t>
  </si>
  <si>
    <t>Flexor Digitorum Longus</t>
  </si>
  <si>
    <t>A muscle in the forearm beginning at the head of the ulna and ending with four tendons projecting to the second, third, fourth, and fifth fingers which flexes the midcarpal, metacarpophalangeal and interphalangeal joints. (NCI)</t>
  </si>
  <si>
    <t>Flexor Digitorum Profundus</t>
  </si>
  <si>
    <t>A muscle in the forearm, in general extending from the humeroulnar and radial heads of the forearm to the middle phalanges of the second through fifth digits of the hand; primary function is flexion of the fingers at the proximal interphalangeal joints.</t>
  </si>
  <si>
    <t>Flexor Digitorum Superficialis Muscle</t>
  </si>
  <si>
    <t>A muscle in the foot, in general extending from the plantar surface of the cuboid bone to the medial and lateral sesamoid bones at the base of the proximal phalanx of the big toe; primary function is flexion of the big toe and the support of the medial longitudinal arch.</t>
  </si>
  <si>
    <t>Flexor Hallucis Brevis Muscle</t>
  </si>
  <si>
    <t>A muscle in the leg and foot, in general extending from the fibula to the distal surface of the big toe phalanx; primary function is to flex the big toe.</t>
  </si>
  <si>
    <t>Flexor Hallucis Longus</t>
  </si>
  <si>
    <t>A muscle of the hand, whose superficial head extends from the flexor retinaculum and tubercle of the trapezium bone and deep head that extends from the trapezoid and capitate bones, extending to the lateral side of the base of the proximal phalanx of the thumb; primary function is to flex the thumb at the metacarpophalangeal joint.</t>
  </si>
  <si>
    <t>Flexor Pollicis Brevis Muscle</t>
  </si>
  <si>
    <t>A muscle in the forearm, in general extending from the anterior surface of the radius and interosseous membrane to the palmar aspect of the base of the distal phalanx of the thumb; primary function is flexion of the thumb.</t>
  </si>
  <si>
    <t>Flexor Pollicis Longus Muscle</t>
  </si>
  <si>
    <t>The area of the mouth under the ventral surface of the tongue.</t>
  </si>
  <si>
    <t>Floor of Mouth</t>
  </si>
  <si>
    <t>Fontanel; Soft Spot</t>
  </si>
  <si>
    <t>The membrane-covered space between the skull bones of a neonate or fetus where ossification is not complete and sutures are not fully formed.</t>
  </si>
  <si>
    <t>Fontanelle</t>
  </si>
  <si>
    <t>Big Toe</t>
  </si>
  <si>
    <t>The largest and most medial toe of the foot. (NCI)</t>
  </si>
  <si>
    <t>Foot Digit 1</t>
  </si>
  <si>
    <t>Index Toe</t>
  </si>
  <si>
    <t>The second toe from the medial side of the foot. (NCI)</t>
  </si>
  <si>
    <t>Foot Digit 2</t>
  </si>
  <si>
    <t>Middle Toe</t>
  </si>
  <si>
    <t>The middle or third toe from the medial side of the foot. (NCI)</t>
  </si>
  <si>
    <t>Foot Digit 3</t>
  </si>
  <si>
    <t>Fourth Toe</t>
  </si>
  <si>
    <t>The fourth toe from the medial side of the foot. (NCI)</t>
  </si>
  <si>
    <t>Foot Digit 4</t>
  </si>
  <si>
    <t>Little Toe</t>
  </si>
  <si>
    <t>The smallest and most lateral toe of the foot. (NCI)</t>
  </si>
  <si>
    <t>Foot Digit 5</t>
  </si>
  <si>
    <t>Foot Phalanx</t>
  </si>
  <si>
    <t>A bone of the foot. (NCI)</t>
  </si>
  <si>
    <t>The entire structure distal to the ankle joint/tarsus, which includes the metatarsus and digit(s).</t>
  </si>
  <si>
    <t>A group of muscles in the ankle, the brachioradialis, pronator teres, pronator quadratus, and flexor carpi radialis muscles; primary function is to rotate the forearm so that the palm faces downward when the arm is extended at a right angle to the body.</t>
  </si>
  <si>
    <t>Forearm Pronator Muscles</t>
  </si>
  <si>
    <t>Forearm</t>
  </si>
  <si>
    <t>The structure on the upper limb, between the elbow and the wrist. (NCI)</t>
  </si>
  <si>
    <t>The largest part of the brain composed of the cerebral hemispheres, thalamus, hypothalamus, and the limbic system. (NCI)</t>
  </si>
  <si>
    <t>Forebrain</t>
  </si>
  <si>
    <t>Forehead</t>
  </si>
  <si>
    <t>The part of the face between the eyebrows and the normal hairline.</t>
  </si>
  <si>
    <t>The anterior, front or upper limb of an animal.</t>
  </si>
  <si>
    <t>Fore Limb</t>
  </si>
  <si>
    <t>Forepaw Phalange</t>
  </si>
  <si>
    <t>Any of the bones that make up the digits of the forepaw.</t>
  </si>
  <si>
    <t>Forepaw Phalanx</t>
  </si>
  <si>
    <t>Male Prepuce</t>
  </si>
  <si>
    <t>A fold of skin covering the tip of the penis.</t>
  </si>
  <si>
    <t>Fovea Centralis</t>
  </si>
  <si>
    <t>Area consisting of a small depression in the retina containing only cones and where vision is most acute.</t>
  </si>
  <si>
    <t>A bone of the skull forming the front part of the skull, root of the nose, and the roof of both orbits.</t>
  </si>
  <si>
    <t>Frontal Bone</t>
  </si>
  <si>
    <t>Frontal Lobe</t>
  </si>
  <si>
    <t>The part of the brain located anterior to the parietal lobes at the front of each cerebral hemisphere. (NCI)</t>
  </si>
  <si>
    <t>Frontal Sinus</t>
  </si>
  <si>
    <t>The paired, mucosal lined air spaces located above the orbit and communicating with the nasal passages. (NCI)</t>
  </si>
  <si>
    <t>A muscle of the forehead, in general extending from the galea aponeurotica at the top of the skull to the skin around the eyebrows and the top of the nose; primary function is to raise the eyebrows.</t>
  </si>
  <si>
    <t>Frontalis Muscle</t>
  </si>
  <si>
    <t>The portion of the interior of the eye that includes the sensory retina, the optic disc, and the macula.</t>
  </si>
  <si>
    <t>Eye Fundus</t>
  </si>
  <si>
    <t>The blind sac region of the glandular stomach.</t>
  </si>
  <si>
    <t>Fundus of the Stomach</t>
  </si>
  <si>
    <t>The upper, rounded portion of the uterus that is opposite from the cervix.</t>
  </si>
  <si>
    <t>Fundus Uteri</t>
  </si>
  <si>
    <t>A sac-like organ located adjacent to the liver that stores and concentrates bile produced by the liver.</t>
  </si>
  <si>
    <t>Gallbladder</t>
  </si>
  <si>
    <t>Ganglia; Ganglion; Neural Ganglion</t>
  </si>
  <si>
    <t>A cluster of nervous tissue principally composed of neuronal cell bodies external to the central nervous system (CNS). (NCI)</t>
  </si>
  <si>
    <t>Ganglion</t>
  </si>
  <si>
    <t>The region of the stomach adjacent to the esophogastric junction.</t>
  </si>
  <si>
    <t>Gastric Cardia</t>
  </si>
  <si>
    <t>Lymph node(s) located between the two layers of the greater omentum, either superiorly along the cardiac half of the lesser curvature of the stomach or inferiorly along the pyloric half of the greater curvature of the stomach.</t>
  </si>
  <si>
    <t>Gastric Curvature Lymph Node</t>
  </si>
  <si>
    <t>Stomach Mucosa</t>
  </si>
  <si>
    <t>The mucosal membranes that line the inner surface of the stomach.</t>
  </si>
  <si>
    <t>Gastric Mucosa</t>
  </si>
  <si>
    <t>A bipennate muscle extending from the femoral condyles to the calcaneus; primary function is the extension of the tarsal joint and flexion of the femorotibial joint.</t>
  </si>
  <si>
    <t>Gastrocnemius Muscle</t>
  </si>
  <si>
    <t>One of two heads of the gastrocnemius muscle, in general originating from the lateral femoral condyle.</t>
  </si>
  <si>
    <t>Lateral Head of Gastrocnemius Muscle</t>
  </si>
  <si>
    <t>One of two heads of the gastrocnemius muscle, in general originating from the medial femoral condyle.</t>
  </si>
  <si>
    <t>Medial Head of Gastrocnemius Muscle</t>
  </si>
  <si>
    <t>Gastroesophageal Junction</t>
  </si>
  <si>
    <t>The anatomical location where the esophagus joins to the stomach. (NCI)</t>
  </si>
  <si>
    <t>Gastrointestinal System</t>
  </si>
  <si>
    <t>The system that includes the esophagus, stomach, small and large intestine, anus, liver, biliary tract, and pancreas. (NCI)</t>
  </si>
  <si>
    <t>Digestive System</t>
  </si>
  <si>
    <t>Gastrointestinal Tract</t>
  </si>
  <si>
    <t>The upper gastrointestinal (GI) tract is comprised of mouth, pharynx, esophagus and stomach while the lower GI tract consists of intestines and anus. The primary function of the GI tract is to ingest, digest, absorb and ultimately excrete food stuff. (NCI)</t>
  </si>
  <si>
    <t>Lower Gastrointestinal Tract</t>
  </si>
  <si>
    <t>The lower part of the gastrointestinal tract that includes the jejunum and ileum of the small intestine and the large intestine. (NCI)</t>
  </si>
  <si>
    <t>The portion of the gastrointestinal tract wall that surrounds the cavities of the duodenum, jejunum, ileum, colon, rectum, and anus.</t>
  </si>
  <si>
    <t>Lower Gastrointestinal Tract Wall</t>
  </si>
  <si>
    <t>Upper Gastrointestinal Tract</t>
  </si>
  <si>
    <t>The upper part of the gastrointestinal tract that includes the esophagus, stomach, and duodenum. (NCI)</t>
  </si>
  <si>
    <t>The portion of the gastrointestinal tract wall that surrounds the cavities of the esophagus and stomach. The proximal duodenum is also sometimes considered part of the upper gastrointestinal tract.</t>
  </si>
  <si>
    <t>Upper Gastrointestinal Tract Wall</t>
  </si>
  <si>
    <t>The multiple layers of specialized tissue that surround the cavity of the gastrointestinal tract, including the mucosa, submucosa, muscular layers, and serosa.</t>
  </si>
  <si>
    <t>Gastrointestinal Tract Wall</t>
  </si>
  <si>
    <t>A muscle of the tongue, in general extending from the mental spine of the mandible to the hyoid bone at the bottom of the tongue; primary function is to depress and protrude the tongue.</t>
  </si>
  <si>
    <t>Genioglossus</t>
  </si>
  <si>
    <t>A protruding body of tissue that forms in the ventral caudal region during embryonic development.</t>
  </si>
  <si>
    <t>Genital Tubercle</t>
  </si>
  <si>
    <t>The external sex organs. (NCI)</t>
  </si>
  <si>
    <t>Genitalia</t>
  </si>
  <si>
    <t>The body system that includes all organs involved in reproduction and in the formation and voidance of urine.</t>
  </si>
  <si>
    <t>Genitourinary System</t>
  </si>
  <si>
    <t>Gum</t>
  </si>
  <si>
    <t>The soft tissue surrounding the neck of individual teeth as well as covering the alveolar bone. The tissue is fibrous and continuous with the periodontal ligament and mucosal covering. (NCI)</t>
  </si>
  <si>
    <t>Gingiva</t>
  </si>
  <si>
    <t>The portion of the oral mucosa that surrounds the cervical aspect of teeth and the alveolar process of the jaw.</t>
  </si>
  <si>
    <t>Gingival Mucosa</t>
  </si>
  <si>
    <t>Glenoid Fossa</t>
  </si>
  <si>
    <t>The trough in the head of the scapula that receives the head of the humerus to form the shoulder joint. (NCI)</t>
  </si>
  <si>
    <t>Paired nuclei at the base of the forebrain that, along with the putamen, form the lentiform nucleus of the basal ganglia.</t>
  </si>
  <si>
    <t>Globus Pallidus</t>
  </si>
  <si>
    <t>A cluster of convoluted capillaries beginning at each nephric tubule in the kidney and held together by connective tissue.</t>
  </si>
  <si>
    <t>Glomerulus</t>
  </si>
  <si>
    <t>The ninth cranial nerve.</t>
  </si>
  <si>
    <t>Glossopharyngeal Nerve</t>
  </si>
  <si>
    <t>Glottis</t>
  </si>
  <si>
    <t>The space in which the vocal cords are located. (NCI)</t>
  </si>
  <si>
    <t>Laryngeal Anterior Commissure</t>
  </si>
  <si>
    <t>The anterior surface of the glottic opening, located within the larynx, that constitutes the junction of the conus elasticus and the thyroepiglottic, vestibular, and vocal ligaments.</t>
  </si>
  <si>
    <t>Laryngeal Posterior Commissure</t>
  </si>
  <si>
    <t>The posterior surface of the glottic opening at the level of the vocal cords.</t>
  </si>
  <si>
    <t>A group of three muscles (gluteus maximus, gluteus medius, gluteus minimus) extending from the ilium and sacrum to the femur; primary function is extension and abduction of the hip joint.</t>
  </si>
  <si>
    <t>Gluteal Muscle</t>
  </si>
  <si>
    <t>The outermost and largest muscle of the buttocks. (NCI)</t>
  </si>
  <si>
    <t>Gluteus Maximus</t>
  </si>
  <si>
    <t>A muscle of the hip and buttock, in general extending from the gluteal surface of the ilium to the lateral aspect of the greater trochanter of the femur; primary function is to abduct and rotate the thigh.</t>
  </si>
  <si>
    <t>Gluteus Medius</t>
  </si>
  <si>
    <t>A reproductive organ that produces gametes.</t>
  </si>
  <si>
    <t>Gonad</t>
  </si>
  <si>
    <t>A muscle in the thigh, in general extending from the lower half of the symphysis pubis and the upper half of the pubic arch to the upper part of the medial surface of the tibia; primary function is to adduct the thigh, rotate the leg/hindlimb medially and flex the knee.</t>
  </si>
  <si>
    <t>Gracilis</t>
  </si>
  <si>
    <t>Long Saphenous Vein</t>
  </si>
  <si>
    <t>A long superficial vein originating from the dorsal vein at the big toe and the dorsal venous arch of the foot and extending up the inner leg to empty into the femoral artery in the groin area.</t>
  </si>
  <si>
    <t>Great Trochanter</t>
  </si>
  <si>
    <t>A large, irregular, quadrilateral area of bone found at the neck of the femur. (NCI)</t>
  </si>
  <si>
    <t>Any of the major arteries or veins attached to the cardiac atria or ventricles.</t>
  </si>
  <si>
    <t>Great Blood Vessel</t>
  </si>
  <si>
    <t>Greater Curvature of the Stomach</t>
  </si>
  <si>
    <t>The lateral and inferior border of the stomach. Attached to it is the greater omentum. (NCI)</t>
  </si>
  <si>
    <t>GALT</t>
  </si>
  <si>
    <t>Lymphoid tissue located in the mucosa of the digestive tract.</t>
  </si>
  <si>
    <t>Gut-Associated Lymphoid Tissue</t>
  </si>
  <si>
    <t>The lower segment of the hair that circles the dermal papilla and the hair matrix. (NCI)</t>
  </si>
  <si>
    <t>Hair Bulb</t>
  </si>
  <si>
    <t>A tube-like invagination of the epidermis from which the hair shaft develops and into which the sebaceous glands open; the follicle is lined by a cellular inner and outer root sheath of epidermal origin and is invested with a fibrous sheath derived from the dermis. (NCI)</t>
  </si>
  <si>
    <t>Hair Follicle</t>
  </si>
  <si>
    <t>The portion of the hair that is enclosed within the hair follicle. (NCI)</t>
  </si>
  <si>
    <t>Hair Root</t>
  </si>
  <si>
    <t>Shaft of the Hair</t>
  </si>
  <si>
    <t>The segment of the hair that projects above the skin surface. (NCI)</t>
  </si>
  <si>
    <t>Hair</t>
  </si>
  <si>
    <t>The filamentous outgrowth of the epidermis. (NCI)</t>
  </si>
  <si>
    <t>Hamate Bone</t>
  </si>
  <si>
    <t>The medial bone in the distal row of carpal bones. (NCI)</t>
  </si>
  <si>
    <t>A group of three muscles in the lower extremity, the biceps femoris, semimembranosus muscle and semitendinosus muscle; primary function is to extend the hip when the trunk is fixed and flex the knee, and medially rotate the lower leg when the knee is bent.</t>
  </si>
  <si>
    <t>Hamstring</t>
  </si>
  <si>
    <t>Thumb Artery</t>
  </si>
  <si>
    <t>Any of the arteries that supply blood to the thumb; either the ulnopalmar, radiopalmar, ulnodorsal, or radiodorsal digital artery to the thumb, or the princeps pollicis artery.</t>
  </si>
  <si>
    <t>Hand Digit 1 Artery</t>
  </si>
  <si>
    <t>Thumb</t>
  </si>
  <si>
    <t>The thick and short hand digit which is next to the index finger in humans. (NCI)</t>
  </si>
  <si>
    <t>Hand Digit 1</t>
  </si>
  <si>
    <t>Index Finger Artery</t>
  </si>
  <si>
    <t>Any of the arteries that supply blood to the index finger, either the radial artery of the index finger or the ulnar proper digital artery.</t>
  </si>
  <si>
    <t>Hand Digit 2 Artery</t>
  </si>
  <si>
    <t>Index Finger</t>
  </si>
  <si>
    <t>The second finger from the radial side of the hand, next to the thumb. (NCI)</t>
  </si>
  <si>
    <t>Hand Digit 2</t>
  </si>
  <si>
    <t>Middle Finger Artery</t>
  </si>
  <si>
    <t>Any of the arteries that supply blood to the middle finger, either the ulnar or radial proper digital artery.</t>
  </si>
  <si>
    <t>Hand Digit 3 Artery</t>
  </si>
  <si>
    <t>Middle Finger</t>
  </si>
  <si>
    <t>The middle or third finger from the radial side of the hand. (NCI)</t>
  </si>
  <si>
    <t>Hand Digit 3</t>
  </si>
  <si>
    <t>Ring Finger Artery</t>
  </si>
  <si>
    <t>Any of the arteries that supply blood to the ring finger, either the ulnar or radial proper digital artery.</t>
  </si>
  <si>
    <t>Hand Digit 4 Artery</t>
  </si>
  <si>
    <t>Ring Finger</t>
  </si>
  <si>
    <t>The fourth finger from the radial side of the hand. (NCI)</t>
  </si>
  <si>
    <t>Hand Digit 4</t>
  </si>
  <si>
    <t>Little Finger Artery</t>
  </si>
  <si>
    <t>Any of the arteries that supply blood to the little finger, either the ulnar or radial proper digital artery.</t>
  </si>
  <si>
    <t>Hand Digit 5 Artery</t>
  </si>
  <si>
    <t>Little Finger</t>
  </si>
  <si>
    <t>The fifth and smallest finger from the radial side of the hand. (NCI)</t>
  </si>
  <si>
    <t>Hand Digit 5</t>
  </si>
  <si>
    <t>Hand Phalanx</t>
  </si>
  <si>
    <t>A bone of the hand. (NCI)</t>
  </si>
  <si>
    <t>Hand</t>
  </si>
  <si>
    <t>The distal portion of the upper extremity. It consists of the carpus, metacarpus, and digits. (NCI)</t>
  </si>
  <si>
    <t>The part of the roof of the mouth supported by bone.</t>
  </si>
  <si>
    <t>Hard Palate</t>
  </si>
  <si>
    <t>The area of the body comprising the skull, facial bones and the cervical vertebrae, sinuses, orbits, salivary glands, oral cavity, oropharynx, larynx, thyroid, facial and neck musculature, soft tissue and lymph nodes draining these areas.</t>
  </si>
  <si>
    <t>Head and Neck</t>
  </si>
  <si>
    <t>Fibular Head</t>
  </si>
  <si>
    <t>The upper rounded part of the fibula that articulates with the tibia.</t>
  </si>
  <si>
    <t>Head of the Fibula</t>
  </si>
  <si>
    <t>Head of the Humerus</t>
  </si>
  <si>
    <t>The upper rounded part of the humerus that fits into the glenoid cavity of the scapula. (NCI)</t>
  </si>
  <si>
    <t>The portion of the body containing the mouth, the brain and multiple sensory organs.</t>
  </si>
  <si>
    <t>Head</t>
  </si>
  <si>
    <t>A hollow muscular organ which receives the blood from the veins and pumps it into the arteries.</t>
  </si>
  <si>
    <t>Heart</t>
  </si>
  <si>
    <t>Apex of the Heart</t>
  </si>
  <si>
    <t>The most outer superficial part of the heart which is situated on the left 5th intercostal space. (NCI)</t>
  </si>
  <si>
    <t>Cardiac Atrium</t>
  </si>
  <si>
    <t>The smaller chamber(s) of the heart that receives blood from the peripheral circulation and/or the lungs.</t>
  </si>
  <si>
    <t>Base of the Heart</t>
  </si>
  <si>
    <t>The superior portion of the heart located opposite to the apical portion. It is formed mainly by the left atrium. (NCI)</t>
  </si>
  <si>
    <t>An opening between the right and left atria in the fetal heart that allows blood to bypass the lungs and flow directly into the systemic circulation.</t>
  </si>
  <si>
    <t>Foramen Ovale of the Fetal Heart</t>
  </si>
  <si>
    <t>A small muscular pouch located in the wall of the left atrium.</t>
  </si>
  <si>
    <t>Left Atrial Appendage</t>
  </si>
  <si>
    <t>The smaller chamber on the left side of the heart, which receives oxygenated blood from the pulmonary veins and pumps it through the left atrioventricular valve into the left ventricle.</t>
  </si>
  <si>
    <t>Left Atrium</t>
  </si>
  <si>
    <t>Left Ventricle</t>
  </si>
  <si>
    <t>The larger chamber on the left side of the heart, which receives oxygenated blood from the left atrium and pumps it through the aortic valve into the aorta.</t>
  </si>
  <si>
    <t>The structure through which blood flows from the left ventricle into the aortic root.</t>
  </si>
  <si>
    <t>Left Ventricular Outflow Tract</t>
  </si>
  <si>
    <t>The wall of the left ventricle, comprising anterior, inferior, lateral, apical, basal wall; and excluding the interventricular septum.</t>
  </si>
  <si>
    <t>Left Ventricular Wall</t>
  </si>
  <si>
    <t>A small muscular pouch located in the wall of the right atrium.</t>
  </si>
  <si>
    <t>Right Atrial Appendage</t>
  </si>
  <si>
    <t>The smaller chamber on the right side of the heart, which receives deoxygenated blood from the body and pumps it through the right atrioventricular valve into the right ventricle.</t>
  </si>
  <si>
    <t>Right Atrium</t>
  </si>
  <si>
    <t>Right Ventricle</t>
  </si>
  <si>
    <t>The larger chamber on the right side of the heart, which receives deoxygenated blood from the right atrium and pumps it through the pulmonic valve into the pulmonary arteries.</t>
  </si>
  <si>
    <t>The lateral segment of the right ventricular wall, excluding the anterior and inferior right ventricular wall.</t>
  </si>
  <si>
    <t>Right Ventricular Free Wall</t>
  </si>
  <si>
    <t>The structure through which blood flows from the right ventricle into the pulmonary trunk.</t>
  </si>
  <si>
    <t>Right Ventricular Outflow Tract</t>
  </si>
  <si>
    <t>The wall of the right ventricle, comprising anterior, inferior, and lateral walls; and excluding the interventricular septum.</t>
  </si>
  <si>
    <t>Right Ventricular Wall</t>
  </si>
  <si>
    <t>Cardiac Septum</t>
  </si>
  <si>
    <t>The tissue in the heart that separates the two atria (atrial septum) and the two ventricles (ventricular septum). (NCI)</t>
  </si>
  <si>
    <t>Heart Septum</t>
  </si>
  <si>
    <t>Cardiac Ventricle</t>
  </si>
  <si>
    <t>The larger chamber(s) of the heart that receives blood from an atrium and pushes it out of the heart into the peripheral circulation and/or the lungs.</t>
  </si>
  <si>
    <t>The anatomical space of a cardiac ventricle.</t>
  </si>
  <si>
    <t>Heart, Ventricular Chamber</t>
  </si>
  <si>
    <t>The tissue layers that form the cardiac ventricle. They include myocardium, endocardium, and pericardium. (NCI)</t>
  </si>
  <si>
    <t>Ventricular Wall of the Heart</t>
  </si>
  <si>
    <t>The rounded back part of the foot below the ankle and behind the arch. (NCI)</t>
  </si>
  <si>
    <t>Heel of the Foot</t>
  </si>
  <si>
    <t>Heel of the Palm</t>
  </si>
  <si>
    <t>The raised part of the palm of the hand that is adjacent to the wrist. (NCI)</t>
  </si>
  <si>
    <t>Heel of the Hand</t>
  </si>
  <si>
    <t>An artery arising from the celiac trunk that supplies the liver and branches to form the cystic, gastro-duodenalis and pyloric arteries.</t>
  </si>
  <si>
    <t>Common Hepatic Artery</t>
  </si>
  <si>
    <t>Lymph node(s) adjacent to the liver.</t>
  </si>
  <si>
    <t>Hepatic Lymph Node</t>
  </si>
  <si>
    <t>The blood vessels that drain blood from the central veins of the liver into the inferior vena cava.</t>
  </si>
  <si>
    <t>Hepatic Vein</t>
  </si>
  <si>
    <t>The body system that includes the liver, gallbladder, and associated ducts.</t>
  </si>
  <si>
    <t>Hepatobiliary System</t>
  </si>
  <si>
    <t>A lymph node located in the hilum of the lung within the mediastinum.</t>
  </si>
  <si>
    <t>Pulmonary Hilar Lymph Node</t>
  </si>
  <si>
    <t>Hilar</t>
  </si>
  <si>
    <t>Refers to the area associated with the hilum. (NCI)</t>
  </si>
  <si>
    <t>The posterior, rear or lower limb of an animal.</t>
  </si>
  <si>
    <t>Hind Limb</t>
  </si>
  <si>
    <t>Hindpaw Phalange</t>
  </si>
  <si>
    <t>Any of the bones that make up the digits of the hindpaw.</t>
  </si>
  <si>
    <t>Hindpaw Phalanx</t>
  </si>
  <si>
    <t>A group of muscles generally extending from the pubis to the femur; primary function is adduction of the thigh.</t>
  </si>
  <si>
    <t>Adductor Group of the Leg</t>
  </si>
  <si>
    <t>A group of muscles in the hip, the psoas major, iliacus, rectus femoris, pectineus, and sartorius; primary function is to move the leg or knee towards the torso and bend at the waist.</t>
  </si>
  <si>
    <t>Hip Flexor Muscles</t>
  </si>
  <si>
    <t>Coxofemoral Joint; Hip Joint</t>
  </si>
  <si>
    <t>A ball-and-socket joint between the head of the femur and the acetabulum. (NCI)</t>
  </si>
  <si>
    <t>Hip Joint</t>
  </si>
  <si>
    <t>Hip</t>
  </si>
  <si>
    <t>The lateral prominence of the pelvis from the waist to the thigh. (NCI)</t>
  </si>
  <si>
    <t>A curved gray matter structure of the cerebrum that is part of the limbic system.</t>
  </si>
  <si>
    <t>Hippocampus</t>
  </si>
  <si>
    <t>The bone prominence at the distal end of the humerus to which ligaments and tendons of the joints are attached.</t>
  </si>
  <si>
    <t>Humeral Epicondyle</t>
  </si>
  <si>
    <t>The cylindrical, elongated bony body of the humerus.</t>
  </si>
  <si>
    <t>Humeral Shaft</t>
  </si>
  <si>
    <t>Bone, Humeral</t>
  </si>
  <si>
    <t>The bone between the scapulohumeral and humeroulnar joints.</t>
  </si>
  <si>
    <t>Humerus</t>
  </si>
  <si>
    <t>The outer edge of the hymen or hymenal remnants.</t>
  </si>
  <si>
    <t>Hymenal Ring</t>
  </si>
  <si>
    <t>Hyoid Bone</t>
  </si>
  <si>
    <t>A U-shaped bone supporting the tongue. This bone is located at the base of the tongue and is suspended from the tips of the styloid processes of the temporal bones by the stylohyoid ligaments. (NCI)</t>
  </si>
  <si>
    <t>The twelfth cranial nerve.</t>
  </si>
  <si>
    <t>Hypoglossal Nerve</t>
  </si>
  <si>
    <t>Hypopharynx</t>
  </si>
  <si>
    <t>The lower part of the pharynx that connects to the esophagus. (NCI)</t>
  </si>
  <si>
    <t>A small region of the brain composed of multiple nuclei and located underneath the thalamus.</t>
  </si>
  <si>
    <t>Hypothalamus</t>
  </si>
  <si>
    <t>Ileocecal Region</t>
  </si>
  <si>
    <t>The segment of the gastrointestinal tract where the terminal ileum transitions to the cecum, and where the ileocecal sphincter regulates the movement of chyme from the small intestine into the large intestine. (NCI)</t>
  </si>
  <si>
    <t>Ileocecal Junction</t>
  </si>
  <si>
    <t>A lymph node located in the ileum.</t>
  </si>
  <si>
    <t>Ileum Lymph Node</t>
  </si>
  <si>
    <t>The portion of the gastrointestinal tract wall that surrounds the cavity of the ileum and contains collections of lymphatic tissue called Peyer patches, as well as receptors for bile salts and vitamin B12.</t>
  </si>
  <si>
    <t>Ileum Wall</t>
  </si>
  <si>
    <t>The portion of the small intestine between the jejunum and large intestine.</t>
  </si>
  <si>
    <t>Ileum</t>
  </si>
  <si>
    <t>Terminal Ileum</t>
  </si>
  <si>
    <t>The most distal section of the ileum that is continuous with the cecum. (NCI)</t>
  </si>
  <si>
    <t>A predominate bone structure which borders the ilium wing stretching from the anterior superior iliac spine to the posterior superior iliac spine.</t>
  </si>
  <si>
    <t>Iliac Crest</t>
  </si>
  <si>
    <t>The large smooth and concave surface of the ilium. (NCI)</t>
  </si>
  <si>
    <t>Iliac Fossa</t>
  </si>
  <si>
    <t>Lymph node(s) adjacent to the iliac vessels in the iliosacral region and cranial to the iliofemoral lymph node.</t>
  </si>
  <si>
    <t>Iliac Lymph Node</t>
  </si>
  <si>
    <t>Veins in the pelvis, which include the common, external and internal iliac veins.</t>
  </si>
  <si>
    <t>Iliac Vein</t>
  </si>
  <si>
    <t>A combination of two muscles found in the thigh, the iliacus and the psoas major, which have different sites of origin but a common insertion on the lesser trochanter of the femur; primary function is flexion of the hip.</t>
  </si>
  <si>
    <t>Iliopsoas Muscle</t>
  </si>
  <si>
    <t>A dense band of avascular, regular connective tissue. It is formed as the union of the superficial and deep layers of the tensor fascia latae, creating a thick band that extends inferiorly, taking its origins from the iliac crest, the tensor fascia latae, and the gluteus maximus, travelling inferiolaterally along the thigh, and inserting on Gerdy's tubercle on the lateral aspect of the tibia. Functionally, the iliotibial band helps to flex, abduct, and medially rotate the femur at the hip joint, and it also helps to stabilize the knee laterally.</t>
  </si>
  <si>
    <t>Iliotibial Band</t>
  </si>
  <si>
    <t>Ilium</t>
  </si>
  <si>
    <t>The broad, dorsal, upper, and widest of the three principal bones composing either half of the pelvis. (NCI)</t>
  </si>
  <si>
    <t>A tooth between the canines in either jaw.</t>
  </si>
  <si>
    <t>Incisor</t>
  </si>
  <si>
    <t>Incus</t>
  </si>
  <si>
    <t>One of the three bones comprising the middle ear. This anvil-shaped bone is positioned between the malleus and the stapes. (NCI)</t>
  </si>
  <si>
    <t>A group of lymph nodes located in the inferior part of the mediastinum. (NCI)</t>
  </si>
  <si>
    <t>Inferior Mediastinal Lymph Node</t>
  </si>
  <si>
    <t>The portion of the pubic ramus that lies between the superior pubic ramus and the inferior ramus of the ischium.</t>
  </si>
  <si>
    <t>Inferior Pubic Ramus</t>
  </si>
  <si>
    <t>A ridge on the outer surface of the temporal lobe below the middle sulcus. (NCI)</t>
  </si>
  <si>
    <t>Inferior Temporal Gyrus</t>
  </si>
  <si>
    <t>Caudal Vena Cava; Posterior Vena Cava</t>
  </si>
  <si>
    <t>A large vein that returns blood from the lower half of the body to the heart.</t>
  </si>
  <si>
    <t>Inferior Vena Cava</t>
  </si>
  <si>
    <t>Infraclavicular Lymph Node; Subclavicular Lymph Node</t>
  </si>
  <si>
    <t>A lymph node located in the area below the clavicle. (NCI)</t>
  </si>
  <si>
    <t>Infraclavicular Lymph Node</t>
  </si>
  <si>
    <t>The portion of the abdominal aorta distal to the renal arteries.</t>
  </si>
  <si>
    <t>Infrarenal Aortic Segment</t>
  </si>
  <si>
    <t>A muscle of the rotator cuff, in general extending from the infraspinatus fossa of the scapula to the greater tubercle of the humerus; primary function is to extend and rotate the arm laterally.</t>
  </si>
  <si>
    <t>Infraspinatus</t>
  </si>
  <si>
    <t>The part of the brain below the tentorium cerebellum. (NCI)</t>
  </si>
  <si>
    <t>Infratentorial Brain</t>
  </si>
  <si>
    <t>Lymph node(s) in the inguinal region.</t>
  </si>
  <si>
    <t>Inguinal Lymph Node</t>
  </si>
  <si>
    <t>Groin</t>
  </si>
  <si>
    <t>The lower region of the anterior abdominal wall located laterally to the pubic region. (NCI)</t>
  </si>
  <si>
    <t>Inguinal Region</t>
  </si>
  <si>
    <t>Central Lobe</t>
  </si>
  <si>
    <t>A distinct cerebral lobe positioned in the depth of the Sylvian fissures and overlaid entirely by adjacent regions of the cerebral hemispheres.</t>
  </si>
  <si>
    <t>Atrial Septum; Heart, Atrial Septum</t>
  </si>
  <si>
    <t>The wall of tissue that separates the right atrium from the left atrium in the heart.</t>
  </si>
  <si>
    <t>Interatrial Septum</t>
  </si>
  <si>
    <t>A short thick blood vessel arising from the bifurcation of the common iliac artery with numerous branches that supply the organs, walls and viscera of the pelvis as well as the inner thigh.</t>
  </si>
  <si>
    <t>Internal Iliac Artery</t>
  </si>
  <si>
    <t>A lymph node located along the internal iliac artery. (NCI)</t>
  </si>
  <si>
    <t>Internal Iliac Lymph Node</t>
  </si>
  <si>
    <t>An artery of the thoracic wall; in general it arises from the subclavian artery and branches into the musculophrenic and superior epigastric arteries.</t>
  </si>
  <si>
    <t>Internal Mammary Artery</t>
  </si>
  <si>
    <t>Lymph node(s) in or adjacent to the mammary gland.</t>
  </si>
  <si>
    <t>Internal Mammary Lymph Node</t>
  </si>
  <si>
    <t>A bone of the skull situated between the parietal and supraoccipital bones.</t>
  </si>
  <si>
    <t>Interparietal Bone</t>
  </si>
  <si>
    <t>IP1 of the Foot</t>
  </si>
  <si>
    <t>A ginglymoid (hinge) synovial joint within the first digit of the foot articulating the proximal and distal phalanges. (NCI)</t>
  </si>
  <si>
    <t>Interphalangeal Joint 1 of the Foot</t>
  </si>
  <si>
    <t>IP1</t>
  </si>
  <si>
    <t>A ginglymoid (hinge) synovial joint within the first digit of the hand or foot articulating the proximal and distal phalanges. (NCI)</t>
  </si>
  <si>
    <t>Interphalangeal Joint 1</t>
  </si>
  <si>
    <t>IP2 of the Foot</t>
  </si>
  <si>
    <t>A ginglymoid (hinge) synovial joint between the phalanges of the second digit of the foot. (NCI)</t>
  </si>
  <si>
    <t>Interphalangeal Joint 2 of the Foot</t>
  </si>
  <si>
    <t>IP2 of the Hand</t>
  </si>
  <si>
    <t>A ginglymoid (hinge) synovial joint between the phalanges of the second digit of the hand. (NCI)</t>
  </si>
  <si>
    <t>Interphalangeal Joint 2 of the Hand</t>
  </si>
  <si>
    <t>IP2</t>
  </si>
  <si>
    <t>A ginglymoid (hinge) synovial joint between the phalanges of the second digit of the hand or foot. (NCI)</t>
  </si>
  <si>
    <t>Interphalangeal Joint 2</t>
  </si>
  <si>
    <t>IP3 of the Foot</t>
  </si>
  <si>
    <t>A ginglymoid (hinge) synovial joint between the phalanges of the third digit of the foot. (NCI)</t>
  </si>
  <si>
    <t>Interphalangeal Joint 3 of the Foot</t>
  </si>
  <si>
    <t>IP3 of the Hand</t>
  </si>
  <si>
    <t>A ginglymoid (hinge) synovial joint between the phalanges of the third digit of the hand. (NCI)</t>
  </si>
  <si>
    <t>Interphalangeal Joint 3 of the Hand</t>
  </si>
  <si>
    <t>IP3</t>
  </si>
  <si>
    <t>A ginglymoid (hinge) synovial joint between the phalanges of the third digit of the hand or foot. (NCI)</t>
  </si>
  <si>
    <t>Interphalangeal Joint 3</t>
  </si>
  <si>
    <t>IP4 of the Foot</t>
  </si>
  <si>
    <t>A ginglymoid (hinge) synovial joint between the phalanges of the fourth digit of the foot. (NCI)</t>
  </si>
  <si>
    <t>Interphalangeal Joint 4 of the Foot</t>
  </si>
  <si>
    <t>IP4 of the Hand</t>
  </si>
  <si>
    <t>A ginglymoid (hinge) synovial joint between the phalanges of the fourth digit of the hand. (NCI)</t>
  </si>
  <si>
    <t>Interphalangeal Joint 4 of the Hand</t>
  </si>
  <si>
    <t>IP4</t>
  </si>
  <si>
    <t>A ginglymoid (hinge) synovial joint between the phalanges of the fourth digit of the hand or foot. (NCI)</t>
  </si>
  <si>
    <t>Interphalangeal Joint 4</t>
  </si>
  <si>
    <t>IP5 of the Foot</t>
  </si>
  <si>
    <t>A ginglymoid (hinge) synovial joint between the phalanges of the fifth digit of the foot. (NCI)</t>
  </si>
  <si>
    <t>Interphalangeal Joint 5 of the Foot</t>
  </si>
  <si>
    <t>IP5 of the Hand</t>
  </si>
  <si>
    <t>A ginglymoid (hinge) synovial joint between the phalanges of the fifth digit of the hand. (NCI)</t>
  </si>
  <si>
    <t>Interphalangeal Joint 5 of the Hand</t>
  </si>
  <si>
    <t>IP5</t>
  </si>
  <si>
    <t>A ginglymoid (hinge) synovial joint between the phalanges of the fifth digit of the hand or foot. (NCI)</t>
  </si>
  <si>
    <t>Interphalangeal Joint 5</t>
  </si>
  <si>
    <t>Interphalangeal Joint of the Hand</t>
  </si>
  <si>
    <t>The hinge synovial joints between the phalanges of the fingers. (NCI)</t>
  </si>
  <si>
    <t>IP of the Foot</t>
  </si>
  <si>
    <t>The hinge synovial joints between the bones of the toes. (NCI)</t>
  </si>
  <si>
    <t>Interphalangeal Joint of the Foot</t>
  </si>
  <si>
    <t>Interphalangeal Joint 1 of the Hand; IP THUMB; IP1 of the Hand</t>
  </si>
  <si>
    <t>A condyloid synovial joint within the thumb articulating the proximal and distal phalanges.</t>
  </si>
  <si>
    <t>Interphalangeal Thumb Joint</t>
  </si>
  <si>
    <t>The bony region in the proximal portion of the femur between the greater, lesser and sub- (also called the third) trochanters.</t>
  </si>
  <si>
    <t>Intertrochanteric Region</t>
  </si>
  <si>
    <t>Heart, Ventricular Septum; Interventricular Septal Wall; Ventricular Septum</t>
  </si>
  <si>
    <t>The wall that separates the left and right ventricles of the heart. (NCI)</t>
  </si>
  <si>
    <t>Interventricular Septum</t>
  </si>
  <si>
    <t>The tissue that forms the wall of the small and large intestine.</t>
  </si>
  <si>
    <t>Intestinal Wall Tissue</t>
  </si>
  <si>
    <t>The portion of the gastrointestinal tract that includes the small and large intestines.</t>
  </si>
  <si>
    <t>Intestine</t>
  </si>
  <si>
    <t>The bile ducts that pass through and drain bile from the liver. (NCI)</t>
  </si>
  <si>
    <t>Intrahepatic Bile Duct</t>
  </si>
  <si>
    <t>Perihilar Bile Duct</t>
  </si>
  <si>
    <t>The larger bile ducts which are located within the liver and drain bile from the smaller peripheral intrahepatic bile ducts into the right and left hepatic ducts.</t>
  </si>
  <si>
    <t>Intrahepatic Large Bile Duct</t>
  </si>
  <si>
    <t>Any lymph node within the thoracic cavity.</t>
  </si>
  <si>
    <t>Intrathoracic Lymph Node</t>
  </si>
  <si>
    <t>The tissue in the eye that separates the anterior chamber from the posterior chamber.</t>
  </si>
  <si>
    <t>Iris</t>
  </si>
  <si>
    <t>The bony prominence of the lower part of the ischium. (NCI)</t>
  </si>
  <si>
    <t>Ischial Tuberosity</t>
  </si>
  <si>
    <t>A tetrahedral region of adipose tissue located in the ischiorectal region with its base between the tuberosity of the ischium and the lower end of the rectum and its apex at the point where the obturator fascia and the Levator ani membrane divide.</t>
  </si>
  <si>
    <t>Ischiorectal Fossa</t>
  </si>
  <si>
    <t>Ischium</t>
  </si>
  <si>
    <t>The most posterior and ventral bone making up the pelvis. (NCI)</t>
  </si>
  <si>
    <t>The structures of the skull that frame the mouth.</t>
  </si>
  <si>
    <t>Jaw Bone</t>
  </si>
  <si>
    <t>The portion of the small intestine between the duodenum and ileum.</t>
  </si>
  <si>
    <t>Jejunum</t>
  </si>
  <si>
    <t>Articulation; Joint</t>
  </si>
  <si>
    <t>The connection point between two bones or skeletal elements. The joint may be fixed or movable. (NCI)</t>
  </si>
  <si>
    <t>Joint</t>
  </si>
  <si>
    <t>Vena Jugularis</t>
  </si>
  <si>
    <t>One of the veins of the neck; in general it arises from the junction of the maxillary and linguofacial veins and drains into the brachiocephalic or the cranial caval vein.</t>
  </si>
  <si>
    <t>Jugular Vein</t>
  </si>
  <si>
    <t>The portion of the kidney that is located between the upper and lower poles and contains the renal hilum.</t>
  </si>
  <si>
    <t>Kidney Interpolar Region</t>
  </si>
  <si>
    <t>The organs of the urinary tract located in the retroperitoneal cavity adjacent to the spine and composed of the renal cortex and the renal medulla.</t>
  </si>
  <si>
    <t>Kidney</t>
  </si>
  <si>
    <t>Renal Cortex</t>
  </si>
  <si>
    <t>The division of the renal parenchyma located between the renal capsule and the renal medulla, which contains glomeruli and tubules for filtering blood.</t>
  </si>
  <si>
    <t>Hilar Area of the Kidney</t>
  </si>
  <si>
    <t>The concave area of the kidney through which the renal artery enters and the renal vein and ureter exit the organ. (NCI)</t>
  </si>
  <si>
    <t>Lower Pole of the Kidney</t>
  </si>
  <si>
    <t>The lowermost portion of the kidney.</t>
  </si>
  <si>
    <t>Lower Pole of Kidney</t>
  </si>
  <si>
    <t>Renal Medulla</t>
  </si>
  <si>
    <t>The deepest division of the renal parenchyma, comprising the renal pyramids, which contain a dense network of nephrons, all of which are part of the blood filtration process.</t>
  </si>
  <si>
    <t>Upper Pole of the Kidney</t>
  </si>
  <si>
    <t>The uppermost portion of the kidney.</t>
  </si>
  <si>
    <t>Upper Pole of Kidney</t>
  </si>
  <si>
    <t>A group of muscles in the knee, the sartorius, popliteus, gastrocnemius, gracilis, semi-tendinosis, semi-membranosis, and bicep femoris muscles; primary function is to flex the knee.</t>
  </si>
  <si>
    <t>Knee Flexor Muscles</t>
  </si>
  <si>
    <t>The tendons that connect the quadriceps muscles to the kneecap, the hamstring muscles to the shin bone and fibula, and the patella to the top part of the fibula, enabling flexion, extension, and slight rotation of the knee. (NCI)</t>
  </si>
  <si>
    <t>Knee Joint Tendons</t>
  </si>
  <si>
    <t>Femorotibial Joint; Joint, Stifle; Knee; Tibiofemoral Joint</t>
  </si>
  <si>
    <t>The joint connecting the lower part of the femur with the upper part of the tibia.</t>
  </si>
  <si>
    <t>Knee Joint</t>
  </si>
  <si>
    <t>L1 Vertebra</t>
  </si>
  <si>
    <t>The first lumbar vertebra counting from the top down. (NCI)</t>
  </si>
  <si>
    <t>L2 Vertebra</t>
  </si>
  <si>
    <t>The second lumbar vertebra counting from the top down. (NCI)</t>
  </si>
  <si>
    <t>The space between the L2 and L3 vertebrae.</t>
  </si>
  <si>
    <t>L2-L3 Intervertebral Space</t>
  </si>
  <si>
    <t>L3 Vertebra</t>
  </si>
  <si>
    <t>The third lumbar vertebra counting from the top down. (NCI)</t>
  </si>
  <si>
    <t>The space between the L3 and L4 vertebrae.</t>
  </si>
  <si>
    <t>L3-L4 Intervertebral Space</t>
  </si>
  <si>
    <t>L4 Vertebra</t>
  </si>
  <si>
    <t>The fourth lumbar vertebra counting from the top down. (NCI)</t>
  </si>
  <si>
    <t>The space between the L4 and L5 vertebrae.</t>
  </si>
  <si>
    <t>L4-L5 Intervertebral Space</t>
  </si>
  <si>
    <t>L5 Vertebra</t>
  </si>
  <si>
    <t>The fifth lumbar vertebra counting from the top down. (NCI)</t>
  </si>
  <si>
    <t>The space between the L5 and S1 vertebrae.</t>
  </si>
  <si>
    <t>L5-S1 Intervertebral Space</t>
  </si>
  <si>
    <t>A congenital anomaly of the spine, where an extra or supernumerary lumbar vertebra arises from below the 5th lumbar vertebra.</t>
  </si>
  <si>
    <t>Extra Lumbar Vertebra</t>
  </si>
  <si>
    <t>Lacrimal Bone</t>
  </si>
  <si>
    <t>A small rectangular thin plate forming part of the medial orbit wall. It is located posterior to the frontal process of the maxilla and articulates with the inferior nasal concha, ethmoid, frontal, and maxillary bones. (NCI)</t>
  </si>
  <si>
    <t>The exocrine glands that produce the watery serous component of tears.</t>
  </si>
  <si>
    <t>Lacrimal Gland</t>
  </si>
  <si>
    <t>LAD SEPTAL PERFORATOR ARTERY SEGMENTS; LAD SP</t>
  </si>
  <si>
    <t>The arteries that arise from the left anterior descending (LAD) artery that supply the interventricular septum.</t>
  </si>
  <si>
    <t>Left Anterior Descending Septal Perforator Artery</t>
  </si>
  <si>
    <t>Large Bowel</t>
  </si>
  <si>
    <t>The avillous section of the intestine composed of crypts and extending from the terminal small intestine to the external orifice.</t>
  </si>
  <si>
    <t>Large Intestine</t>
  </si>
  <si>
    <t>The cartilaginous structure of the respiratory tract between the pharynx and the trachea.</t>
  </si>
  <si>
    <t>Larynx</t>
  </si>
  <si>
    <t>LAT 1ST DIAG; LATERAL FIRST DIAGONAL BRANCH ARTERY SEGMENT</t>
  </si>
  <si>
    <t>The lateral branch distal to a bifurcation of the first diagonal artery.</t>
  </si>
  <si>
    <t>Lateral First Diagonal Branch Artery</t>
  </si>
  <si>
    <t>First Obtuse Marginal Lateral Branch; LAT 1ST OM; LATERAL FIRST OBTUSE MARGINAL BRANCH ARTERY SEGMENT</t>
  </si>
  <si>
    <t>The lateral branch distal to a bifurcation of the first obtuse marginal artery.</t>
  </si>
  <si>
    <t>Lateral First Obtuse Marginal Branch Artery</t>
  </si>
  <si>
    <t>A bone prominence at the distal end of the humerus to which the radial collateral ligament of the elbow joint, the anconeus and supinator muscles, and the common extensor tendon are attached.</t>
  </si>
  <si>
    <t>Lateral Humeral Epicondyle</t>
  </si>
  <si>
    <t>LAT RAMUS; LATERAL RAMUS INTERMEDIUS ARTERY SEGMENT</t>
  </si>
  <si>
    <t>The lateral branch distal to a bifurcation of the ramus intermedius artery.</t>
  </si>
  <si>
    <t>Lateral Ramus Intermedius Artery</t>
  </si>
  <si>
    <t>LAT 2ND DIAG; LATERAL SECOND DIAGONAL BRANCH ARTERY SEGMENT</t>
  </si>
  <si>
    <t>The lateral branch distal to a bifurcation of the second diagonal artery.</t>
  </si>
  <si>
    <t>Lateral Second Diagonal Branch Artery</t>
  </si>
  <si>
    <t>LAT 2ND OM; LATERAL SECOND OBTUSE MARGINAL BRANCH ARTERY SEGMENT; Second Obtuse Marginal Lateral Branch</t>
  </si>
  <si>
    <t>The lateral branch distal to a bifurcation of the second obtuse marginal artery.</t>
  </si>
  <si>
    <t>Lateral Second Obtuse Marginal Branch Artery</t>
  </si>
  <si>
    <t>LAT 3RD DIAG; LATERAL THIRD DIAGONAL BRANCH ARTERY SEGMENT</t>
  </si>
  <si>
    <t>The lateral branch distal to a bifurcation of the third diagonal artery.</t>
  </si>
  <si>
    <t>Lateral Third Diagonal Branch Artery</t>
  </si>
  <si>
    <t>LAT 3RD OM; LATERAL THIRD OBTUSE MARGINAL BRANCH ARTERY SEGMENT; Third Obtuse Marginal Lateral Branch</t>
  </si>
  <si>
    <t>The lateral branch distal to a bifurcation of the third obtuse marginal artery.</t>
  </si>
  <si>
    <t>Lateral Third Obtuse Marginal Branch Artery</t>
  </si>
  <si>
    <t>Musculus Latissimus Dorsi</t>
  </si>
  <si>
    <t>A muscle of the back, in general extending from the thoracolumbar vertebrae and scapula to the proximal humerus; primary function is adduction, extension, and medial rotation of the shoulder joint.</t>
  </si>
  <si>
    <t>The opening of the left anterior descending coronary artery at its origin.</t>
  </si>
  <si>
    <t>Left Anterior Descending Artery Ostium</t>
  </si>
  <si>
    <t>The first posterolateral branch originating from the posterior atrioventricular left circumflex artery in left dominant and mixed circulations.</t>
  </si>
  <si>
    <t>Left Atrioventricular Artery</t>
  </si>
  <si>
    <t>The opening of the left circumflex artery at its origin.</t>
  </si>
  <si>
    <t>Left Circumflex Artery Ostium</t>
  </si>
  <si>
    <t>An artery arising from the bifurcation of the left coronary artery that runs along the coronary groove.</t>
  </si>
  <si>
    <t>Circumflex Branch of the Left Coronary Artery</t>
  </si>
  <si>
    <t>The portion of the distal end of the left main coronary artery that branches into the left anterior descending artery and the left circumflex artery.</t>
  </si>
  <si>
    <t>Left Main Coronary Artery Bifurcation</t>
  </si>
  <si>
    <t>The segment of the left main coronary artery that is bounded by its ostium and bifurcation.</t>
  </si>
  <si>
    <t>Left Main Coronary Artery Body</t>
  </si>
  <si>
    <t>The opening of the left coronary artery at its origin.</t>
  </si>
  <si>
    <t>Left Main Coronary Artery Ostium</t>
  </si>
  <si>
    <t>The second posterolateral branch originating from the posterior atrioventricular left circumflex artery in left dominant and mixed circulations.</t>
  </si>
  <si>
    <t>Left Posterior Descending Artery</t>
  </si>
  <si>
    <t>LEFT POSTEROLATERAL DESCENDING ARTERY SEGMENT; LPDA</t>
  </si>
  <si>
    <t>In an individual with a left-dominant heart, this branch arises from the circumflex artery atrioventricular groove continuation and supplies the inferior apex of the heart.</t>
  </si>
  <si>
    <t>Left Posterolateral Descending Artery</t>
  </si>
  <si>
    <t>The apical cap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</si>
  <si>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Apex Segment</t>
  </si>
  <si>
    <t>The anterior portion of the apical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</si>
  <si>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Apical Anterior Segment</t>
  </si>
  <si>
    <t>The inferior portion of the apical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</si>
  <si>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Apical Inferior Segment</t>
  </si>
  <si>
    <t>The lateral portion of the apical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</si>
  <si>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Apical Lateral Segment</t>
  </si>
  <si>
    <t>The septal portion of the apical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</si>
  <si>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Apical Septal Segment</t>
  </si>
  <si>
    <t>The anterior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</si>
  <si>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Anterior Segment</t>
  </si>
  <si>
    <t>The anterolateral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</si>
  <si>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Anterolateral Segment</t>
  </si>
  <si>
    <t>The anteroseptal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</si>
  <si>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Anteroseptal Segment</t>
  </si>
  <si>
    <t>The inferior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</si>
  <si>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Inferior Segment</t>
  </si>
  <si>
    <t>The inferolateral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</si>
  <si>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Inferolateral Segment</t>
  </si>
  <si>
    <t>The inferoseptal portion of the basal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</si>
  <si>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Basal Inferoseptal Segment</t>
  </si>
  <si>
    <t>The outermost layer of cardiac tissue lining of the left ventricle.</t>
  </si>
  <si>
    <t>Left Ventricular Epicardium</t>
  </si>
  <si>
    <t>The anterior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</si>
  <si>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Anterior Segment</t>
  </si>
  <si>
    <t>The anterolateral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</si>
  <si>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Anterolateral Segment</t>
  </si>
  <si>
    <t>The anteroseptal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</si>
  <si>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Anteroseptal Segment</t>
  </si>
  <si>
    <t>The inferior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</si>
  <si>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Inferior Segment</t>
  </si>
  <si>
    <t>The inferolateral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</si>
  <si>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Inferolateral Segment</t>
  </si>
  <si>
    <t>The inferoseptal portion of the mid-cavity division of the left ventricular myocardium as determined using the AHA 17-Segment Model (Cerqueira MD, Weissman NJ, Dilsizian V, Jacobs AK, Kaul S, Laskey WK, Pennell DJ, Rumberger JA, Ryan T, Verani MS; American Heart Association Writing Group on Myocardial Segmentation and Registration for Cardiac Imaging. Standardized myocardial segmentation and nomenclature for tomographic imaging of the heart. A statement for healthcare professionals from the Cardiac Imaging Committee of the Council on Clinical Cardiology of the American Heart Association. Circulation. 2002 Jan 29;105(4):539-42.).</t>
  </si>
  <si>
    <t>Left Ventricular Mid Inferoseptal Segment</t>
  </si>
  <si>
    <t>Leg Skin</t>
  </si>
  <si>
    <t>The integument that covers the leg.</t>
  </si>
  <si>
    <t>Leg</t>
  </si>
  <si>
    <t>The portion of the lower extremity between the knee and the ankle.</t>
  </si>
  <si>
    <t>Crystalline Lens; Ocular Lens</t>
  </si>
  <si>
    <t>The structure of the eye through which light is focused onto the retina.</t>
  </si>
  <si>
    <t>Lens</t>
  </si>
  <si>
    <t>The two innermost layers of tissue that cover the brain and spinal cord, the arachnoid mater and the pia mater. (NCI)</t>
  </si>
  <si>
    <t>Leptomeninges</t>
  </si>
  <si>
    <t>The medial border of the stomach. It is concave in shape and extends from the cardiac orifice to the pyloric orifice.</t>
  </si>
  <si>
    <t>Lesser Curvature of the Stomach</t>
  </si>
  <si>
    <t>A cone-shaped projection in the shaft of the femur in which the iliopsoas muscle is attached. (NCI)</t>
  </si>
  <si>
    <t>Lesser Trochanter</t>
  </si>
  <si>
    <t>Ligament</t>
  </si>
  <si>
    <t>Band of fibrous tissue connecting bone to bone or cartilage to bone thereby supporting or strengthening a joint. (NCI)</t>
  </si>
  <si>
    <t>Extremity</t>
  </si>
  <si>
    <t>A jointed extremity of the upper/thoracic or lower/pelvic regions.</t>
  </si>
  <si>
    <t>Limb</t>
  </si>
  <si>
    <t>Lower Extremity</t>
  </si>
  <si>
    <t>The limb that is composed of the hip, thigh, leg and foot. (NCI)</t>
  </si>
  <si>
    <t>Upper Extremity</t>
  </si>
  <si>
    <t>The region of the body that extends distal to the scapulohumeral joint.</t>
  </si>
  <si>
    <t>A small tongue-like projection from the lower portion of the upper lobe of the left lung.</t>
  </si>
  <si>
    <t>Lingula of the Lung</t>
  </si>
  <si>
    <t>Lip; Vermillion of the Lip</t>
  </si>
  <si>
    <t>Fleshy fold which surrounds the opening of the mouth. (NCI)</t>
  </si>
  <si>
    <t>Lip</t>
  </si>
  <si>
    <t>External Lower Lip</t>
  </si>
  <si>
    <t>The external surface of the lower lip. (NCI)</t>
  </si>
  <si>
    <t>External Upper Lip</t>
  </si>
  <si>
    <t>The external surface of the upper lip. (NCI)</t>
  </si>
  <si>
    <t>Liver Fissure</t>
  </si>
  <si>
    <t>A groove on the surface of the liver.</t>
  </si>
  <si>
    <t>Any of the large divisions of the liver.</t>
  </si>
  <si>
    <t>Liver Lobe</t>
  </si>
  <si>
    <t>An abdominal organ that has variable lobation which are composed mainly of hepatic lobules.</t>
  </si>
  <si>
    <t>Liver</t>
  </si>
  <si>
    <t>Couinaud Segment I</t>
  </si>
  <si>
    <t>The lobe of the liver situated posteriorly located between the left lobe and the inferior vena cava.</t>
  </si>
  <si>
    <t>Caudate Lobe</t>
  </si>
  <si>
    <t>Couinaud Segment III</t>
  </si>
  <si>
    <t>The lateral segment of the left lobe of the liver, located to the left of the inferior portion of the falciform ligament, anteriorly overlapping the stomach. (NCI)</t>
  </si>
  <si>
    <t>Left Anterolateral Segment</t>
  </si>
  <si>
    <t>Couinaud Segment IVb</t>
  </si>
  <si>
    <t>The medial segment of the left lobe of the liver, located inferiorly. (NCI)</t>
  </si>
  <si>
    <t>Left Inferomedial Segment</t>
  </si>
  <si>
    <t>Couinaud Segment II</t>
  </si>
  <si>
    <t>The lateral segment of the left lobe of the liver, located to the left of the superior portion of the falciform ligament and the fissure for the ligamentum venosum. (NCI)</t>
  </si>
  <si>
    <t>Left Posterolateral Segment</t>
  </si>
  <si>
    <t>Couinaud segment IVa</t>
  </si>
  <si>
    <t>The medial segment of the left lobe of the liver, located superiorly. (NCI)</t>
  </si>
  <si>
    <t>Left Superomedial Segment</t>
  </si>
  <si>
    <t>The smaller lobe of the liver extending into the left side of the body.</t>
  </si>
  <si>
    <t>Left Lobe of the Liver</t>
  </si>
  <si>
    <t>An oblong shaped area of the liver that is situated inferior to the right lobe, bounded by the anterior margin of the liver and the porta hepatis.</t>
  </si>
  <si>
    <t>Quadrate Lobe of Liver</t>
  </si>
  <si>
    <t>Couinaud Segment V</t>
  </si>
  <si>
    <t>The anterior segment of the right lobe of the liver, located inferiorly. (NCI)</t>
  </si>
  <si>
    <t>Right Anteroinferior Segment</t>
  </si>
  <si>
    <t>Couinaud Segment VIII</t>
  </si>
  <si>
    <t>The anterior segment of the right lobe of the liver, located superiorly. (NCI)</t>
  </si>
  <si>
    <t>Right Anterosuperior Segment</t>
  </si>
  <si>
    <t>Couinaud Segment VI</t>
  </si>
  <si>
    <t>The posterior segment of the right lobe of the liver, located inferiorly. (NCI)</t>
  </si>
  <si>
    <t>Right Posteroinferior Segment</t>
  </si>
  <si>
    <t>Couinaud Segment VII</t>
  </si>
  <si>
    <t>The posterior segment of the right lobe of the liver, located superiorly. (NCI)</t>
  </si>
  <si>
    <t>Right Posterosuperior Segment</t>
  </si>
  <si>
    <t>The larger lobe of the liver extending into the right side of the body.</t>
  </si>
  <si>
    <t>Right Lobe of the Liver</t>
  </si>
  <si>
    <t>A brainstem nucleus. It is the major brain site for the synthesis and secretion of norepinephrine. (NCI)</t>
  </si>
  <si>
    <t>Locus Coeruleus</t>
  </si>
  <si>
    <t>A lymph node located in the lower gastrointestinal tract.</t>
  </si>
  <si>
    <t>Lower Gastrointestinal Tract Lymph Node</t>
  </si>
  <si>
    <t>Any lymph nodes located within close proximity to the lower third of the internal jugular vein, extending from the inferior border of the cricoid cartilage (superiorly) to the clavicle (inferiorly). The anterior (medial) boundary is the lateral border of the sternohyoid muscle and the posterior (lateral) boundary is the posterior border of the sternocleidomastoid muscle. (AJCC 8th ed.)</t>
  </si>
  <si>
    <t>Lower Jugular Lymph Node Group (Level IV)</t>
  </si>
  <si>
    <t>The part of the respiratory system below the bifurcation of the trachea. It includes the lungs and the parts of the lungs such as the bronchi, bronchioles and alveoli.</t>
  </si>
  <si>
    <t>Lower Respiratory System</t>
  </si>
  <si>
    <t>The area of the body below the ribs and above the hipbones. (NCI)</t>
  </si>
  <si>
    <t>Lumbar Region</t>
  </si>
  <si>
    <t>The vertebrae located below the thoracic and above the sacral vertebrae.</t>
  </si>
  <si>
    <t>Lumbar Spine</t>
  </si>
  <si>
    <t>Lumbar Vertebra</t>
  </si>
  <si>
    <t>Any of the vertebrae situated between the thoracic vertebrae and the sacrum in the lower part of the spine.</t>
  </si>
  <si>
    <t>Lumbosacral Region</t>
  </si>
  <si>
    <t>The part of the spine in the lower back that consists of the lumbar region and the sacrum.</t>
  </si>
  <si>
    <t>A group of muscles in the sole of the foot that extend from the tendons of the flexor digitorum longus muscle to the medial bases of the proximal phalanges and the extensor expansion of the second through fifth digits; primary function is to flex and adduct the lateral four toes at the metatarsophalangeal joints and extend them at the interphalangeal joints.</t>
  </si>
  <si>
    <t>Lumbrical Muscles of the Foot</t>
  </si>
  <si>
    <t>One of a group of four short muscles in the hand that extend from the radial and ulnar sides of the tendons of the flexor digitorum profundus to the radial lateral band of the extensor expansion tendon; primary function is extension of the proximal and distal interphalangeal joints.</t>
  </si>
  <si>
    <t>Lumbrical Muscle</t>
  </si>
  <si>
    <t>Lunate Bone</t>
  </si>
  <si>
    <t>The bone in the proximal row of carpal bones that lies between the scaphoid and triquetral bones. (NCI)</t>
  </si>
  <si>
    <t>Any of the large divisions of the lung.</t>
  </si>
  <si>
    <t>Lung Lobe</t>
  </si>
  <si>
    <t>A thoracic organ that has variable lobation and is the primary respiratory organ of mammals.</t>
  </si>
  <si>
    <t>Lung</t>
  </si>
  <si>
    <t>Hilar Area of the Lung</t>
  </si>
  <si>
    <t>The wedge-shaped area at the central portion of the lung through which the bronchi, vessels and nerves enter or exit the organ. (NCI)</t>
  </si>
  <si>
    <t>Lower Lobe of the Left Lung</t>
  </si>
  <si>
    <t>The larger lobe of the left lung, situated below and behind the oblique fissure. (NCI)</t>
  </si>
  <si>
    <t>Upper Lobe of the Left Lung</t>
  </si>
  <si>
    <t>The smaller lobe of the left lung, situated above and in front the oblique fissure, which includes the apex. (NCI)</t>
  </si>
  <si>
    <t>Left Lung</t>
  </si>
  <si>
    <t>The 2-lobed lung located on the left side of the body. (NCI)</t>
  </si>
  <si>
    <t>The anterior basal segment of the inferior lobe of the left lung.</t>
  </si>
  <si>
    <t>Left Lung, Inferior Lobe, Anterior Basal Segment</t>
  </si>
  <si>
    <t>The lateral basal segment of the inferior lobe of the left lung.</t>
  </si>
  <si>
    <t>Left Lung, Inferior Lobe, Lateral Basal Segment</t>
  </si>
  <si>
    <t>The medial basal segment of the inferior lobe of the left lung.</t>
  </si>
  <si>
    <t>Left Lung, Inferior Lobe, Medial Basal Segment</t>
  </si>
  <si>
    <t>The posterior basal segment of the inferior lobe of the left lung.</t>
  </si>
  <si>
    <t>Left Lung, Inferior Lobe, Posterior Basal Segment</t>
  </si>
  <si>
    <t>The superior segment of the inferior lobe of the left lung.</t>
  </si>
  <si>
    <t>Left Lung, Inferior Lobe, Superior Segment</t>
  </si>
  <si>
    <t>The anterior segment of the superior lobe of the left lung.</t>
  </si>
  <si>
    <t>Left Lung, Superior Lobe, Anterior Segment</t>
  </si>
  <si>
    <t>The apicoposterior segment of the superior lobe of the left lung.</t>
  </si>
  <si>
    <t>Left Lung, Superior Lobe, Apicoposterior Segment</t>
  </si>
  <si>
    <t>The inferior lingular segment of the superior lobe of the left lung.</t>
  </si>
  <si>
    <t>Left Lung, Superior Lobe, Inferior Lingular Segment</t>
  </si>
  <si>
    <t>The superior lingular segment of the superior lobe of the left lung.</t>
  </si>
  <si>
    <t>Left Lung, Superior Lobe, Superior Lingular Segment</t>
  </si>
  <si>
    <t>Lower Lobe of the Right Lung</t>
  </si>
  <si>
    <t>The lobe of the right lung situated below the oblique fissure. (NCI)</t>
  </si>
  <si>
    <t>Middle Lobe of the Right Lung</t>
  </si>
  <si>
    <t>The smallest lobe of the right lung, situated above the oblique fissure and below the horizontal fissure. (NCI)</t>
  </si>
  <si>
    <t>Upper Lobe of the Right Lung</t>
  </si>
  <si>
    <t>The lobe of the right lung, situated above the horizontal fissure, which includes the apex. (NCI)</t>
  </si>
  <si>
    <t>Right Lung</t>
  </si>
  <si>
    <t>The 3-lobed lung located on the right side of the body. (NCI)</t>
  </si>
  <si>
    <t>The anterior basal segment of the inferior lobe of the right lung.</t>
  </si>
  <si>
    <t>Right Lung, Inferior Lobe, Anterior Basal Segment</t>
  </si>
  <si>
    <t>The lateral basal segment of the inferior lobe of the right lung.</t>
  </si>
  <si>
    <t>Right Lung, Inferior Lobe, Lateral Basal Segment</t>
  </si>
  <si>
    <t>The medial basal segment of the inferior lobe of the right lung.</t>
  </si>
  <si>
    <t>Right Lung, Inferior Lobe, Medial Basal Segment</t>
  </si>
  <si>
    <t>The posterior basal segment of the inferior lobe of the right lung.</t>
  </si>
  <si>
    <t>Right Lung, Inferior Lobe, Posterior Basal Segment</t>
  </si>
  <si>
    <t>The superior segment of the inferior lobe of the right lung.</t>
  </si>
  <si>
    <t>Right Lung, Inferior Lobe, Superior Segment</t>
  </si>
  <si>
    <t>The lateral segment of the middle lobe of the right lung.</t>
  </si>
  <si>
    <t>Right Lung, Middle Lobe, Lateral Segment</t>
  </si>
  <si>
    <t>The medial segment of the middle lobe of the right lung.</t>
  </si>
  <si>
    <t>Right Lung, Middle Lobe, Medial Segment</t>
  </si>
  <si>
    <t>The anterior segment of the superior lobe of the right lung.</t>
  </si>
  <si>
    <t>Right Lung, Superior Lobe, Anterior Segment</t>
  </si>
  <si>
    <t>The apical segment of the superior lobe of the right lung.</t>
  </si>
  <si>
    <t>Right Lung, Superior Lobe, Apical Segment</t>
  </si>
  <si>
    <t>The posterior segment of the superior lobe of the right lung.</t>
  </si>
  <si>
    <t>Right Lung, Superior Lobe, Posterior Segment</t>
  </si>
  <si>
    <t>Lymph Node Hilum</t>
  </si>
  <si>
    <t>The concave side of the lymph node. (NCI)</t>
  </si>
  <si>
    <t>Lymphatic Gland</t>
  </si>
  <si>
    <t>Secondary lymphoid organ associated with lymphatic vessels and consisting of an outer cortex, inner medulla and sinuses.</t>
  </si>
  <si>
    <t>Lymph Node</t>
  </si>
  <si>
    <t>An oval-shaped, yellow pigmented area located on the center of the retina, which contains a high density of cones for high-acuity vision.</t>
  </si>
  <si>
    <t>Macula</t>
  </si>
  <si>
    <t>Left Main Bronchus</t>
  </si>
  <si>
    <t>One of the two main bronchi. It is narrower but longer than the right main bronchus and connects to the left lung. (NCI)</t>
  </si>
  <si>
    <t>Right Main Bronchus</t>
  </si>
  <si>
    <t>One of the two main bronchi. It is wider but shorter than the left main bronchus and connects to the right lung. (NCI)</t>
  </si>
  <si>
    <t>Male Genitalia</t>
  </si>
  <si>
    <t>Male internal and external organs of reproduction.</t>
  </si>
  <si>
    <t>The sex organs of the male.</t>
  </si>
  <si>
    <t>Male Reproductive System</t>
  </si>
  <si>
    <t>Malleus</t>
  </si>
  <si>
    <t>A hammer-shaped bone, part of three interconnected small bones located in the middle ear. It is attached to the inner surface of the tympanic membrane and its function is to transmit sound vibrations. (NCI)</t>
  </si>
  <si>
    <t>The exocrine glands of the mammae that produce milk in females, and are composed of lobules, alveolar ducts and alveoli.</t>
  </si>
  <si>
    <t>Mammary Gland</t>
  </si>
  <si>
    <t>Bone, Mandibular; Inferior Maxillary Bone; Lower Jaw; Mandible</t>
  </si>
  <si>
    <t>The lower jaw bone holding the lower teeth. (NCI)</t>
  </si>
  <si>
    <t>Mandible</t>
  </si>
  <si>
    <t>A muscle extending from the zygomatic arch to the lateral surface of mandibular ramus; primary function is elevation of the mandible (closing of the mouth).</t>
  </si>
  <si>
    <t>Masseter Muscle</t>
  </si>
  <si>
    <t>Mastoid Process</t>
  </si>
  <si>
    <t>A honeycombed section of bone located near the base of the skull, protruding behind the outer ear. It is connected to the middle ear. (NCI)</t>
  </si>
  <si>
    <t>The upper jaw bone holding the upper teeth.</t>
  </si>
  <si>
    <t>Maxilla</t>
  </si>
  <si>
    <t>Maxillary Sinus</t>
  </si>
  <si>
    <t>A pyramidal-shaped, thin-walled, air-filled cavity located in the maxilla. It is lined by mucus membrane and periosteum (mucoperiosteum) which contains cilia. It is adjacent to the nasal cavity and communicates with the middle meatus of the nose. It is the largest paranasal sinus and is composed of three recesses: alveolar, zygomatic, and infraorbital. (NCI)</t>
  </si>
  <si>
    <t>A rounded, bony projection on the inner side of the distal end of the femur to which the medial collateral and the posterior cruciate ligaments are attached.</t>
  </si>
  <si>
    <t>Medial Femoral Condyle</t>
  </si>
  <si>
    <t>Median Cubital Vein</t>
  </si>
  <si>
    <t>A vein between the biceps and pronator radii teres muscles that unites with the common ulnar vein to form the basilic vein within the forearm.</t>
  </si>
  <si>
    <t>Median Basilic Vein</t>
  </si>
  <si>
    <t>A nerve extending from the brachial plexus traveling the length of the arm/thoracic limb, which innervates some flexor muscles of the arm/forelimb and the skin on the palmar aspect of the carpus, metacarpus and digits.</t>
  </si>
  <si>
    <t>Median Nerve</t>
  </si>
  <si>
    <t>A lymph node located in the median or lower region of the neck. (NCI)</t>
  </si>
  <si>
    <t>Median Or Lower Cervical Lymph Node</t>
  </si>
  <si>
    <t>Lymph node(s) in the mediastinal region.</t>
  </si>
  <si>
    <t>Mediastinal Lymph Node</t>
  </si>
  <si>
    <t>The soft tissue of the mediastinum.</t>
  </si>
  <si>
    <t>Mediastinal Soft Tissue</t>
  </si>
  <si>
    <t>The central region of the thoracic cavity of mammals containing a group of organs surrounded by loose connective tissue, which separates the two pleural sacs.</t>
  </si>
  <si>
    <t>Mediastinum</t>
  </si>
  <si>
    <t>Anterior Mediastinum</t>
  </si>
  <si>
    <t>The area between the lungs; it contains the thymus, some lymph nodes, and vessels and branches of the internal thoracic artery. (NCI)</t>
  </si>
  <si>
    <t>Middle Mediastinum</t>
  </si>
  <si>
    <t>The broadest part of the lower portion of the mediastinum. It contains the heart and the great vessels. (NCI)</t>
  </si>
  <si>
    <t>Posterior Mediastinum</t>
  </si>
  <si>
    <t>The part of the lower portion of the mediastinum that is located behind the pericardium. (NCI)</t>
  </si>
  <si>
    <t>Superior Mediastinum</t>
  </si>
  <si>
    <t>The part of the mediastinum that is located between the upper part of the sternum in the front and the upper thoracic vertebrae in the back. (NCI)</t>
  </si>
  <si>
    <t>The portion of the brainstem between the pons and cervical spinal cord.</t>
  </si>
  <si>
    <t>Medulla Oblongata</t>
  </si>
  <si>
    <t>Any one of three membranes that surround the brain and spinal cord. (NCI)</t>
  </si>
  <si>
    <t>Meninges</t>
  </si>
  <si>
    <t>A muscle of the jaw, in general extending from the incisive fossa of the mandible to the skin of the lower lip; primary function is to elevate and protrude the lower lip and elevate the skin of the chin.</t>
  </si>
  <si>
    <t>Mentalis Muscle</t>
  </si>
  <si>
    <t>One of the arteries of the abdomen; in general it arises from the abdominal aorta and supplies blood mainly to the intestines.</t>
  </si>
  <si>
    <t>Mesenteric Artery</t>
  </si>
  <si>
    <t>Lymph node(s) in or adjacent to the mesentery.</t>
  </si>
  <si>
    <t>Mesenteric Lymph Node</t>
  </si>
  <si>
    <t>A vein of the abdomen; in general it arises from the intestines and pancreas, combines with the splenic vein, and drains into the portal vein.</t>
  </si>
  <si>
    <t>Mesenteric Vein</t>
  </si>
  <si>
    <t>A double layer of peritoneum that attaches to the wall of the abdominal cavity and supports the small intestines.</t>
  </si>
  <si>
    <t>Mesentery</t>
  </si>
  <si>
    <t>A simple layer of cells, derived from the mesoderm, that covers the serous membranes including the peritoneum, pericardium, and pleura.</t>
  </si>
  <si>
    <t>Mesothelium</t>
  </si>
  <si>
    <t>The proximal end of the first metacarpal bone.</t>
  </si>
  <si>
    <t>Metacarpal 1 Base</t>
  </si>
  <si>
    <t>The first of the five long bones located in the palm of the hand, as counted from the thenar side of the hand; it articulates proximally with the trapezium and distally with the thenar phalanx (thumb).</t>
  </si>
  <si>
    <t>Metacarpal Bone Digit 1</t>
  </si>
  <si>
    <t>The second of the five long bones located in the palm of the hand, as counted from the thenar side of the hand; it articulates proximally with the trapezoid and distally with the second phalanx (index finger).</t>
  </si>
  <si>
    <t>Metacarpal Bone Digit 2</t>
  </si>
  <si>
    <t>The third of the five long bones located in the palm of the hand, as counted from the thenar side of the hand; it articulates proximally with the capitate and the second and fourth metacarpals, and distally with the third phalanx (middle finger).</t>
  </si>
  <si>
    <t>Metacarpal Bone Digit 3</t>
  </si>
  <si>
    <t>The fourth of the five long bones located in the palm of the hand, as counted from the thenar side of the hand; it articulates proximally with the capitate, hamate, and third and fifth metacarpal bones, and distally with the fourth phalanx (ring finger).</t>
  </si>
  <si>
    <t>Metacarpal Bone Digit 4</t>
  </si>
  <si>
    <t>The fifth of the five long bones located in the palm of the hand, as counted from the thenar side of the hand; it articulates proximally with the hamate and fourth metacarpal, and distally with the fifth phalanx (small finger).</t>
  </si>
  <si>
    <t>Metacarpal Bone Digit 5</t>
  </si>
  <si>
    <t>Any of the bones between the carpus and the phalanges.</t>
  </si>
  <si>
    <t>Metacarpal Bone</t>
  </si>
  <si>
    <t>MCP1</t>
  </si>
  <si>
    <t>A condyloid synovial joint within the first digit of the hand articulating the metacarpal to the proximal phalanx.</t>
  </si>
  <si>
    <t>Metacarpophalangeal Joint 1</t>
  </si>
  <si>
    <t>MCP2</t>
  </si>
  <si>
    <t>A condyloid synovial joint within the second digit of the hand articulating the metacarpal to the proximal phalanx.</t>
  </si>
  <si>
    <t>Metacarpophalangeal Joint 2</t>
  </si>
  <si>
    <t>MCP3</t>
  </si>
  <si>
    <t>A condyloid synovial joint within the third digit of the hand articulating the metacarpal to the proximal phalanx.</t>
  </si>
  <si>
    <t>Metacarpophalangeal Joint 3</t>
  </si>
  <si>
    <t>MCP4</t>
  </si>
  <si>
    <t>A condyloid synovial joint within the fourth digit of the hand articulating the metacarpal to the proximal phalanx.</t>
  </si>
  <si>
    <t>Metacarpophalangeal Joint 4</t>
  </si>
  <si>
    <t>MCP5</t>
  </si>
  <si>
    <t>A condyloid synovial joint within the fifth digit of the hand articulating the metacarpal to the proximal phalanx.</t>
  </si>
  <si>
    <t>Metacarpophalangeal Joint 5</t>
  </si>
  <si>
    <t>Metatarsal Bone</t>
  </si>
  <si>
    <t>Any of the bones between the tarsus and the phalanges.</t>
  </si>
  <si>
    <t>MTP1</t>
  </si>
  <si>
    <t>A condyloid synovial joint within the first digit of the foot articulating metatarsal with the proximal phalanx.</t>
  </si>
  <si>
    <t>Metatarsophalangeal Joint 1</t>
  </si>
  <si>
    <t>MTP2</t>
  </si>
  <si>
    <t>A condyloid synovial joint within the second digit of the foot articulating metatarsal with the proximal phalanx.</t>
  </si>
  <si>
    <t>Metatarsophalangeal Joint 2</t>
  </si>
  <si>
    <t>MTP3</t>
  </si>
  <si>
    <t>A condyloid synovial joint within the third digit of the foot articulating metatarsal with the proximal phalanx.</t>
  </si>
  <si>
    <t>Metatarsophalangeal Joint 3</t>
  </si>
  <si>
    <t>MTP4</t>
  </si>
  <si>
    <t>A condyloid synovial joint within the fourth digit of the foot articulating metatarsal with the proximal phalanx.</t>
  </si>
  <si>
    <t>Metatarsophalangeal Joint 4</t>
  </si>
  <si>
    <t>MTP5</t>
  </si>
  <si>
    <t>A condyloid synovial joint within the fifth digit of the foot articulating metatarsal with the proximal phalanx.</t>
  </si>
  <si>
    <t>Metatarsophalangeal Joint 5</t>
  </si>
  <si>
    <t>Metatarsophalangeal Joint</t>
  </si>
  <si>
    <t>A spheroid joint located between the heads of the metatarsal bone and the base of the proximal phalanx of the toe. (NCI)</t>
  </si>
  <si>
    <t>MCIRC; MID-CIRCUMFLEX ARTERY SEGMENT</t>
  </si>
  <si>
    <t>The segment of the left circumflex artery between the first and second marginal branches.</t>
  </si>
  <si>
    <t>Mid-Circumflex Artery</t>
  </si>
  <si>
    <t>Any lymph nodes located within close proximity to the middle third of the internal jugular vein, extending from the inferior border of the hyoid bone (superiorly) to the inferior border of the cricoid cartilage (inferiorly). The anterior (medial) boundary is the lateral border of the sternohyoid muscle, and the posterior (lateral) boundary is the posterior border of the sternocleidomastoid muscle. (AJCC 8th ed.)</t>
  </si>
  <si>
    <t>Middle Jugular Lymph Node Group (Level III)</t>
  </si>
  <si>
    <t>MID-LAD ARTERY SEGMENT; MLAD</t>
  </si>
  <si>
    <t>The segment of the left anterior descending (LAD) artery between the first and third diagonal branches.</t>
  </si>
  <si>
    <t>Mid-Left Anterior Descending Artery</t>
  </si>
  <si>
    <t>Mid-right Coronary Artery; MID-RIGHT CORONARY ARTERY CONDUIT SEGMENT; MRCA</t>
  </si>
  <si>
    <t>The section of the right coronary artery between the right ventricular artery and the acute marginal artery.</t>
  </si>
  <si>
    <t>Mid-Right Coronary Artery Conduit</t>
  </si>
  <si>
    <t>All of the arterial branches distal to the proximal left anterior descending coronary artery.</t>
  </si>
  <si>
    <t>Mid-Distal Left Anterior Descending Coronary Artery and All Diagonal Coronary Branches</t>
  </si>
  <si>
    <t>Mesencephalon</t>
  </si>
  <si>
    <t>The portion of the brainstem between the pons and diencephalon.</t>
  </si>
  <si>
    <t>The part of the ear including the eardrum and ossicles.</t>
  </si>
  <si>
    <t>Middle Ear</t>
  </si>
  <si>
    <t>A ridge on the lateral surface of the frontal lobe, which lies between the superior and inferior frontal sulci, and rostral to the precentral gyrus.</t>
  </si>
  <si>
    <t>Middle Frontal Gyrus</t>
  </si>
  <si>
    <t>The long bone in the second finger, as counted from the thenar side of the hand; it is located between, and articulates with, the proximal and distal phalanges.</t>
  </si>
  <si>
    <t>Hand Digit 2 Middle Phalanx</t>
  </si>
  <si>
    <t>The long bone in the third finger, as counted from the thenar side of the hand; it is located between, and articulates with, the proximal and distal phalanges.</t>
  </si>
  <si>
    <t>Hand Digit 3 Middle Phalanx</t>
  </si>
  <si>
    <t>The long bone in the fourth finger, as counted from the thenar side of the hand; it is located between, and articulates with, the proximal and distal phalanges.</t>
  </si>
  <si>
    <t>Hand Digit 4 Middle Phalanx</t>
  </si>
  <si>
    <t>The long bone in the fifth finger, as counted from the thenar side of the hand; it is located between, and articulates with, the proximal and distal phalanges.</t>
  </si>
  <si>
    <t>Hand Digit 5 Middle Phalanx</t>
  </si>
  <si>
    <t>A ridge on the outer surface of the temporal lobe between the superior and middle temporal sulci. (NCI)</t>
  </si>
  <si>
    <t>Middle Temporal Gyrus</t>
  </si>
  <si>
    <t>A fibrous membrane that attaches to, and provides support for, the mitral valve leaflets.</t>
  </si>
  <si>
    <t>Mitral Valve Annulus</t>
  </si>
  <si>
    <t>Left Atrioventricular Valve; Mitral Valve</t>
  </si>
  <si>
    <t>A cardiac valve located between the left atrium and ventricle.</t>
  </si>
  <si>
    <t>Mitral Valve</t>
  </si>
  <si>
    <t>Mitral Valve, Anteroseptal Annulus</t>
  </si>
  <si>
    <t>The portion of the mitral valve annulus that attaches to the anterior mitral valve leaflet.</t>
  </si>
  <si>
    <t>Anterior Annulus of the Mitral Valve</t>
  </si>
  <si>
    <t>The cusp of the mitral valve that is anchored to the aortic-mitral curtain.</t>
  </si>
  <si>
    <t>Anterior Cusp of the Mitral Valve</t>
  </si>
  <si>
    <t>Mitral Valve, Posterolateral Annulus</t>
  </si>
  <si>
    <t>The portion of the mitral valve annulus that attaches to the posterior mitral valve leaflet.</t>
  </si>
  <si>
    <t>Posterior Annulus of the Mitral Valve</t>
  </si>
  <si>
    <t>The cusp of the mitral valve that is located posterior to the two commissures, and which has no attachment to the aortic root.</t>
  </si>
  <si>
    <t>Posterior Cusp of the Mitral Valve</t>
  </si>
  <si>
    <t>A brain region that is located in the dorsal part of the precentral gyrus. (NCI)</t>
  </si>
  <si>
    <t>Primary Motor Cortex</t>
  </si>
  <si>
    <t>The lining of the fleshy folds surrounding the mouth. It is comprised of the epithelium, basement membrane, lamina propria mucosae, and lamina muscularis mucosae. (NCI)</t>
  </si>
  <si>
    <t>Mucosa of the Lip</t>
  </si>
  <si>
    <t>Mucosa; Mucous Membrane</t>
  </si>
  <si>
    <t>The moist, inner lining of some organs and body cavities (such as the nose, mouth, lungs, and stomach). Glands in the mucosa make mucus (a thick, slippery fluid).</t>
  </si>
  <si>
    <t>Mucosa</t>
  </si>
  <si>
    <t>A fibrous soft tissue with the ability to contract to produce force and motion.</t>
  </si>
  <si>
    <t>Muscle</t>
  </si>
  <si>
    <t>The system of muscles, tendons, ligaments, bones, joints and associated tissues.</t>
  </si>
  <si>
    <t>Musculoskeletal System</t>
  </si>
  <si>
    <t>Myometrium</t>
  </si>
  <si>
    <t>The smooth muscle lining the uterus. (NCI)</t>
  </si>
  <si>
    <t>The integument under the nail plate.</t>
  </si>
  <si>
    <t>Nail Bed</t>
  </si>
  <si>
    <t>Nail</t>
  </si>
  <si>
    <t>The cutaneous plate on the dorsal surface of the distal end of a finger or toe. (NCI)</t>
  </si>
  <si>
    <t>Nasal Bone</t>
  </si>
  <si>
    <t>A bone of the skull forming the middle and upper part of the face.</t>
  </si>
  <si>
    <t>The upper respiratory tract extending from the nares to the pharynx.</t>
  </si>
  <si>
    <t>Nasal Cavity</t>
  </si>
  <si>
    <t>Nasal Septum</t>
  </si>
  <si>
    <t>The thin wall between the two nasal cavities. (NCI)</t>
  </si>
  <si>
    <t>The soft tissue of the nose.</t>
  </si>
  <si>
    <t>Nasal Soft Tissue</t>
  </si>
  <si>
    <t>The part of the pharynx above the soft palate, which is continuous with the nasal cavity and extends to the oropharynx.</t>
  </si>
  <si>
    <t>Nasopharynx</t>
  </si>
  <si>
    <t>Navicular Bone</t>
  </si>
  <si>
    <t>An oval-shaped bone of the tarsus found on the medial side of the foot. (NCI)</t>
  </si>
  <si>
    <t>Neck</t>
  </si>
  <si>
    <t>The region that connects the head to the rest of the body. (NCI)</t>
  </si>
  <si>
    <t>A bundle of neuronal fibers that transmits electrochemical impulses encoding sensory and motor information from one body part to another.</t>
  </si>
  <si>
    <t>Nerve</t>
  </si>
  <si>
    <t>The protuberance in the skin where the ducts of the mammary gland open.</t>
  </si>
  <si>
    <t>Nipple</t>
  </si>
  <si>
    <t>Nose</t>
  </si>
  <si>
    <t>A structure of special sense serving as an organ of the sense of smell and as an entrance to the respiratory tract. (NCI)</t>
  </si>
  <si>
    <t>Naris; Nostril</t>
  </si>
  <si>
    <t>One of the two channels of the nose, from the point where they divide to the external opening. (NCI)</t>
  </si>
  <si>
    <t>Nostril</t>
  </si>
  <si>
    <t>Any lymph node located in the posterior of the neck, including the postauricular, superficial occipital, middle posterior cervical chain, and lower posterior cervical chain.</t>
  </si>
  <si>
    <t>Nuchal Lymph Node</t>
  </si>
  <si>
    <t>A nucleus comprising neurons in the forebrain, ventral to the dorsal caudate and putamen.</t>
  </si>
  <si>
    <t>Accumbens Nucleus</t>
  </si>
  <si>
    <t>BASAL NUCLEUS/DIAGONAL BAND</t>
  </si>
  <si>
    <t>A brain structure that is part of the septal nuclear complex. It is connected with the hippocampus, hypothalamus and amygdala.</t>
  </si>
  <si>
    <t>Nucleus of Diagonal Band</t>
  </si>
  <si>
    <t>A muscle of the pelvis that originates on the obturator foramen and obturatory membrane and inserts on the trochanteric fossa of the femur.</t>
  </si>
  <si>
    <t>Obturator Externus Muscle</t>
  </si>
  <si>
    <t>A muscle of the pelvis that originates on the ischiopubic ramus and obturator membrane and inserts on the greater trochanter.</t>
  </si>
  <si>
    <t>Obturator Internus Muscle</t>
  </si>
  <si>
    <t>A pelvic lymph node located along the obturator artery.</t>
  </si>
  <si>
    <t>Obturator Lymph Node</t>
  </si>
  <si>
    <t>One of two muscles located in the pelvis: the obturator externus muscle or the obturator internus muscle. (NCI)</t>
  </si>
  <si>
    <t>Obturator Muscle</t>
  </si>
  <si>
    <t>The trapezoidal-shaped bone on the posterior portion of the skull that forms part of the base of the skull.</t>
  </si>
  <si>
    <t>Occipital Bone</t>
  </si>
  <si>
    <t>One of the four regions of cortex in each cerebral hemisphere, located posterior to the temporal lobe and inferior to the parietal lobe.</t>
  </si>
  <si>
    <t>Occipital Lobe</t>
  </si>
  <si>
    <t>A lymph node located in the back of the head adjacent to the trapezius muscle.</t>
  </si>
  <si>
    <t>Occipital Lymph Node</t>
  </si>
  <si>
    <t>The occipital region of the skin that covers the top of the head. (NCI)</t>
  </si>
  <si>
    <t>Occipital Scalp</t>
  </si>
  <si>
    <t>The third cranial nerve.</t>
  </si>
  <si>
    <t>Oculomotor Nerve</t>
  </si>
  <si>
    <t>Olecranon</t>
  </si>
  <si>
    <t>A prominence at the proximal end of the ulna. It forms the tip of the elbow. (NCI)</t>
  </si>
  <si>
    <t>The portion of the vertebrate forebrain that lies behind the ethmoid bones; it begins the rhinencephalon.</t>
  </si>
  <si>
    <t>Olfactory Bulb</t>
  </si>
  <si>
    <t>The part of the nasal mucosa composed of neuroepithelial tissue and mucus-producing Bowman's glands.</t>
  </si>
  <si>
    <t>Olfactory Mucosa</t>
  </si>
  <si>
    <t>The first cranial nerve.</t>
  </si>
  <si>
    <t>Olfactory Nerve</t>
  </si>
  <si>
    <t>A double layer of peritoneum covering abdominal organs.</t>
  </si>
  <si>
    <t>Omentum</t>
  </si>
  <si>
    <t>An artery arising from the internal carotid artery that branches into two groups of vessels; the orbital group that supplies the orbit and surrounding parts and the ocular group that supplies the globe and muscles of the eye.</t>
  </si>
  <si>
    <t>Ophthalmic Artery</t>
  </si>
  <si>
    <t>A muscle of the arm, in general extending from the distal border of the flexor retinaculum and the tubercles of the scaphoid and trapezium, to the lateral aspect of the first metacarpal; primary function is rotation and flexion of the thumb.</t>
  </si>
  <si>
    <t>Opponens Pollicis Muscle</t>
  </si>
  <si>
    <t>An anatomic structure formed by the crossing of the two optic nerves under the hypothalamus. (NCI)</t>
  </si>
  <si>
    <t>Optic Chiasm</t>
  </si>
  <si>
    <t>Optic Nerve Head</t>
  </si>
  <si>
    <t>The portion of the retina at which the axons of the ganglion cells exit the eyeball to form the optic nerve.</t>
  </si>
  <si>
    <t>Optic Disc</t>
  </si>
  <si>
    <t>Second Cranial Nerve</t>
  </si>
  <si>
    <t>A cranial nerve extending between the retina and optic chiasma, which innervates the eye.</t>
  </si>
  <si>
    <t>Optic Nerve</t>
  </si>
  <si>
    <t>Buccal cavity; Mouth</t>
  </si>
  <si>
    <t>The cavity of the mouth.</t>
  </si>
  <si>
    <t>Oral Cavity</t>
  </si>
  <si>
    <t>The mucosal membranes that line the oral cavity.</t>
  </si>
  <si>
    <t>Oral Mucosa</t>
  </si>
  <si>
    <t>A ring-like band of skeletal muscle on the palpebrae, temple, cheeks, and surrounding the orbit, which originates on the frontal bone, medial palpebral ligament, and lacrimal bone, and which inserts into the lateral palpebral raphe.</t>
  </si>
  <si>
    <t>Orbicularis Oculi Muscle</t>
  </si>
  <si>
    <t>Eye Socket; Ocular Orbit; Orbit</t>
  </si>
  <si>
    <t>The bony cavity that contains the eye and its associated structures.</t>
  </si>
  <si>
    <t>Orbit</t>
  </si>
  <si>
    <t>The soft tissue of the oropharyngeal region.</t>
  </si>
  <si>
    <t>Oropharyngeal Soft Tissue</t>
  </si>
  <si>
    <t>The part of the pharynx between the soft palate and the upper portion of the epiglottis. (NCI)</t>
  </si>
  <si>
    <t>Oropharynx</t>
  </si>
  <si>
    <t>Osteomeatal Complex</t>
  </si>
  <si>
    <t>A narrow channel that connects the frontal sinus, anterior ethmoid air cells, and maxillary sinus to the middle meatus, allowing drainage and ventilation. It includes the maxillary ostium, infundibulum, ethmoid bulla, uncinate process, and hiatus semilunaris.</t>
  </si>
  <si>
    <t>Ostiomeatal Complex</t>
  </si>
  <si>
    <t>A spherical aggregation of cells found in the ovaries that contains a single oocyte. (NCI)</t>
  </si>
  <si>
    <t>Ovarian Follicle</t>
  </si>
  <si>
    <t>The female gonad.</t>
  </si>
  <si>
    <t>Ovary</t>
  </si>
  <si>
    <t>Palatine Rugae</t>
  </si>
  <si>
    <t>The creases or folds in the oral mucosa covering the anterior portion of the hard palate.</t>
  </si>
  <si>
    <t>Palatal Rugae</t>
  </si>
  <si>
    <t>The roof of the oral cavity. It separates the oral cavity from the nasal cavity.</t>
  </si>
  <si>
    <t>Palate</t>
  </si>
  <si>
    <t>Palatine Bone</t>
  </si>
  <si>
    <t>An irregularly shaped bone positioned at the back part of the nasal cavity between the maxilla and the pterygoid process of the sphenoid. It forms the posterior part of the hard palate and the lateral wall of the nasal fossa and helps to form the floor of the orbit as well as several adjoining parts. (NCI)</t>
  </si>
  <si>
    <t>The fleshy lobe that is suspended from the back of the soft palate in the oral cavity.</t>
  </si>
  <si>
    <t>Uvula</t>
  </si>
  <si>
    <t>The undersurface of the hand. (NCI)</t>
  </si>
  <si>
    <t>Palmar Region</t>
  </si>
  <si>
    <t>A type of artery that supplies blood to the fingers and includes the common palmar digital arteries, the dorsal digital arteries of the hand, and the proper palmar digital arteries. (NCI)</t>
  </si>
  <si>
    <t>Palmar Digital Artery</t>
  </si>
  <si>
    <t>The part of the conjunctiva that covers the inner surface of the eyelid.</t>
  </si>
  <si>
    <t>Palpebral Conjunctiva</t>
  </si>
  <si>
    <t>The elliptical shaped curve of the bottom border of the upper eyelid, extending from the medial canthus to the lateral canthus.</t>
  </si>
  <si>
    <t>Palpebral Fissure</t>
  </si>
  <si>
    <t>A digestive organ in the abdomen that has both endocrine and exocrine functions.</t>
  </si>
  <si>
    <t>Pancreas</t>
  </si>
  <si>
    <t>Body of the Pancreas</t>
  </si>
  <si>
    <t>The part of the pancreas from the point where it crosses the portal vein to the point where it enters the lienorenal ligament. (NCI)</t>
  </si>
  <si>
    <t>Endocrine Pancreas</t>
  </si>
  <si>
    <t>The pancreatic tissue that contains the islets of Langerhans. It is responsible for the production and secretions of the pancreatic hormones. (NCI)</t>
  </si>
  <si>
    <t>Islet of Langerhans</t>
  </si>
  <si>
    <t>Exocrine Pancreas</t>
  </si>
  <si>
    <t>An enzyme producing region of the pancreatic tissue containing the pancreatic acini and exocrine intralobular ducts which collectively secrete the digestive enzymes into the main pancreatic duct to drain into the duodenal part of the small intestine. (NCI)</t>
  </si>
  <si>
    <t>Head of the Pancreas</t>
  </si>
  <si>
    <t>That portion of the pancreas lying in the concavity of the duodenum. (NCI)</t>
  </si>
  <si>
    <t>The portion of the pancreas that is the junction of the head and body of the pancreas, and lies anterior to the aorta.</t>
  </si>
  <si>
    <t>Neck of the Pancreas</t>
  </si>
  <si>
    <t>Tail of the Pancreas</t>
  </si>
  <si>
    <t>The left extremity of the pancreas within the lienorenal ligament. (NCI)</t>
  </si>
  <si>
    <t>A duct that conveys pancreatic secretions from the pancreas to the duodenum.</t>
  </si>
  <si>
    <t>Pancreatic Duct</t>
  </si>
  <si>
    <t>Any one of the group of small muscles in the heart ventricles, in general extending from the ventricular wall to the free edge of the atrioventricular valves; primary function is to keep the valves closed during ventricular systole.</t>
  </si>
  <si>
    <t>Papillary Muscle</t>
  </si>
  <si>
    <t>Lymph Node, Para-Aortic</t>
  </si>
  <si>
    <t>Lymph node(s) adjacent to the lumbar vertebral column.</t>
  </si>
  <si>
    <t>Paraaortic Lymph Node</t>
  </si>
  <si>
    <t>A lymph node located adjacent to the lumbar region of the spine, along the right lateral aspect of the inferior vena cava. (NCI)</t>
  </si>
  <si>
    <t>Paracaval Lymph Node</t>
  </si>
  <si>
    <t>Naturally occurring spaces between the colon and the abdominal wall, lateral to the ascending and descending colons.</t>
  </si>
  <si>
    <t>Paracolic Gutter</t>
  </si>
  <si>
    <t>A lymph node located adjacent to the larynx, in the parapharyngeal space.</t>
  </si>
  <si>
    <t>Paralaryngeal Lymph Node</t>
  </si>
  <si>
    <t>Parametrium</t>
  </si>
  <si>
    <t>The subserous connective tissue of the pelvic floor of the supracervical portion of the uterus. The parametrium extends laterally between the layers of the broad ligament. (NCI)</t>
  </si>
  <si>
    <t>The air-filled cavities adjacent to the nasal cavity lined by a mucous membrane and located in the bones of the skull.</t>
  </si>
  <si>
    <t>Paranasal Sinus</t>
  </si>
  <si>
    <t>Any lymph node located in the potential space of the neck, which is bounded superiorly by the base of the skull, inferiorly by the greater cornu of the hyoid bone, anteriorly by the investing fascia of the deep cervical fascia covering the medial pterygoid muscle, posteriorly by the prevertebral layer of the deep cervical fascia, medially by the middle (pretracheal) layer of the deep cervical fascia, and laterally by the investing fascia of the deep cervical fascia covering the deep lobe of the parotid.</t>
  </si>
  <si>
    <t>Parapharyngeal Lymph Node</t>
  </si>
  <si>
    <t>Erector Spinae; Extensor Spinae; Sacrospinalis Muscle</t>
  </si>
  <si>
    <t>A group of three paired epaxial muscle bundles (iliocostalis, longissimus, and spinalis) extending along and lateral to the spinous processes of the cervical, thoracic, and lumbar vertebrae; primary function is extension and rotation of the spine.</t>
  </si>
  <si>
    <t>Erector Spinae</t>
  </si>
  <si>
    <t>The area of the body surrounding the spinal column.</t>
  </si>
  <si>
    <t>Paraspinal Region</t>
  </si>
  <si>
    <t>A usually small autonomic ganglion of the parasympathetic nervous system. The majority are located near or in the organs that they innervate. (NCI)</t>
  </si>
  <si>
    <t>Parasympathetic Ganglion</t>
  </si>
  <si>
    <t>Endocrine gland, usually in close proximity to the thyroid gland, that produces parathyroid hormone.</t>
  </si>
  <si>
    <t>Parathyroid Gland</t>
  </si>
  <si>
    <t>A lymph node located adjacent to the trachea within the mediastinum. (NCI)</t>
  </si>
  <si>
    <t>Paratracheal Lymph Node</t>
  </si>
  <si>
    <t>A lymph node located adjacent to the trachea within the mediastinum, above the inferior margin of the left brachiocephalic vein crossing the trachea on the left and the superior border of the aortic arch on the right.</t>
  </si>
  <si>
    <t>Upper Paratracheal Lymph Node</t>
  </si>
  <si>
    <t>Paraspinal Ganglion; Spinal Ganglion</t>
  </si>
  <si>
    <t>A cluster of neuronal cell bodies and their dendrites located just ventral and lateral to the spinal cord that give rise to the sympathetic nervous system.</t>
  </si>
  <si>
    <t>Para-Spinal Ganglion</t>
  </si>
  <si>
    <t>A bone of the skull that forms the sides and roof of the skull.</t>
  </si>
  <si>
    <t>Parietal Bone</t>
  </si>
  <si>
    <t>Parietal Lobe</t>
  </si>
  <si>
    <t>One of the lobes of the cerebral hemisphere located superiorly to the occipital lobe and posteriorly to the frontal lobe. Cognition and visuospatial processing are its main function. (NCI)</t>
  </si>
  <si>
    <t>Parotid Gland Lymph Node</t>
  </si>
  <si>
    <t>Lymph node(s) in or adjacent to the parotid gland.</t>
  </si>
  <si>
    <t>The salivary gland located adjacent to the ear.</t>
  </si>
  <si>
    <t>Parotid Gland</t>
  </si>
  <si>
    <t>A part of the substantia nigra. The pars compacta nerve cells contain melanin and are involved in motor control. (NCI)</t>
  </si>
  <si>
    <t>Pars Compacta</t>
  </si>
  <si>
    <t>A small bone in front of the femorotibial joint that articulates with the femur.</t>
  </si>
  <si>
    <t>Patella</t>
  </si>
  <si>
    <t>A fibrous band extending from the distal end of the quadriceps femoris to the top of the patella.</t>
  </si>
  <si>
    <t>Patellar Tendon</t>
  </si>
  <si>
    <t>The entire structure distal to the ankle joint/tarsus or wrist joint/carpus in quadruped animals.</t>
  </si>
  <si>
    <t>Paw</t>
  </si>
  <si>
    <t>An axillary lymph node located along the lower edge of the pectoralis minor. (NCI)</t>
  </si>
  <si>
    <t>Pectoral Lymph Node</t>
  </si>
  <si>
    <t>Either of two large muscles of the anterior chest wall, which has two heads: the clavicular head, which originates on the medial half of the clavicle, and the sternal head, which originates on the sternum and the first six costal cartilages; the muscles insert onto the lateral lip of the intertubercular groove of the humerus and the crest of the greater tubercle of the humerus respectively; primary function is flexion, adduction, and medial rotation of the shoulder joint.</t>
  </si>
  <si>
    <t>Pectoralis Major</t>
  </si>
  <si>
    <t>A muscle in the chest, in general extending from the third to fifth ribs near their costal cartilages to the medial border and superior surface of the coracoid process of the scapula; primary function is to stabilize the scapula against the thoracic wall.</t>
  </si>
  <si>
    <t>Pectoralis Minor</t>
  </si>
  <si>
    <t>Pelvic Bone</t>
  </si>
  <si>
    <t>The bony structure composed of the ilium, ishium, pubis and sacrum, which are typically fused during maturation.</t>
  </si>
  <si>
    <t>Pelvic Lymph Node</t>
  </si>
  <si>
    <t>Any lymph node within the pelvic region. (NCI)</t>
  </si>
  <si>
    <t>The part of the pelvic wall that is formed by the piriformis and obturator internus muscles and contains the iliac vessels, pelvic ureters, and lateral pelvic lymph nodes.</t>
  </si>
  <si>
    <t>Pelvic Sidewall</t>
  </si>
  <si>
    <t>Pelvic Region; Pelvis</t>
  </si>
  <si>
    <t>The bony, basin-shaped structure formed by the bones of the pelvis.</t>
  </si>
  <si>
    <t>Pelvis</t>
  </si>
  <si>
    <t>Any of the arteries that supply blood to the penis, including the common penile artery, which is the termination of the internal pudendal artery, and the bulbourethral, dorsal, and cavernosal branches of the common penile artery. (NCI)</t>
  </si>
  <si>
    <t>Penile Artery</t>
  </si>
  <si>
    <t>The male organ of urination and copulation. (NCI)</t>
  </si>
  <si>
    <t>Penis</t>
  </si>
  <si>
    <t>The portion of the penis between the glans penis and the radix penis.</t>
  </si>
  <si>
    <t>Body of the Penis</t>
  </si>
  <si>
    <t>The most distal portion of the penis covered by the foreskin.</t>
  </si>
  <si>
    <t>Glans Penis</t>
  </si>
  <si>
    <t>The portion of the penis between the descending portion of the pubic bone and the body of the penis.</t>
  </si>
  <si>
    <t>Radix Penis</t>
  </si>
  <si>
    <t>The soft tissue of the peri-orbital region.</t>
  </si>
  <si>
    <t>Periorbital Soft Tissue</t>
  </si>
  <si>
    <t>The skin area around the anus. (NCI)</t>
  </si>
  <si>
    <t>Perianal Region</t>
  </si>
  <si>
    <t>The body space between the epicardium and the pericardium.</t>
  </si>
  <si>
    <t>Pericardial Cavity</t>
  </si>
  <si>
    <t>A lymph node located anterior to the pericardium, posterior to the xiphoid process, and in the right and left cardiophrenic fat. (NCI)</t>
  </si>
  <si>
    <t>Pericardial Lymph Node</t>
  </si>
  <si>
    <t>The tissue layers that form the pericardium of the heart, including the fibrous pericardium, and the parietal and visceral layers of the serous pericardium.</t>
  </si>
  <si>
    <t>Pericardial Wall</t>
  </si>
  <si>
    <t>The membrane surrounding the heart and roots of the vessels at the base of the heart.</t>
  </si>
  <si>
    <t>Pericardium</t>
  </si>
  <si>
    <t>A lymph node located above the mandibular margin of the submandibular triangle and is associated with the anterior facial vein and facial artery.</t>
  </si>
  <si>
    <t>Perifacial Lymph Node</t>
  </si>
  <si>
    <t>A lymph node located in the area around the hilum.</t>
  </si>
  <si>
    <t>Perihilar Lymph Node</t>
  </si>
  <si>
    <t>The space surrounding the meninges.</t>
  </si>
  <si>
    <t>Perimeningeal Space</t>
  </si>
  <si>
    <t>Perineum</t>
  </si>
  <si>
    <t>The area located between the anus and vulva in females, and anus and scrotum in males. (NCI)</t>
  </si>
  <si>
    <t>Lymph node(s) in or adjacent to the pancreas.</t>
  </si>
  <si>
    <t>Pancreatic Lymph Node</t>
  </si>
  <si>
    <t>Any nerve outside the brain or spinal cord that connects with peripheral receptors or effectors. (NCI)</t>
  </si>
  <si>
    <t>Peripheral Nerve</t>
  </si>
  <si>
    <t>Lymph node(s) located in the connective tissue adjacent to the rectum.</t>
  </si>
  <si>
    <t>Perirectal Lymph Node</t>
  </si>
  <si>
    <t>A part of the abdominal cavity that lies between the visceral and parietal peritoneum.</t>
  </si>
  <si>
    <t>Peritoneal Cavity</t>
  </si>
  <si>
    <t>A lymph node located in the peritoneum.</t>
  </si>
  <si>
    <t>Peritoneal Lymph Node</t>
  </si>
  <si>
    <t>The membrane that lines the abdominal and pelvic cavities.</t>
  </si>
  <si>
    <t>Peritoneum</t>
  </si>
  <si>
    <t>The region of the body that immediately surrounds the umbilicus.</t>
  </si>
  <si>
    <t>Periumbilical Region</t>
  </si>
  <si>
    <t>The tissue surrounding the ureter.</t>
  </si>
  <si>
    <t>Periureteral Region</t>
  </si>
  <si>
    <t>The tissue surrounding the urethra.</t>
  </si>
  <si>
    <t>Periurethral Region</t>
  </si>
  <si>
    <t>The region of the body surrounding the urinary bladder. (NCI)</t>
  </si>
  <si>
    <t>Perivesical Region</t>
  </si>
  <si>
    <t>An artery arising from the posterior tibial artery that supplies the muscles on the lateral side of the lower leg.</t>
  </si>
  <si>
    <t>Peroneal Artery</t>
  </si>
  <si>
    <t>Nerve, Fibular</t>
  </si>
  <si>
    <t>A branch of the sciatic nerve that includes the common, deep, and/or superficial peroneal nerves, which innervates multiple muscles in the distal region of the leg/hindlimb.</t>
  </si>
  <si>
    <t>Peroneal Nerve</t>
  </si>
  <si>
    <t>A muscle of the lower leg, in general extending from the distal two-thirds of the lateral surface of the fibula and the anterior intermuscular septum to the tuberosity of the fifth metatarsal bone; primary function is to plantar flex and evert the foot.</t>
  </si>
  <si>
    <t>Peroneus Brevis Muscle</t>
  </si>
  <si>
    <t>A muscle of the lower leg, in general extending from the superior lateral shaft of the fibula to the first metatarsal and the medial cuneiform; primary function is to plantar flex and evert the foot and support the lateral, longitudinal, and transverse arches.</t>
  </si>
  <si>
    <t>Peroneus Longus</t>
  </si>
  <si>
    <t>Adenoid</t>
  </si>
  <si>
    <t>A tonsil in the mucosa of the nasopharynx.</t>
  </si>
  <si>
    <t>Pharyngeal Tonsil</t>
  </si>
  <si>
    <t>A passageway in the head and neck that includes the nasopharynx, oropharynx and laryngopharynx.</t>
  </si>
  <si>
    <t>Pharynx</t>
  </si>
  <si>
    <t>Pineal Body</t>
  </si>
  <si>
    <t>A small endocrine gland that arises from the central posterior aspect of the diencephalon.</t>
  </si>
  <si>
    <t>Pineal Gland</t>
  </si>
  <si>
    <t>Pisiform Bone</t>
  </si>
  <si>
    <t>The medial bone of the proximal row of carpal bones. (NCI)</t>
  </si>
  <si>
    <t>Hypophysis; Hypophysis Cerebri</t>
  </si>
  <si>
    <t>A small endocrine gland extending from the hypothalamus at the base of the brain.</t>
  </si>
  <si>
    <t>Pituitary Gland</t>
  </si>
  <si>
    <t>An organ present in true mammals during embryonic developmen that provides the fetus with nutrients and oxygen, facilitates gas and waste exchange between the fetus and mother.</t>
  </si>
  <si>
    <t>Placenta</t>
  </si>
  <si>
    <t>A group of muscles in the ankle, the gastrocnemius, soleus, plantaris, tibialis posterior, flexor hallucis longus, and flexor digitorum longus muscles; primary function is to extend the ankle, flexing the foot downward toward the sole.</t>
  </si>
  <si>
    <t>Plantar Flexor Muscles</t>
  </si>
  <si>
    <t>The serous membrane that lines the wall of the thoracic cavity and the surface of the lungs.</t>
  </si>
  <si>
    <t>Pleura</t>
  </si>
  <si>
    <t>A part of the thoracic cavity that lies between the visceral and parietal pleura.</t>
  </si>
  <si>
    <t>Pleural Cavity</t>
  </si>
  <si>
    <t>Pons Varolii</t>
  </si>
  <si>
    <t>The portion of the brainstem between the midbrain and medulla oblongata.</t>
  </si>
  <si>
    <t>The segment of the popliteal artery that is located above the knee.</t>
  </si>
  <si>
    <t>Popliteal Artery Above the Knee</t>
  </si>
  <si>
    <t>The segment of the popliteal artery that is located below the knee.</t>
  </si>
  <si>
    <t>Popliteal Artery Below the Knee</t>
  </si>
  <si>
    <t>A diamond-shaped depression located in the back of the knee joint bounded by the medial and lateral heads of the gastrocnemius muscle, the semimembranosus muscle, and the biceps femoris.</t>
  </si>
  <si>
    <t>Popliteal Fossa</t>
  </si>
  <si>
    <t>Lymph node(s) adjacent to the femorotibial joint.</t>
  </si>
  <si>
    <t>Popliteal Lymph Node</t>
  </si>
  <si>
    <t>A vein originating from the anterior and posterior tibial veins that ascends the popliteal space to drain blood from the calf, knee joint, and thigh. The popliteal vein ultimately becomes the femoral vein.</t>
  </si>
  <si>
    <t>Popliteal Vein</t>
  </si>
  <si>
    <t>A lymph node located in the transverse fissure of the liver. (NCI)</t>
  </si>
  <si>
    <t>Porta Hepatis Lymph Node</t>
  </si>
  <si>
    <t>Portocaval Lymph Node</t>
  </si>
  <si>
    <t>A lymph node located in the space between the portal vein and inferior vena cava, along the hepatoduodenal ligament. (NCI)</t>
  </si>
  <si>
    <t>Portacaval Lymph Node</t>
  </si>
  <si>
    <t>Periportal Lymph Node</t>
  </si>
  <si>
    <t>Lymph node(s) adjacent to the portal vein.</t>
  </si>
  <si>
    <t>Portal Lymph Node</t>
  </si>
  <si>
    <t>The portion of the distal end of the main portal vein that branches into the left and right portal veins.</t>
  </si>
  <si>
    <t>Portal Vein Bifurcation</t>
  </si>
  <si>
    <t>Hepatic Portal Vein</t>
  </si>
  <si>
    <t>A vein lying in the lower part of the abdomen; in general it arises from the junction of the mesenteric and splenic veins and draining into the liver.</t>
  </si>
  <si>
    <t>Portal Vein</t>
  </si>
  <si>
    <t>A ridge on the parietal lobe of the brain, located between the central and postcentral sulci, that corresponds to the primary somatic sensory cortex area.</t>
  </si>
  <si>
    <t>Postcentral Gyrus</t>
  </si>
  <si>
    <t>A lymph node located in the posterior region of the neck. (NCI)</t>
  </si>
  <si>
    <t>Posterior Cervical Lymph Node</t>
  </si>
  <si>
    <t>The caudal region of the cingulate cortex, located within the medial part of the inferior parietal lobule, that is thought to function as an interface between emotion and cognition.</t>
  </si>
  <si>
    <t>Posterior Cingulate Cortex</t>
  </si>
  <si>
    <t>PDSP; POSTERIOR DESCENDING SEPTAL PERFORATORS ARTERY SEGMENT</t>
  </si>
  <si>
    <t>The arteries arising from the right posterior descending artery that supply the interventricular septum.</t>
  </si>
  <si>
    <t>Septal Perforator Artery</t>
  </si>
  <si>
    <t>PICA</t>
  </si>
  <si>
    <t>An artery arising from the vertebral artery that supplies the cerebellum, choroid plexus and the lateral medulla.</t>
  </si>
  <si>
    <t>Posterior Inferior Cerebellar Artery</t>
  </si>
  <si>
    <t>The scleral curvature of the eye comprising the retina, inclusive of the macula and optic disc.</t>
  </si>
  <si>
    <t>Posterior Pole of the Eye</t>
  </si>
  <si>
    <t>A bony projection from the posterior region of the iliac crest that lies over the sacroiliac joint and is the site of attachment for the thoracolumbar fascia and the posterior sacroiliac and sacrotuberous ligaments.</t>
  </si>
  <si>
    <t>Posterior Superior Iliac Spine</t>
  </si>
  <si>
    <t>A terminal branch of the popliteal artery that runs along the tibia from the lower portion of the popliteus muscle to the lower ankle with numerous branches supplying the lower leg and foot.</t>
  </si>
  <si>
    <t>Posterior Tibial Artery</t>
  </si>
  <si>
    <t>A vein in the foot that originates at the union of the external and internal plantar veins and which becomes the popliteal vein.</t>
  </si>
  <si>
    <t>Posterior Tibial Vein</t>
  </si>
  <si>
    <t>In an individual with a right-dominant heart, the arterial branch that arises from the distal right coronary artery in the posterior atrioventricular groove after the origin of the right posterior descending artery.</t>
  </si>
  <si>
    <t>Posterolateral Coronary Artery</t>
  </si>
  <si>
    <t>A lymph node located anterior to the auricle of the ear. (NCI)</t>
  </si>
  <si>
    <t>Preauricular Lymph Node</t>
  </si>
  <si>
    <t>A ridge on the convex side of both cerebral hemispheres, anterior to the postcentral gyrus and parallel to the central sulcus, which separates the pre- and postcentral gyri.</t>
  </si>
  <si>
    <t>Precentral Gyrus</t>
  </si>
  <si>
    <t>The posteromedial region of the parietal lobe bounded by the marginal branch of the cingulate sulcus anteriorly, by the medial portion of the parieto-occipital fissure posteriorly and by the subparietal sulcus inferiorly.</t>
  </si>
  <si>
    <t>Precuneus</t>
  </si>
  <si>
    <t>The gray matter on the medial, lateral, and orbital surfaces of the anterior part of the frontal cortex, which play a role in complex cognitive control, emotion, and social behavior.</t>
  </si>
  <si>
    <t>Prefrontal Cortex</t>
  </si>
  <si>
    <t>A lymph node located anterior to the larynx.</t>
  </si>
  <si>
    <t>Prelaryngeal Lymph Node</t>
  </si>
  <si>
    <t>Paired bones at the anterior tip of the upper jaw that are generally tooth bearing; they are present during fetal development and later fuse with the maxilla.</t>
  </si>
  <si>
    <t>Premaxilla Bone</t>
  </si>
  <si>
    <t>Exocrine glands of the male reproductive system located adjacent to the prepuce.</t>
  </si>
  <si>
    <t>Preputial Gland</t>
  </si>
  <si>
    <t>Lymph node(s) located in the mesorectum, between the rectum and the sacrum.</t>
  </si>
  <si>
    <t>Presacral Lymph Node</t>
  </si>
  <si>
    <t>The potential body space formed between the rectum and the sacrum.</t>
  </si>
  <si>
    <t>Presacral Space</t>
  </si>
  <si>
    <t>One of the bones of the orbit, situated dorsally to the basisphenoid bone; it is present during fetal development and later fuses to form the anterior portion of the sphenoid bone.</t>
  </si>
  <si>
    <t>Presphenoid Bone</t>
  </si>
  <si>
    <t>A lymph node located anterior to the trachea, between the isthmus of the thyroid gland and the innominate vein.</t>
  </si>
  <si>
    <t>Pretracheal Lymph Node</t>
  </si>
  <si>
    <t>A brain region in the occipital cortex that receives visual stimuli from the retina. (NCI)</t>
  </si>
  <si>
    <t>Primary Visual Cortex</t>
  </si>
  <si>
    <t>A muscle in the face, in general extending from the lower part of the nasal bone to the frontalis muscle in the forehead; primary function is to move the skin between the eyebrows.</t>
  </si>
  <si>
    <t>Procerus Muscle</t>
  </si>
  <si>
    <t>An artery arising from the common femoral artery just below the inguinal ligament running close to the femur and ending in the lower third of the thigh with branches supplying the thigh muscles.</t>
  </si>
  <si>
    <t>Deep Femoral Artery</t>
  </si>
  <si>
    <t>Deep Femoral Vein</t>
  </si>
  <si>
    <t>A vein located in the upper thigh that connects, through tributaries, to the popliteal and inferior gluteal veins, and joins the superficial femoral vein at the groin to form the common femoral vein.</t>
  </si>
  <si>
    <t>A muscle of the forearm, in general extending from the distal anteromedial surface of the ulna to the distal anterolateral surface of the radius; primary function is pronation of the forearm.</t>
  </si>
  <si>
    <t>Pronator Quadratus Muscle</t>
  </si>
  <si>
    <t>A muscle of the superficial flexor compartment of the forearm, in general extending from the humeral and ulnar heads to the body of the radius; primary function is pronation of the arm and flexion of the elbow.</t>
  </si>
  <si>
    <t>Pronator Teres Muscle</t>
  </si>
  <si>
    <t>The male reproductive accessory gland that produces prostatic fluid and is located adjacent to or around the urethra distal to the urinary bladder in mammals.</t>
  </si>
  <si>
    <t>Prostate Gland</t>
  </si>
  <si>
    <t>Lateral Lobe of the Prostate</t>
  </si>
  <si>
    <t>The prostate gland lobe that is located on the lateral side of the organ. (NCI)</t>
  </si>
  <si>
    <t>Middle Lobe of the Prostate</t>
  </si>
  <si>
    <t>The upper, smaller part of the prostate between the ejaculatory ducts and the urethra. (NCI)</t>
  </si>
  <si>
    <t>Posterior Lobe of the Prostate</t>
  </si>
  <si>
    <t>The prostate gland lobe that is located on the posterior side of the organ. (NCI)</t>
  </si>
  <si>
    <t>PCIRC; PROXIMAL CIRCUMFLEX ARTERY SEGMENT</t>
  </si>
  <si>
    <t>The section of the left circumflex coronary artery that arises from the left main coronary artery and extends to the first marginal branch.</t>
  </si>
  <si>
    <t>Proximal Circumflex Artery</t>
  </si>
  <si>
    <t>PIP2 of the Foot</t>
  </si>
  <si>
    <t>A ginglymoid (hinge) synovial joint within the second digit of the foot articulating the proximal and middle phalanges. (NCI)</t>
  </si>
  <si>
    <t>Proximal Interphalangeal Joint 2 of the Foot</t>
  </si>
  <si>
    <t>PIP2 of the Hand</t>
  </si>
  <si>
    <t>A ginglymoid (hinge) synovial joint within the second digit of the hand articulating the proximal and middle phalanges. (NCI)</t>
  </si>
  <si>
    <t>Proximal Interphalangeal Joint 2 of the Hand</t>
  </si>
  <si>
    <t>PIP2</t>
  </si>
  <si>
    <t>A condyloid synovial joint within the second digit of the hand or foot articulating the proximal and middle phalanges. (NCI)</t>
  </si>
  <si>
    <t>Proximal Interphalangeal Joint 2</t>
  </si>
  <si>
    <t>PIP3 of the Foot</t>
  </si>
  <si>
    <t>A ginglymoid (hinge) synovial joint within the third digit of the foot articulating the proximal and middle phalanges. (NCI)</t>
  </si>
  <si>
    <t>Proximal Interphalangeal Joint 3 of the Foot</t>
  </si>
  <si>
    <t>PIP3 of the Hand</t>
  </si>
  <si>
    <t>A ginglymoid (hinge) synovial joint within the third digit of the hand articulating the proximal and middle phalanges. (NCI)</t>
  </si>
  <si>
    <t>Proximal Interphalangeal Joint 3 of the Hand</t>
  </si>
  <si>
    <t>PIP3</t>
  </si>
  <si>
    <t>A condyloid synovial joint within the third digit of the hand or foot articulating the proximal and middle phalanges. (NCI)</t>
  </si>
  <si>
    <t>Proximal Interphalangeal Joint 3</t>
  </si>
  <si>
    <t>PIP4 of the Foot</t>
  </si>
  <si>
    <t>A condyloid synovial joint within the fourth digit of the hand or foot articulating the proximal and middle phalanges. (NCI)</t>
  </si>
  <si>
    <t>Proximal Interphalangeal Joint 4 of the Foot</t>
  </si>
  <si>
    <t>PIP4 of the Hand</t>
  </si>
  <si>
    <t>A ginglymoid (hinge) synovial joint within the fourth digit of the hand articulating the proximal and middle phalanges. (NCI)</t>
  </si>
  <si>
    <t>Proximal Interphalangeal Joint 4 of the Hand</t>
  </si>
  <si>
    <t>PIP4</t>
  </si>
  <si>
    <t>Proximal Interphalangeal Joint 4</t>
  </si>
  <si>
    <t>PIP5 of the Foot</t>
  </si>
  <si>
    <t>A ginglymoid (hinge) synovial joint within the fifth digit of the foot articulating the proximal and middle phalanges. (NCI)</t>
  </si>
  <si>
    <t>Proximal Interphalangeal Joint 5 of the Foot</t>
  </si>
  <si>
    <t>PIP5 of the Hand</t>
  </si>
  <si>
    <t>A ginglymoid (hinge) synovial joint within the fifth digit of the hand articulating the proximal and middle phalanges. (NCI)</t>
  </si>
  <si>
    <t>Proximal Interphalangeal Joint 5 of the Hand</t>
  </si>
  <si>
    <t>PIP5</t>
  </si>
  <si>
    <t>A condyloid synovial joint within the fifth digit of the hand or foot articulating the proximal and middle phalanges. (NCI)</t>
  </si>
  <si>
    <t>Proximal Interphalangeal Joint 5</t>
  </si>
  <si>
    <t>PLAD; PROXIMAL LAD ARTERY SEGMENT</t>
  </si>
  <si>
    <t>The section of the left anterior descending coronary artery that arises from the left main coronary artery and extends to the first diagonal branch.</t>
  </si>
  <si>
    <t>Proximal Left Anterior Descending Artery</t>
  </si>
  <si>
    <t>The long bone in the first finger, as counted from the thenar side of the hand; it is located between, and articulates with, the first metacarpal and the distal phalanx.</t>
  </si>
  <si>
    <t>Hand Digit 1 Proximal Phalanx</t>
  </si>
  <si>
    <t>The long bone in the second finger, as counted from the thenar side of the hand; it is located between, and articulates with, the second metacarpal and the middle phalanx.</t>
  </si>
  <si>
    <t>Hand Digit 2 Proximal Phalanx</t>
  </si>
  <si>
    <t>The long bone in the third finger, as counted from the thenar side of the hand; it is located between, and articulates with, the third metacarpal and the middle phalanx.</t>
  </si>
  <si>
    <t>Hand Digit 3 Proximal Phalanx</t>
  </si>
  <si>
    <t>The long bone in the fourth finger, as counted from the thenar side of the hand; it is located between, and articulates with, the fourth metacarpal and the middle phalanx.</t>
  </si>
  <si>
    <t>Hand Digit 4 Proximal Phalanx</t>
  </si>
  <si>
    <t>The long bone in the fifth finger, as counted from the thenar side of the hand; it is located between, and articulates with, the fifth metacarpal and the middle phalanx.</t>
  </si>
  <si>
    <t>Hand Digit 5 Proximal Phalanx</t>
  </si>
  <si>
    <t>PRCA; PROXIMAL RIGHT CORONARY ARTERY CONDUIT SEGMENT</t>
  </si>
  <si>
    <t>The section of the right coronary artery proximal to the origin of the right ventricular artery.</t>
  </si>
  <si>
    <t>Proximal Right Coronary Artery Conduit</t>
  </si>
  <si>
    <t>The part of the urethra that is close to the bladder.</t>
  </si>
  <si>
    <t>Proximal Urethra</t>
  </si>
  <si>
    <t>Pubis</t>
  </si>
  <si>
    <t>Either of the two bones (left and right) that form the front of the pelvis. (NCI)</t>
  </si>
  <si>
    <t>Pubic Bone</t>
  </si>
  <si>
    <t>One of the arteries of the thorax; in general it arises from the pulmonary trunk and branches into the lungs.</t>
  </si>
  <si>
    <t>Pulmonary Artery</t>
  </si>
  <si>
    <t>A lymph node that is found within the parenchyma of the lung. (NCI)</t>
  </si>
  <si>
    <t>Pulmonary Lymph Node</t>
  </si>
  <si>
    <t>Main Pulmonary Artery</t>
  </si>
  <si>
    <t>The artery arising from the right ventricle of the heart that bifurcates into the left and right pulmonary arteries.</t>
  </si>
  <si>
    <t>Pulmonary Trunk</t>
  </si>
  <si>
    <t>A cardiac valve located between the right atrium and the pulmonary artery.</t>
  </si>
  <si>
    <t>Pulmonary Valve</t>
  </si>
  <si>
    <t>Pulmonary Valve, Anterior Semilunar Cusp</t>
  </si>
  <si>
    <t>The cusp of the pulmonic valve that has no attachment to the cardiac septum.</t>
  </si>
  <si>
    <t>Anterior Cusp of the Pulmonary Valve</t>
  </si>
  <si>
    <t>Pulmonary Valve, Left Semilunar Cusp</t>
  </si>
  <si>
    <t>The cusp of the pulmonic valve attached to the left side of the cardiac septum.</t>
  </si>
  <si>
    <t>Left Cusp of the Pulmonary Valve</t>
  </si>
  <si>
    <t>Pulmonary Valve, Right Semilunar Cusp</t>
  </si>
  <si>
    <t>The cusp of the pulmonic valve attached to the right side of the cardiac septum.</t>
  </si>
  <si>
    <t>Right Cusp of the Pulmonary Valve</t>
  </si>
  <si>
    <t>Any of the veins that carry oxygenated blood from the lungs to the heart.</t>
  </si>
  <si>
    <t>Pulmonary Vein</t>
  </si>
  <si>
    <t>The round opening in the center of the iris in the eye.</t>
  </si>
  <si>
    <t>Pupil</t>
  </si>
  <si>
    <t>Putamen</t>
  </si>
  <si>
    <t>The gray matter, located between the globus pallidus and the external capsule of the brain, that comprises the lateral dorsal striatum of the basal ganglia.</t>
  </si>
  <si>
    <t>Pyloric Sphincter</t>
  </si>
  <si>
    <t>The muscular structure at the distal portion of the stomach, opening into the duodenum. (NCI)</t>
  </si>
  <si>
    <t>The region of the stomach that connects to the duodenum.</t>
  </si>
  <si>
    <t>Pylorus</t>
  </si>
  <si>
    <t>The segments of the corticospinal and corticobulbar tracts that either traverse or terminate in the brainstem. (NCI)</t>
  </si>
  <si>
    <t>Brainstem Portion of the Pyramidal Tracts</t>
  </si>
  <si>
    <t>The segments of the corticospinal and corticobulbar tracts that traverse the internal capsule.</t>
  </si>
  <si>
    <t>Internal Capsule of the Pyramidal Tracts</t>
  </si>
  <si>
    <t>A group of muscles in the thigh, in general extending from the pelvis to the patella and tibia; primary function is extension of the femorotibial joint.</t>
  </si>
  <si>
    <t>Quadriceps Muscle of the Thigh</t>
  </si>
  <si>
    <t>Radial Artery</t>
  </si>
  <si>
    <t>The branch of the brachial artery that passes down the forearm. (NCI)</t>
  </si>
  <si>
    <t>A nerve extending from the brachial plexus traveling the length of the arm/forelimb, which innervates the extensor muscles of the elbow, carpus and phalanges, as well as the skin on the dorsal aspect of the carpus, metacarpus and digits.</t>
  </si>
  <si>
    <t>Radial Nerve</t>
  </si>
  <si>
    <t>Musculospiral Groove; Radial Groove; Spiral Groove</t>
  </si>
  <si>
    <t>A shallow groove in the shaft of the humerus through which the radial nerve and deep brachial artery course.</t>
  </si>
  <si>
    <t>Radial Sulcus</t>
  </si>
  <si>
    <t>The slightly curved, prismoid, elongated bony body of the radius.</t>
  </si>
  <si>
    <t>Radius Shaft</t>
  </si>
  <si>
    <t>The long bone that lies between the radiohumeral joint and the carpus and is adjacent to the ulna.</t>
  </si>
  <si>
    <t>Radius Bone</t>
  </si>
  <si>
    <t>A condyloid synovial joint within the wrist articulating the radius bone to the lunate bone.</t>
  </si>
  <si>
    <t>Radius-Lunate Joint</t>
  </si>
  <si>
    <t>RAMUS; RAMUS ARTERY; RAMUS INTERMEDIUS ARTERY SEGMENT</t>
  </si>
  <si>
    <t>An artery that arises from the left main coronary artery and is positioned between the left anterior descending coronary artery and the circumflex artery.</t>
  </si>
  <si>
    <t>Ramus Intermedius Artery</t>
  </si>
  <si>
    <t>A group of nuclei that are located in the midline of the brainstem and release serotonin. (NCI)</t>
  </si>
  <si>
    <t>Raphe Nuclei</t>
  </si>
  <si>
    <t>An extension of the peritoneum between the uterus and the rectum in females, which is formally bounded thusly: anteriorly by the uterus and posterior fornix of the vagina; posteriorly by the rectum; inferiorly by the peritoneal rectovaginal fold.</t>
  </si>
  <si>
    <t>Recto-Vaginal Pouch</t>
  </si>
  <si>
    <t>The area where the sigmoid colon joins the rectum.</t>
  </si>
  <si>
    <t>Rectosigmoid Region</t>
  </si>
  <si>
    <t>The anatomical space located between the vagina and rectum, extending from the superior border of the perineal body to the underside of the rectouterine Douglas pouch, which has its formal borders noted thusly: anteriorly by the rectovaginal septum; posteriorly by the anterior rectal wall; and laterally by the descending rectal septa that separate the rectovaginal space from the pararectal space on each side.</t>
  </si>
  <si>
    <t>Rectovaginal Space</t>
  </si>
  <si>
    <t>The terminal portion of the large intestine extending from the terminus of the colon to the anus or anal canal.</t>
  </si>
  <si>
    <t>Rectum</t>
  </si>
  <si>
    <t>A muscle in the quadriceps femoris muscle group between the vastus lateralis and vastus medialis and lying on the vastus intermedius; primary function is extension of the femorotibilal joint.</t>
  </si>
  <si>
    <t>Rectus Femoris</t>
  </si>
  <si>
    <t>Lymph node(s) that drains the lymph from a region of interest.</t>
  </si>
  <si>
    <t>Regional Lymph Node</t>
  </si>
  <si>
    <t>One of the arteries of the abdomen; in general it arises from the abdominal aorta and supplies blood to the kidney.</t>
  </si>
  <si>
    <t>Renal Artery</t>
  </si>
  <si>
    <t>Kidney Bed</t>
  </si>
  <si>
    <t>The anatomical space within which the kidney is situated.</t>
  </si>
  <si>
    <t>Renal Bed</t>
  </si>
  <si>
    <t>The usual retroperitoneal location of the kidney in the dorsolumbar region of the body.</t>
  </si>
  <si>
    <t>Renal Fossa</t>
  </si>
  <si>
    <t>The tip of a renal pyramid.</t>
  </si>
  <si>
    <t>Renal Papilla</t>
  </si>
  <si>
    <t>The funnel-shaped proximal portion of the ureter located within the kidney into which urine is secreted, from the collecting duct system of the kidney. (NCI)</t>
  </si>
  <si>
    <t>Renal Pelvis</t>
  </si>
  <si>
    <t>A vein arising from the kidney; in general it drains into the caudal vena cava vein.</t>
  </si>
  <si>
    <t>Renal Vein</t>
  </si>
  <si>
    <t>The organs and anatomic structures involved in inspiration and expiration of air and the exchange of carbon dioxide and oxygen.</t>
  </si>
  <si>
    <t>Respiratory System</t>
  </si>
  <si>
    <t>Retina</t>
  </si>
  <si>
    <t>A light-sensitive membrane that lines the back wall of the eyeball. The retina is continuous with the optic nerve and this way transmits optical images to the brain. (NCI)</t>
  </si>
  <si>
    <t>An artery arising from the ophthalmic artery that supplies the retina.</t>
  </si>
  <si>
    <t>Retinal Artery</t>
  </si>
  <si>
    <t>A retina layer that contains the axons of ganglion cells. It collects the visual impulses. (NCI)</t>
  </si>
  <si>
    <t>Layer of the Ophthalmic Nerve Fibers</t>
  </si>
  <si>
    <t>A continuous, insulating monolayer of cuboidal/columnar epithelium which extends from the margins of the optic nerve head to the ora serrata where it is continuous with the pigment epithelium of the pars plana. (NCI)</t>
  </si>
  <si>
    <t>Retinal Pigment Epithelium</t>
  </si>
  <si>
    <t>Retro-Orbital Area</t>
  </si>
  <si>
    <t>The area behind the orbit of the eye.</t>
  </si>
  <si>
    <t>Retro-Orbital Region</t>
  </si>
  <si>
    <t>Mastoid Lymph Node; Posterior Auricular Lymph Node</t>
  </si>
  <si>
    <t>The lymph nodes located immediately posterior to the ear.</t>
  </si>
  <si>
    <t>Retroauricular Lymph Node</t>
  </si>
  <si>
    <t>A lymph node located within the most inferior portion of the posterior mediastinum. (NCI)</t>
  </si>
  <si>
    <t>Retrocrural Lymph Node</t>
  </si>
  <si>
    <t>A lymph node located in the retroperitoneal space. (NCI)</t>
  </si>
  <si>
    <t>Retroperitoneal Lymph Node</t>
  </si>
  <si>
    <t>The region of the abdomen outside the peritoneum, where the kidneys lie and the great blood vessels run.</t>
  </si>
  <si>
    <t>Retroperitoneum</t>
  </si>
  <si>
    <t>Suprapharyngeal Lymph Node</t>
  </si>
  <si>
    <t>Lymph node(s) in the retropharyngeal space.</t>
  </si>
  <si>
    <t>Retropharyngeal Lymph Node</t>
  </si>
  <si>
    <t>A muscle of the back, in general extending from the spinous processes of the second to fifth thoracic vertebrae to the medial border of the scapula; primary function is to stabilize and retract the scapula.</t>
  </si>
  <si>
    <t>Rhomboid Major Muscle</t>
  </si>
  <si>
    <t>A muscle of the back, in general extending from the nuchal ligament and spinal processes of the seventh cervical and first thoracic vertebrae to the medial border of the scapula; primary function is to stabilize and retract the scapula.</t>
  </si>
  <si>
    <t>Rhomboid Minor Muscle</t>
  </si>
  <si>
    <t>Rib 1</t>
  </si>
  <si>
    <t>The first rib counting from the top of the rib cage down. (NCI)</t>
  </si>
  <si>
    <t>Rib 10</t>
  </si>
  <si>
    <t>The tenth rib counting from the top of the rib cage down. (NCI)</t>
  </si>
  <si>
    <t>Rib 11</t>
  </si>
  <si>
    <t>The eleventh rib counting from the top of the rib cage down. (NCI)</t>
  </si>
  <si>
    <t>Rib 12</t>
  </si>
  <si>
    <t>The twelfth rib counting from the top of the rib cage down. (NCI)</t>
  </si>
  <si>
    <t>Rib 2</t>
  </si>
  <si>
    <t>The second rib counting from the top of the rib cage down. (NCI)</t>
  </si>
  <si>
    <t>Rib 3</t>
  </si>
  <si>
    <t>The third rib counting from the top of the rib cage down. (NCI)</t>
  </si>
  <si>
    <t>Rib 4</t>
  </si>
  <si>
    <t>The fourth rib counting from the top of the rib cage down. (NCI)</t>
  </si>
  <si>
    <t>Rib 5</t>
  </si>
  <si>
    <t>The fifth rib counting from the top of the rib cage down. (NCI)</t>
  </si>
  <si>
    <t>Rib 6</t>
  </si>
  <si>
    <t>The sixth rib counting from the top of the rib cage down. (NCI)</t>
  </si>
  <si>
    <t>Rib 7</t>
  </si>
  <si>
    <t>The seventh rib counting from the top of the rib cage down. (NCI)</t>
  </si>
  <si>
    <t>Rib 8</t>
  </si>
  <si>
    <t>The eighth rib counting from the top of the rib cage down. (NCI)</t>
  </si>
  <si>
    <t>Rib 9</t>
  </si>
  <si>
    <t>The ninth rib counting from the top of the rib cage down. (NCI)</t>
  </si>
  <si>
    <t>Any one of the paired bones, extending from the thoracic vertebrae toward the median line on the ventral aspect of the trunk.</t>
  </si>
  <si>
    <t>Rib</t>
  </si>
  <si>
    <t>The innermost layer of endothelial cells and connective tissue that lines the right atrium.</t>
  </si>
  <si>
    <t>Right Atrial Endocardium</t>
  </si>
  <si>
    <t>The opening of the right coronary artery at its origin.</t>
  </si>
  <si>
    <t>Right Coronary Artery Ostium</t>
  </si>
  <si>
    <t>The right coronary artery and all of its branches.</t>
  </si>
  <si>
    <t>Right Coronary Artery and its Branches</t>
  </si>
  <si>
    <t>RIGHT POSTERIOR ATRIOVENTRICULAR ARTERY SEGMENT; RPAV</t>
  </si>
  <si>
    <t>The arterial branch between the right posterior descending artery segment and the first right posterolateral segment.</t>
  </si>
  <si>
    <t>Right Posterior Atrioventricular Artery</t>
  </si>
  <si>
    <t>RIGHT POSTERIOR DESCENDING ARTERY SEGMENT; RPDA</t>
  </si>
  <si>
    <t>In an individual with a right-dominant heart, the arterial branch that arises from the distal right coronary artery between the acute marginal artery and the first right posterolateral segment. It supplies the inferior apex of the heart.</t>
  </si>
  <si>
    <t>Right Posterior Descending Artery</t>
  </si>
  <si>
    <t>The branch of the right coronary artery that supplies blood to the right ventricular wall.</t>
  </si>
  <si>
    <t>Right Ventricular Branch of Right Coronary Artery</t>
  </si>
  <si>
    <t>The innermost layer of endothelial cells and connective tissue that lines the right ventricle.</t>
  </si>
  <si>
    <t>Right Ventricular Endocardium</t>
  </si>
  <si>
    <t>Band of fibrous tissue that anchors various organs in place.</t>
  </si>
  <si>
    <t>Round Ligament</t>
  </si>
  <si>
    <t>The prominence on the lateral surface of the sacrum, posterior to the auricular surface of the sacrum. (NCI)</t>
  </si>
  <si>
    <t>Sacral Tuberosity</t>
  </si>
  <si>
    <t>Any one of the vertebrae situated between the lumbar vertebrae and the caudal vertebrae or coccyx.</t>
  </si>
  <si>
    <t>Sacral Vertebra</t>
  </si>
  <si>
    <t>Sacroiliac Joint</t>
  </si>
  <si>
    <t>The joint located between the sacrum and the ilium. (NCI)</t>
  </si>
  <si>
    <t>Sacrum</t>
  </si>
  <si>
    <t>The triangular bone, made up of 5 fused bones of the spine, located in the lower area of the spine between the fifth lumbar vertebra and the coccyx. (NCI)</t>
  </si>
  <si>
    <t>Any number of exocrine glands that secrete saliva into the oral cavity.</t>
  </si>
  <si>
    <t>Salivary Gland</t>
  </si>
  <si>
    <t>The salivary gland located under the tongue in the floor of the oral cavity or adjacent to the submandibular salivary gland.</t>
  </si>
  <si>
    <t>Sublingual Salivary Gland</t>
  </si>
  <si>
    <t>Saphenous Vein</t>
  </si>
  <si>
    <t>A vein of the leg/hindlimb; in general it arises from the venous network of the leg/hindfoot and drains into the femoral vein.</t>
  </si>
  <si>
    <t>A muscle in the thigh, in general extending from the anterior superior iliac spine of the pelvic bone to the anteromedial surface of the upper tibia in the pes anserinus; primary function is to flex, abduct, and laterally rotate the thigh at the hip joint, and to flex the leg at the knee joint.</t>
  </si>
  <si>
    <t>Sartorius Muscle</t>
  </si>
  <si>
    <t>Inferior Deep Cervical Lymph Node</t>
  </si>
  <si>
    <t>A lymph node located in proximity to any of the scalene muscles.</t>
  </si>
  <si>
    <t>Scalene Lymph Node</t>
  </si>
  <si>
    <t>The skin which covers the top of the head and which is usually covered by hair. (NCI)</t>
  </si>
  <si>
    <t>Scalp</t>
  </si>
  <si>
    <t>Scaphoid Bone</t>
  </si>
  <si>
    <t>A nut-shaped bone of the wrist located in the radial site of the hand. It is one of the eight carpal bones. (NCI)</t>
  </si>
  <si>
    <t>A condyloid synovial joint within the wrist articulating the scaphoid bone to the capitate bone.</t>
  </si>
  <si>
    <t>Scaphoid-Capitate Joint</t>
  </si>
  <si>
    <t>A condyloid synovial joint within the wrist articulating the scaphoid bone to the lunate bone.</t>
  </si>
  <si>
    <t>Scaphoid-Lunate Joint</t>
  </si>
  <si>
    <t>A condyloid synovial joint within the wrist articulating the scaphoid, lunate, and capitate bones.</t>
  </si>
  <si>
    <t>Scaphoid-Lunate-Capitate Joint</t>
  </si>
  <si>
    <t>A condyloid synovial joint within the wrist articulating the scaphoid bone to the radius bone.</t>
  </si>
  <si>
    <t>Scaphoid-Radius Joint</t>
  </si>
  <si>
    <t>A condyloid synovial joint within the wrist articulating the scaphoid bone to the trapezium bone.</t>
  </si>
  <si>
    <t>Scaphoid-Trapezium Joint</t>
  </si>
  <si>
    <t>A condyloid synovial joint within the wrist articulating the scaphoid bone to the trapezoid bone.</t>
  </si>
  <si>
    <t>Scaphoid-Trapezoid Joint</t>
  </si>
  <si>
    <t>Shoulder Blade</t>
  </si>
  <si>
    <t>A bone that articulates with the humerus and is part of the scapulohumeral joint.</t>
  </si>
  <si>
    <t>Scapula</t>
  </si>
  <si>
    <t>A nerve arising from the merge of the lumbar and sacral rami in the pelvis and dividing into the common peroneal and tibial nerves, and which innervates the muscles of the thigh.</t>
  </si>
  <si>
    <t>Sciatic Nerve</t>
  </si>
  <si>
    <t>The fibrous, outer tunic of the eyeball that is continuous with the cornea.</t>
  </si>
  <si>
    <t>Sclera</t>
  </si>
  <si>
    <t>The pouch that encloses the testicles.</t>
  </si>
  <si>
    <t>Scrotum</t>
  </si>
  <si>
    <t>Small glands located within the skin that are usually associated with the hair follicle.</t>
  </si>
  <si>
    <t>Sebaceous Gland</t>
  </si>
  <si>
    <t>2ND DIAG; SECOND DIAGONAL BRANCH ARTERY SEGMENT</t>
  </si>
  <si>
    <t>The second artery arising from the left anterior descending (LAD) artery that supplies the anterolateral wall, when counted from proximal to distal.</t>
  </si>
  <si>
    <t>Second Diagonal Branch Artery</t>
  </si>
  <si>
    <t>2ND LPL; SECOND LEFT POSTEROLATERAL BRANCH ARTERY SEGMENT</t>
  </si>
  <si>
    <t>In an individual with a left-dominant heart, this is the second branch that arises from the circumflex artery atrioventricular groove continuation when counted from proximal to distal. It supplies the posterolateral wall.</t>
  </si>
  <si>
    <t>Second Left Posterolateral Branch Artery</t>
  </si>
  <si>
    <t>2ND OM; SECOND OBTUSE MARGINAL BRANCH ARTERY SEGMENT</t>
  </si>
  <si>
    <t>The second artery arising from the left circumflex artery that supplies the lateral wall, when counted from proximal to distal.</t>
  </si>
  <si>
    <t>Second Obtuse Marginal Branch Artery</t>
  </si>
  <si>
    <t>2ND RPL; SECOND RIGHT POSTEROLATERAL ARTERY SEGMENT</t>
  </si>
  <si>
    <t>In an individual with a right-dominant heart, this is the second branch that arises from the right coronary artery distal to the right posterior descending artery, when counted from proximal to distal.</t>
  </si>
  <si>
    <t>Second Right Posterolateral Artery</t>
  </si>
  <si>
    <t>A muscle located in the posterior compartment of the thigh, in general extending from the ischial tuberosity to the medial tibial condyle; primary function is to extend the leg/hindlimb at the hip and to flex the leg/hindlimb at the knee.</t>
  </si>
  <si>
    <t>Semimembranosus Muscle</t>
  </si>
  <si>
    <t>Seminal Sacs</t>
  </si>
  <si>
    <t>A mammalian male reproductive accessory gland located adjacent to the urinary bladder and proximal to the prostate.</t>
  </si>
  <si>
    <t>Seminal Vesicle</t>
  </si>
  <si>
    <t>A muscle of the thigh, in general extends from the ishium to the medial tibia; primary function is the extension of the hip.</t>
  </si>
  <si>
    <t>Semitendinosus</t>
  </si>
  <si>
    <t>The region of the brain that consists of the precentral and postcentral gyri and is involved in somatosensory and motor functions.</t>
  </si>
  <si>
    <t>Sensorimotor Cortex</t>
  </si>
  <si>
    <t>A muscle of the thorax, in general extending from the first through the eighth or ninth rib to the scapula; primary function is anteversion of the arm, protraction of the scapula, and stabilization of the scapula against the thoracic wall.</t>
  </si>
  <si>
    <t>Serratus Anterior Muscle</t>
  </si>
  <si>
    <t>The front part of the leg from below the knee to the ankle.</t>
  </si>
  <si>
    <t>Shin</t>
  </si>
  <si>
    <t>The tendons that connect the muscles and bones that comprise the glenohumeral and acromioclavicular joints and enable abduction of the arm and stabilization of the shoulder. (NCI)</t>
  </si>
  <si>
    <t>Shoulder Joint Tendons</t>
  </si>
  <si>
    <t>Shoulder Joint</t>
  </si>
  <si>
    <t>A ball-and-socket joint at the upper end of the humerus, located at the junction of humerus and scapula. (NCI)</t>
  </si>
  <si>
    <t>Shoulder</t>
  </si>
  <si>
    <t>The region of the body between the neck and the upper arm. (NCI)</t>
  </si>
  <si>
    <t>Pars Sigmoid</t>
  </si>
  <si>
    <t>Either of the two dural venous sinuses that receive blood from the transverse sinus and empty into the internal jugular vein.</t>
  </si>
  <si>
    <t>Sinus Sigmoideus</t>
  </si>
  <si>
    <t>Sinus</t>
  </si>
  <si>
    <t>A recess, cavity, or channel. (NCI)</t>
  </si>
  <si>
    <t>The skin surrounding the eye, including the skin of the eyelid.</t>
  </si>
  <si>
    <t>Skin Around the Eye</t>
  </si>
  <si>
    <t>The skin surrounding the mouth, including the skin of the lip.</t>
  </si>
  <si>
    <t>Skin Around the Mouth</t>
  </si>
  <si>
    <t>The integument that covers the area located medial to the orbital ridges and superior to the nose.</t>
  </si>
  <si>
    <t>Skin Between the Eyebrows</t>
  </si>
  <si>
    <t>An area of the integument that folds upon itself.</t>
  </si>
  <si>
    <t>Skinfold</t>
  </si>
  <si>
    <t>The integument that covers the underarm.</t>
  </si>
  <si>
    <t>Skin Of The Axilla</t>
  </si>
  <si>
    <t>The integument that covers the back.</t>
  </si>
  <si>
    <t>Skin Of The Back</t>
  </si>
  <si>
    <t>The integument that covers the bending joint.</t>
  </si>
  <si>
    <t>Skin of the Bending Joint</t>
  </si>
  <si>
    <t>The integument that covers the buttock.</t>
  </si>
  <si>
    <t>Skin of the Buttock</t>
  </si>
  <si>
    <t>The integument that covers the chest.</t>
  </si>
  <si>
    <t>Skin of the Chest</t>
  </si>
  <si>
    <t>The integument that covers the chin.</t>
  </si>
  <si>
    <t>Skin Of The Chin</t>
  </si>
  <si>
    <t>The integument that covers the ear.</t>
  </si>
  <si>
    <t>Ear Skin</t>
  </si>
  <si>
    <t>The integument that covers the elbow joint.</t>
  </si>
  <si>
    <t>Elbow Skin</t>
  </si>
  <si>
    <t>The skin or integument that covers the face.</t>
  </si>
  <si>
    <t>Skin of the Face</t>
  </si>
  <si>
    <t>The integument that covers the finger.</t>
  </si>
  <si>
    <t>Hand Digit Skin</t>
  </si>
  <si>
    <t>The integument that covers the foot.</t>
  </si>
  <si>
    <t>Foot Skin</t>
  </si>
  <si>
    <t>The integument that covers the forearm.</t>
  </si>
  <si>
    <t>Skin of the Forearm</t>
  </si>
  <si>
    <t>The integument that covers the hand.</t>
  </si>
  <si>
    <t>Hand Skin</t>
  </si>
  <si>
    <t>The integument that covers the head, including the face and scalp.</t>
  </si>
  <si>
    <t>Head Skin</t>
  </si>
  <si>
    <t>The integument that covers the region of the back, lateral to the vertebral region and below the scapula. (NCI)</t>
  </si>
  <si>
    <t>Skin of the Infrascapular Region</t>
  </si>
  <si>
    <t>The integument that covers the inguinal region.</t>
  </si>
  <si>
    <t>Skin of the Inguinal Region</t>
  </si>
  <si>
    <t>The integument that covers the knee joint.</t>
  </si>
  <si>
    <t>Knee Skin</t>
  </si>
  <si>
    <t>The skin portion of the lip that contains hair.</t>
  </si>
  <si>
    <t>Skin of the Lip</t>
  </si>
  <si>
    <t>The integument that covers the lower limb.</t>
  </si>
  <si>
    <t>Skin of the Lower Extremity</t>
  </si>
  <si>
    <t>The integument that covers the neck.</t>
  </si>
  <si>
    <t>Neck Skin</t>
  </si>
  <si>
    <t>The integument that covers the palm.</t>
  </si>
  <si>
    <t>Skin of the Palm</t>
  </si>
  <si>
    <t>The integument that covers the sole.</t>
  </si>
  <si>
    <t>Skin of the Sole</t>
  </si>
  <si>
    <t>The integument that covers the thigh.</t>
  </si>
  <si>
    <t>Skin of the Thigh</t>
  </si>
  <si>
    <t>Skin of the Trunk</t>
  </si>
  <si>
    <t>The integument that covers the trunk of the body.</t>
  </si>
  <si>
    <t>The integument that covers the upper limb.</t>
  </si>
  <si>
    <t>Skin of the Upper Extremity</t>
  </si>
  <si>
    <t>Integument; Skin</t>
  </si>
  <si>
    <t>An organ that constitutes the external surface of the body. It consists of the epidermis, dermis, and skin appendages. (NCI)</t>
  </si>
  <si>
    <t>Skin</t>
  </si>
  <si>
    <t>Bone, Skull; Cranium; Skull Bone</t>
  </si>
  <si>
    <t>The bones that form the head, made up of the bones of the braincase and face. (NCI)</t>
  </si>
  <si>
    <t>Skull</t>
  </si>
  <si>
    <t>Base of the Skull</t>
  </si>
  <si>
    <t>The portion of the skull that forms the floor on which the brain lies; the internal surface of the cranial base has three large depressions that lie on different levels known as the anterior, middle, and posterior cranial fossae.</t>
  </si>
  <si>
    <t>Small Bowel Mucosa</t>
  </si>
  <si>
    <t>The mucosal membranes that line the inner surface of the small intestine.</t>
  </si>
  <si>
    <t>Small Intestinal Mucosa</t>
  </si>
  <si>
    <t>The villous section of the intestine extending from the pylorus to the proximal large intestine.</t>
  </si>
  <si>
    <t>Small Intestine</t>
  </si>
  <si>
    <t>A superficial vein originating from the dorsal vein at the fifth toe and the dorsal venous arch of the foot; it extends up the back of the leg to empty into the popliteal vein at the knee joint.</t>
  </si>
  <si>
    <t>Short Saphenous Vein</t>
  </si>
  <si>
    <t>Muzzle</t>
  </si>
  <si>
    <t>The projection on the anterior portion of the face that includes the nares, mouth, and jaw.</t>
  </si>
  <si>
    <t>Snout</t>
  </si>
  <si>
    <t>The part of the roof of the mouth not supported by bone.</t>
  </si>
  <si>
    <t>Soft Palate</t>
  </si>
  <si>
    <t>Soft Tissue</t>
  </si>
  <si>
    <t>Refers to muscle, fat, fibrous tissue, blood vessels, organ parenchyma, or other supporting tissue of the body.</t>
  </si>
  <si>
    <t>The undersurface of the foot. (NCI)</t>
  </si>
  <si>
    <t>Plantar Region</t>
  </si>
  <si>
    <t>A muscle in the crus, in general extending from the tibia and fibula to the calcaneous; primary function is plantarflexion of the foot.</t>
  </si>
  <si>
    <t>Soleus</t>
  </si>
  <si>
    <t>The butterfly-shaped bone located at the base of the skull that forms the orbit of the eye.</t>
  </si>
  <si>
    <t>Sphenoid Bone</t>
  </si>
  <si>
    <t>Either of the paired paranasal sinuses located in the anterior part of the body of the sphenoid bone, and communicating with the superior meatus of the nasal cavity on the same side.</t>
  </si>
  <si>
    <t>Sphenoid Sinus</t>
  </si>
  <si>
    <t>ACCESSORY NERVE; CRANIAL ACCESSORY NERVE</t>
  </si>
  <si>
    <t>The eleventh cranial nerve.</t>
  </si>
  <si>
    <t>Accessory Nerve</t>
  </si>
  <si>
    <t>The parenchyma of the spinal cord, which consists of a canal surrounded by a neuron containing gray matter centrally and white matter containing myelinated nerve tracts peripherally.</t>
  </si>
  <si>
    <t>Spinal Cord Parenchyma</t>
  </si>
  <si>
    <t>Medulla Spinalis</t>
  </si>
  <si>
    <t>The portion of the central nervous system that lies within the vertebral canal and from which the spinal nerves emerge.</t>
  </si>
  <si>
    <t>Spinal Cord</t>
  </si>
  <si>
    <t>The segment of the spinal cord between the end of the brain stem and the thoracic spinal cord.</t>
  </si>
  <si>
    <t>Cervical Spinal Cord</t>
  </si>
  <si>
    <t>A bony projection arising from the posterior vertebral arch that serves for the attachment of muscles and ligaments.</t>
  </si>
  <si>
    <t>Spinous Process</t>
  </si>
  <si>
    <t>An abdominal organ that is part of the hematopoietic and immune systems. It is composed of the white pulp and the red pulp and is surrounded by a capsule.</t>
  </si>
  <si>
    <t>Spleen</t>
  </si>
  <si>
    <t>Splenic Hilum</t>
  </si>
  <si>
    <t>The area of the spleen through which the vessels and nerves enter or exit the organ. (NCI)</t>
  </si>
  <si>
    <t>An artery arising from the celiac trunk with four main branches that supply the spleen, stomach and pancreas.</t>
  </si>
  <si>
    <t>Splenic Artery</t>
  </si>
  <si>
    <t>A lymph node located in the hilar region of the spleen. (NCI)</t>
  </si>
  <si>
    <t>Splenic Hilar Lymph Node</t>
  </si>
  <si>
    <t>Any lymph node located along the splenic artery that receives afferent drainage from the pancreas, spleen, and stomach, and which generally has their efferents join the celiac group of preaortic lymph nodes.</t>
  </si>
  <si>
    <t>Splenic Lymph Node</t>
  </si>
  <si>
    <t>A vein arising from the splenic trabecular vein in the hilum of the spleen that drains into the portal vein.</t>
  </si>
  <si>
    <t>Splenic Vein</t>
  </si>
  <si>
    <t>Sternal Manubrium</t>
  </si>
  <si>
    <t>The upper segment of the sternum, quadrangular in shape, as well as wider superiorly and narrower inferiorly. The sternal manubrium articulates with the clavicle and first two ribs. (NCI)</t>
  </si>
  <si>
    <t>Any of the segments of the body of the sternum.</t>
  </si>
  <si>
    <t>Sternebra</t>
  </si>
  <si>
    <t>Sternoclavicular Joint</t>
  </si>
  <si>
    <t>The synovial juncture between the medial end of the clavicle and the anterior segment of the sternum. (NCI)</t>
  </si>
  <si>
    <t>SCM; Sternomastoid Muscle</t>
  </si>
  <si>
    <t>A muscle of the neck; in general extending from the manubrium and the clavicle to the mastoid process and the superior nuchal line. Primary function is to flex the neck, move the chin cranially, and assist in elevating the rib cage during inspiration.</t>
  </si>
  <si>
    <t>Sternocleidomastoid Muscle</t>
  </si>
  <si>
    <t>Sterna</t>
  </si>
  <si>
    <t>The long, flat bone or sternebrae connecting with the cartilage of some ribs.</t>
  </si>
  <si>
    <t>Sternum</t>
  </si>
  <si>
    <t>Gastric Wall</t>
  </si>
  <si>
    <t>The tissue that forms the wall of the stomach.</t>
  </si>
  <si>
    <t>Stomach Wall</t>
  </si>
  <si>
    <t>The portion of the gastrointestinal tract located between the esophagus and the proximal duodenum.</t>
  </si>
  <si>
    <t>Stomach</t>
  </si>
  <si>
    <t>A group of subcortical nuclei of the basal ganglia comprising the caudate and putamen dorsally, and the nucleus accumbens as well as the olfactory tubercle ventrally.</t>
  </si>
  <si>
    <t>Striatum Nuclei</t>
  </si>
  <si>
    <t>Subarachnoid; Subarachnoid Area</t>
  </si>
  <si>
    <t>The space between the arachnoid membrane and the pia mater.</t>
  </si>
  <si>
    <t>Subarachnoid Space</t>
  </si>
  <si>
    <t>A lymph node located in the thoracic cavity between the lungs. It is bordered by the carina of the trachea, lower lobe bronchus on the left and the bronchus intermedius on the right. (NCI)</t>
  </si>
  <si>
    <t>Subcarinal Lymph Node</t>
  </si>
  <si>
    <t>One of the arteries of the thorax; in general it arises from the brachiocephalic artery or the aortic arch and branches into several arteries to supply blood to the head, neck, and arm/forelimb.</t>
  </si>
  <si>
    <t>Subclavian Artery</t>
  </si>
  <si>
    <t>The vein that drains the axillary vein and joins the internal jugular vein to form the brachiocephalic vein. It runs parallel to the subclavian artery.</t>
  </si>
  <si>
    <t>Subclavian Vein</t>
  </si>
  <si>
    <t>Subcutaneous Tissue</t>
  </si>
  <si>
    <t>Adipose and connective tissue located deep to the dermis.</t>
  </si>
  <si>
    <t>Subcutis</t>
  </si>
  <si>
    <t>The potential body space between the arachnoid membrane and the dura mater.</t>
  </si>
  <si>
    <t>Subdural Space</t>
  </si>
  <si>
    <t>Subglottis</t>
  </si>
  <si>
    <t>The area of the larynx below the vocal cords down to the trachea. (NCI)</t>
  </si>
  <si>
    <t>A body region relating to the area under or adjacent to the tongue.</t>
  </si>
  <si>
    <t>Sublingual Region</t>
  </si>
  <si>
    <t>Gland, Salivary, Mandibular; Submaxillary Gland</t>
  </si>
  <si>
    <t>The salivary gland located adjacent to the mandible.</t>
  </si>
  <si>
    <t>Submandibular Gland</t>
  </si>
  <si>
    <t>Lymph Node, Submandibular</t>
  </si>
  <si>
    <t>Lymph node(s) adjacent to the mandible.</t>
  </si>
  <si>
    <t>Submandibular Lymph Node</t>
  </si>
  <si>
    <t>Suprahyoid Lymph Nodes</t>
  </si>
  <si>
    <t>The lymph nodes located between the anterior bellies of the digastric muscles. (NCI)</t>
  </si>
  <si>
    <t>Submental Lymph Node</t>
  </si>
  <si>
    <t>A muscle in the shoulder, in general extending from the subscapular fossa to the lesser tubercle of the humerus; primary function is to medially rotate the humerus.</t>
  </si>
  <si>
    <t>Subscapularis Muscle</t>
  </si>
  <si>
    <t>The portion of the midbrain composed of two parts, the pars compacta and pars reticulata.</t>
  </si>
  <si>
    <t>Substantia Nigra</t>
  </si>
  <si>
    <t>Talocalcaneal Joint</t>
  </si>
  <si>
    <t>The plane synovial joint between the talus and calcaneus bones of the foot.</t>
  </si>
  <si>
    <t>Subtalar Joint</t>
  </si>
  <si>
    <t>Sweat Gland</t>
  </si>
  <si>
    <t>The small coiled tubular glands in the skin that produce and secrete sweat.</t>
  </si>
  <si>
    <t>The portion of the femoral artery distal to the branching of the deep femoral artery that runs close to the skin.</t>
  </si>
  <si>
    <t>Superficial Femoral Artery</t>
  </si>
  <si>
    <t>A lymph node located in a superficial part of the body.</t>
  </si>
  <si>
    <t>Superficial Lymph Node</t>
  </si>
  <si>
    <t>A ridge on the frontal lobe of the brain located above the superior frontal sulcus.</t>
  </si>
  <si>
    <t>Superior Frontal Gyrus</t>
  </si>
  <si>
    <t>Lymph nodes in this group include pretracheal, paratracheal, and esophageal groove lymph nodes, extending from the level of the suprasternal notch cephalad and up to the innominate artery caudad. These nodes are at greatest risk of involvement by thyroid cancer and cancer of the esophagus. (AJCC 8th ed.)</t>
  </si>
  <si>
    <t>Superior Mediastinal Lymph Node Group (Level VII)</t>
  </si>
  <si>
    <t>The portion of the pubic ramus that lies between the body of the ilium and the inferior pubic ramus.</t>
  </si>
  <si>
    <t>Superior Pubic Ramus</t>
  </si>
  <si>
    <t>An intracranial venous sinus that lies in a superior and midline location above the interhemispheric fissure along the superior border of the falx cerebri of the brain. The sinus receives blood from the cerebral veins and drains posteriorly into the lateral sinuses of the brain, which in turn drain into the internal jugular veins.</t>
  </si>
  <si>
    <t>Superior Sagittal Sinus</t>
  </si>
  <si>
    <t>A ridge on the outer surface of the temporal lobe between the horizontal portion of the fissure of Sylvius and the superior temporal sulcus. (NCI)</t>
  </si>
  <si>
    <t>Superior Temporal Gyrus</t>
  </si>
  <si>
    <t>Anterior Vena Cava; Cranial Vena Cava</t>
  </si>
  <si>
    <t>The large vein that terminates in the right atrium and transports deoxygenated blood from the head, neck, arms, and chest to the heart.</t>
  </si>
  <si>
    <t>Superior Vena Cava</t>
  </si>
  <si>
    <t>A muscle of the forearm, in general extending from the posterior proximal shaft of the ulna and the lateral epicondyle of the humerus to the proximal third of the radius on the anterolateral and posterior surface; primary function is to supinate the forearm.</t>
  </si>
  <si>
    <t>Supinator Muscle</t>
  </si>
  <si>
    <t>A depression found at the base of the neck that is bounded thusly: superiorly by the posterior belly of the omohyoid muscle; inferiorly by the clavicle; and medially by the sternocleidomastoid muscle.</t>
  </si>
  <si>
    <t>Supraclavicular Fossa</t>
  </si>
  <si>
    <t>Supraclavicular Lymph Node</t>
  </si>
  <si>
    <t>A lymph node which is located above the clavicle. (NCI)</t>
  </si>
  <si>
    <t>The upper part of the larynx, including the epiglottis; the area above the vocal cords.</t>
  </si>
  <si>
    <t>Supraglottis</t>
  </si>
  <si>
    <t>A ridge on the anterior part of the inferior parietal lobe of the brain.</t>
  </si>
  <si>
    <t>Supramarginal Gyrus</t>
  </si>
  <si>
    <t>The superior portion of the occipital bone on the dorsal side of the foramen magnum; it is present during fetal development and later fuses with the occipital bone.</t>
  </si>
  <si>
    <t>Supraoccipital Bone</t>
  </si>
  <si>
    <t>The lowest central region of the abdomen, below the umbilical region and between the two iliac regions. (NCI)</t>
  </si>
  <si>
    <t>Hypogastric Region</t>
  </si>
  <si>
    <t>The portion of the abdominal aorta cranial to the renal arteries.</t>
  </si>
  <si>
    <t>Suprarenal Aorta</t>
  </si>
  <si>
    <t>One of four muscles surrounding the glenohumeral joint, in general extending from the supraspinous fossa of the scapula to the greater tubercle of the humerus; primary function is to abduct the arm and provide muscular support to the shoulder.</t>
  </si>
  <si>
    <t>Supraspinatus Muscle</t>
  </si>
  <si>
    <t>The part of the brain above the tentorium cerebellum. (NCI)</t>
  </si>
  <si>
    <t>Supratentorial Brain</t>
  </si>
  <si>
    <t>A minor branch of the sciatic nerve that includes the lateral and caudal sural nerves, which innervates the skin of the crus, tarsus and metatarsus.</t>
  </si>
  <si>
    <t>Sural Nerve</t>
  </si>
  <si>
    <t>Rigid, fibrous joints between the ossified bones of the skull.</t>
  </si>
  <si>
    <t>Cranial Suture</t>
  </si>
  <si>
    <t>A mass containing the cell bodies of sympathetic nerves. Sympathetic ganglia exist as paravertebral ganglia (located bilaterally adjacent to the spinal cord) or prevertebral ganglia (located close to the target organ).</t>
  </si>
  <si>
    <t>Sympathetic Ganglion</t>
  </si>
  <si>
    <t>Synovia</t>
  </si>
  <si>
    <t>The fluid within a joint capsule.</t>
  </si>
  <si>
    <t>Synovial Fluid</t>
  </si>
  <si>
    <t>Synovial Membrane; Synovial Stratum</t>
  </si>
  <si>
    <t>The connective tissue and synoviocytes that line the inner surface of the joint capsule.</t>
  </si>
  <si>
    <t>Synovial Membrane</t>
  </si>
  <si>
    <t>T1 Vertebra</t>
  </si>
  <si>
    <t>The first thoracic vertebra counting from the top down. (NCI)</t>
  </si>
  <si>
    <t>T10 Vertebra</t>
  </si>
  <si>
    <t>The tenth thoracic vertebra counting from the top down. (NCI)</t>
  </si>
  <si>
    <t>T11 Vertebra</t>
  </si>
  <si>
    <t>The eleventh thoracic vertebra counting from the top down. (NCI)</t>
  </si>
  <si>
    <t>T12 Vertebra</t>
  </si>
  <si>
    <t>The twelfth thoracic vertebra counting from the top down. (NCI)</t>
  </si>
  <si>
    <t>T2 Vertebra</t>
  </si>
  <si>
    <t>The second thoracic vertebra counting from the top down. (NCI)</t>
  </si>
  <si>
    <t>T3 Vertebra</t>
  </si>
  <si>
    <t>The third thoracic vertebra counting from the top down. (NCI)</t>
  </si>
  <si>
    <t>T4 Vertebra</t>
  </si>
  <si>
    <t>The fourth thoracic vertebra counting from the top down. (NCI)</t>
  </si>
  <si>
    <t>T5 Vertebra</t>
  </si>
  <si>
    <t>The fifth thoracic vertebra counting from the top down. (NCI)</t>
  </si>
  <si>
    <t>T6 Vertebra</t>
  </si>
  <si>
    <t>The sixth thoracic vertebra counting from the top down. (NCI)</t>
  </si>
  <si>
    <t>T7 Vertebra</t>
  </si>
  <si>
    <t>The seventh thoracic vertebra counting from the top down. (NCI)</t>
  </si>
  <si>
    <t>T8 Vertebra</t>
  </si>
  <si>
    <t>The eighth thoracic vertebra counting from the top down. (NCI)</t>
  </si>
  <si>
    <t>T9 Vertebra</t>
  </si>
  <si>
    <t>The ninth thoracic vertebra counting from the top down. (NCI)</t>
  </si>
  <si>
    <t>A flexible appendage caudal to the sacrum.</t>
  </si>
  <si>
    <t>Tail</t>
  </si>
  <si>
    <t>Talus</t>
  </si>
  <si>
    <t>The bone of the foot that connects with the tibia and fibula to form the ankle joint. (NCI)</t>
  </si>
  <si>
    <t>A joint formed by the union of tarsal bones.</t>
  </si>
  <si>
    <t>Tarsal Joint</t>
  </si>
  <si>
    <t>Bone, Tarsal</t>
  </si>
  <si>
    <t>Any of the short bones between the tibiotarsal joint and the tarsometatarsal joint.</t>
  </si>
  <si>
    <t>Tarsal Bone</t>
  </si>
  <si>
    <t>The dorsal part or roof plate of the midbrain, which consists of the pretectal area and the paired superior and inferior colliculi.</t>
  </si>
  <si>
    <t>Tectum Mesencephali</t>
  </si>
  <si>
    <t>The flat area on either side of the head that is located posterior to the eye and forehead, anterior to the ear, and superior to the cheekbone.</t>
  </si>
  <si>
    <t>Temple</t>
  </si>
  <si>
    <t>A terminal branch of the external carotid artery that branches into the anterior and posterior temporal arteries. (NCI)</t>
  </si>
  <si>
    <t>Temporal Artery</t>
  </si>
  <si>
    <t>Temporal Bone</t>
  </si>
  <si>
    <t>A large irregular bone situated at the base and side of the skull, connected with the mandible via the temporomandibular joint. The temporal bone consists of the squamous, tympanic and petrous parts. The petrous portion of the temporal bone contains the vestibulocochlear organ of the inner ear. (NCI)</t>
  </si>
  <si>
    <t>The second largest of the four cerebral lobes, the temporal lobe is approximately twenty two percent of the total neocortical volume. The temporal lobe can be divided into two main sections: first, the neocortex, comprising its lateral and inferolateral surfaces, and its standard cerebral cortex; and, second, the mesial temporal lobe, which is sometimes referred to as the limbic lobe, and includes the hippocampus, the amygdala, and the parahippocampal gyrus. Grossly, the lobe extends superiorly to the Sylvian fissure, and posteriorly to an imaginary line, the lateral parietotemporal line, which separates the temporal lobe from the inferior parietal lobule superiorly and the occipital lobe inferiorly. The middle cranial fossa forms its anterior and inferior boundaries.</t>
  </si>
  <si>
    <t>Temporal Lobe</t>
  </si>
  <si>
    <t>Jaw Joint; TMJ</t>
  </si>
  <si>
    <t>The joint between the head of the lower mandible and the temporal bone. (NCI)</t>
  </si>
  <si>
    <t>Jaw Joint</t>
  </si>
  <si>
    <t>A band of fibrous connective tissue that joins bone to muscle. (NCI)</t>
  </si>
  <si>
    <t>Tendon</t>
  </si>
  <si>
    <t>Tensor Fasciae Latae Muscle; TFL Muscle</t>
  </si>
  <si>
    <t>A muscle of the gluteal region, in general extending from the iliac crest to the iliotibial tract of the fascia lata; primary function is to stabilize the knee in extension and in hip flexion.</t>
  </si>
  <si>
    <t>Tensor Fasciae Lata</t>
  </si>
  <si>
    <t>A laminar extension of the dura mater that lies between, and separates, the cerebrum and the cerebellum. (NCI)</t>
  </si>
  <si>
    <t>Tentorium Cerebelli</t>
  </si>
  <si>
    <t>Testicle</t>
  </si>
  <si>
    <t>The male gonad.</t>
  </si>
  <si>
    <t>Testis</t>
  </si>
  <si>
    <t>The portion of the diencephalon forming most of each lateral wall of the third ventricle.</t>
  </si>
  <si>
    <t>Thalamus</t>
  </si>
  <si>
    <t>Thigh</t>
  </si>
  <si>
    <t>A part of the lower limb, located between hip and knee. (NCI)</t>
  </si>
  <si>
    <t>3RD DIAG; THIRD DIAGONAL BRANCH ARTERY SEGMENT</t>
  </si>
  <si>
    <t>The third artery arising from the left anterior descending (LAD) artery that supplies the anterolateral wall, when counted from proximal to distal.</t>
  </si>
  <si>
    <t>Third Diagonal Branch Artery</t>
  </si>
  <si>
    <t>3RD OM; THIRD OBTUSE MARGINAL BRANCH ARTERY SEGMENT</t>
  </si>
  <si>
    <t>The third artery arising from the left circumflex artery that supplies the lateral wall, when counted from proximal to distal.</t>
  </si>
  <si>
    <t>Third Obtuse Marginal Branch Artery</t>
  </si>
  <si>
    <t>3RD LPL; THIRD POSTEROLATERAL DESCENDING ARTERY SEGMENT</t>
  </si>
  <si>
    <t>In an individual with a left-dominant heart, this is the third branch that arises from the circumflex artery atrioventricular groove continuation when counted from proximal to distal. It supplies the posterolateral wall.</t>
  </si>
  <si>
    <t>Third Posterolateral Descending Artery</t>
  </si>
  <si>
    <t>3RD RPL; THIRD RIGHT POSTEROLATERAL ARTERY SEGMENT</t>
  </si>
  <si>
    <t>In an individual with a right-dominant heart, this is the third branch that arises from the right coronary artery distal to the right posterior descending artery, when counted from proximal to distal.</t>
  </si>
  <si>
    <t>Third Right Posterolateral Artery</t>
  </si>
  <si>
    <t>The section of the aorta between the lower border of the fourth dorsal vertebrae and the aortic opening in the diaphragm. (NCI)</t>
  </si>
  <si>
    <t>Thoracic Aorta</t>
  </si>
  <si>
    <t>An artery that branches from the axillary artery or one of its branches, and that supplies the muscles and organs of the thorax.</t>
  </si>
  <si>
    <t>Thoracic Artery</t>
  </si>
  <si>
    <t>The cavity enclosed by the ribs between the diaphragm and the neck.</t>
  </si>
  <si>
    <t>Thoracic Cavity</t>
  </si>
  <si>
    <t>Lymph node located in the thoracic cavity. (NCI)</t>
  </si>
  <si>
    <t>Thoracic Lymph Node</t>
  </si>
  <si>
    <t>The vertebrae of the thoracic spine, numbered one through twelve in humans.</t>
  </si>
  <si>
    <t>Thoracic Spine</t>
  </si>
  <si>
    <t>Thoracic Vertebra</t>
  </si>
  <si>
    <t>Any of the vertebrae situated between the cervical and lumbar vertebrae.</t>
  </si>
  <si>
    <t>Thorax</t>
  </si>
  <si>
    <t>The division of the body lying between the neck and the abdomen. (NCI)</t>
  </si>
  <si>
    <t>Throat</t>
  </si>
  <si>
    <t>The narrow passage from the mouth to the cavity at the back of the mouth. (NCI)</t>
  </si>
  <si>
    <t>Thymus Gland</t>
  </si>
  <si>
    <t>A primary lymphoid organ generally located in the mediastinum near the thoracic inlet and/or along lateral aspects of the neck.</t>
  </si>
  <si>
    <t>The narrow, central portion of the thyroid gland that crosses the trachea anteriorly and connects the two lobes of the gland. (NCI)</t>
  </si>
  <si>
    <t>Thyroid Gland Isthmus</t>
  </si>
  <si>
    <t>Endocrine gland(s) adjacent to the trachea in mammals that produce thyroxine and other hormones.</t>
  </si>
  <si>
    <t>Thyroid Gland</t>
  </si>
  <si>
    <t>Left Thyroid Gland Lobe</t>
  </si>
  <si>
    <t>The cone-like lobe of the thyroid gland that is located in the left side of the trachea. (NCI)</t>
  </si>
  <si>
    <t>Right Thyroid Gland Lobe</t>
  </si>
  <si>
    <t>The cone-like lobe of the thyroid gland that is located in the right side of the trachea. (NCI)</t>
  </si>
  <si>
    <t>The triangular prismoid, elongated bony body of the tibia.</t>
  </si>
  <si>
    <t>Tibial Shaft</t>
  </si>
  <si>
    <t>The long bone that is medial to the fibula.</t>
  </si>
  <si>
    <t>Tibia</t>
  </si>
  <si>
    <t>Tibial Epiphyseal Plate; Tibial Physis; Tibial Plateau Growth Plate</t>
  </si>
  <si>
    <t>A layer of cartilaginous tissue located in the tibia of children and adolescents that separates the epiphysis from the metaphysis and is the site of longitudinal bone growth until skeletal maturity.</t>
  </si>
  <si>
    <t>Tibial Growth Plate</t>
  </si>
  <si>
    <t>A branch of the sciatic nerve that divides into the medial and lateral plantar nerves, and which innervates the muscles of the crus and the skin of the tarsus.</t>
  </si>
  <si>
    <t>Tibial Nerve</t>
  </si>
  <si>
    <t>The blood vessels segment that includes the crural artery and the tibial artery.</t>
  </si>
  <si>
    <t>Tibialcrural Artery</t>
  </si>
  <si>
    <t>A muscle that originates from the lateral condyle of tibia, spans the upper two-thirds of the lateral surface of the tibia, and is attached to the first cuneiform and metatarsal bones of the foot. It is a dorsiflexor of the ankle and invertor of the foot.</t>
  </si>
  <si>
    <t>Tibialis Anterior Muscle</t>
  </si>
  <si>
    <t>A muscle in the lower leg, in general extending from the inner posterior borders of the tibia and fibula to the posterior tibial tendon at the posterior aspect of the medial malleolus; primary function is to stabilize the ankle, as well as invert and plantar flex the foot at the ankle.</t>
  </si>
  <si>
    <t>Posterior Tibialis Muscle</t>
  </si>
  <si>
    <t>An arterial trunk that contains parts of the posterior tibial artery and fibular artery.</t>
  </si>
  <si>
    <t>Tibioperoneal Arterial Trunk</t>
  </si>
  <si>
    <t>The joint connecting the lower part of the tibia with the upper part of the tarsus bones, specifically articulating with the talus bone.</t>
  </si>
  <si>
    <t>Tibiotarsal Joint</t>
  </si>
  <si>
    <t>Toe</t>
  </si>
  <si>
    <t>One of the terminal digits of the foot. (NCI)</t>
  </si>
  <si>
    <t>Toenail</t>
  </si>
  <si>
    <t>A thin, horny translucent plate covering the end of each toe. (NCI)</t>
  </si>
  <si>
    <t>The muscular organ in the mouth used in taste perception and food ingestion.</t>
  </si>
  <si>
    <t>Tongue</t>
  </si>
  <si>
    <t>A secondary lymphoid tissue in the mucosa of the pharynx.</t>
  </si>
  <si>
    <t>Tonsil</t>
  </si>
  <si>
    <t>Tooth Canal</t>
  </si>
  <si>
    <t>The anatomic space in the root of a tooth that contains nerves, blood vessels, and connective tissue. (NCI)</t>
  </si>
  <si>
    <t>A hard calcified structure in the jaw; primarily used for eating.</t>
  </si>
  <si>
    <t>Tooth</t>
  </si>
  <si>
    <t>Windpipe</t>
  </si>
  <si>
    <t>The fibrocartilaginous tube extending from the larynx to the bronchi.</t>
  </si>
  <si>
    <t>Trachea</t>
  </si>
  <si>
    <t>An anatomical structure comprised of trachea, bronchi, and bronchioles that terminate with the alveolar ducts, sacs, and alveoli. (NCI)</t>
  </si>
  <si>
    <t>Tracheobronchial Tree</t>
  </si>
  <si>
    <t>Mid-Tarsal Joint</t>
  </si>
  <si>
    <t>A combination of syndesmosis and synovial joints formed by the articulation of the talus with the navicular and the calcaneus with the cuboid.</t>
  </si>
  <si>
    <t>Transverse Tarsal Joint</t>
  </si>
  <si>
    <t>Trapezium</t>
  </si>
  <si>
    <t>A carpal bone on the thumb side of the hand that articulates with the 1st and 2nd metacarpals. (NCI)</t>
  </si>
  <si>
    <t>Trapezial Bone</t>
  </si>
  <si>
    <t>A condyloid synovial joint within the wrist articulating the trapezium bone to the trapezoid bone.</t>
  </si>
  <si>
    <t>Trapezium-Trapezoid Joint</t>
  </si>
  <si>
    <t>Trapezius Muscle</t>
  </si>
  <si>
    <t>One of a pair of flat, large, triangular muscles that extend from the external occipital protuberance and the medial third of the superior nuchal line of the occipital bone to the middle of the back. The trapezius muscle is involved in moving the shoulder and arm. (NCI)</t>
  </si>
  <si>
    <t>Trapezoid Bone</t>
  </si>
  <si>
    <t>A carpal bone located between the trapezium and capitate bones. (NCI)</t>
  </si>
  <si>
    <t>A condyloid synovial joint within the wrist articulating the trapezoid bone to the capitate bone.</t>
  </si>
  <si>
    <t>Trapezoid-Capitate Joint</t>
  </si>
  <si>
    <t>Triquetral Bone</t>
  </si>
  <si>
    <t>A carpal bone located between the lunate and pisiform bones. (NCI)</t>
  </si>
  <si>
    <t>Triangular Bone</t>
  </si>
  <si>
    <t>Triquetral-Hamate Joint; Triquetrum-Hamate Joint</t>
  </si>
  <si>
    <t>The point of articulation in the wrist between the hamate and the triquetral bones.</t>
  </si>
  <si>
    <t>Triangular-Hamate Joint</t>
  </si>
  <si>
    <t>Triquetral-Lunate Joint; Triquetrum-Lunate Joint</t>
  </si>
  <si>
    <t>The point of articulation in the wrist between the lunate and the triquetral bones.</t>
  </si>
  <si>
    <t>Lunotriquetral Joint</t>
  </si>
  <si>
    <t>A muscle of the proximal arm/forelimb, in general extending from the scapula and humerus to the olecranon of the ulna; primary function is extension of humeroulnar joint.</t>
  </si>
  <si>
    <t>Triceps Brachii</t>
  </si>
  <si>
    <t>A fibrous membrane that attaches to, and provides support for, the tricuspid valve leaflets.</t>
  </si>
  <si>
    <t>Tricuspid Valve Annulus</t>
  </si>
  <si>
    <t>Right Atrioventricular Valve; Tricuspid Valve</t>
  </si>
  <si>
    <t>A cardiac valve located between the right atrium and ventricle.</t>
  </si>
  <si>
    <t>Tricuspid Valve</t>
  </si>
  <si>
    <t>The cusp of the tricuspid valve that is located between the atrioventricular orifice and the conus arteriosus.</t>
  </si>
  <si>
    <t>Anterior Cusp of the Tricuspid Valve</t>
  </si>
  <si>
    <t>The portion of the tricuspid valve annulus that attaches to both the posterior and lateral tricuspid valve leaflets.</t>
  </si>
  <si>
    <t>Posterior Annulus of the Tricuspid Valve</t>
  </si>
  <si>
    <t>The cusp of the tricuspid valve that is located posterior and on the margin of the right ventricle.</t>
  </si>
  <si>
    <t>Posterior Cusp of the Tricuspid Valve</t>
  </si>
  <si>
    <t>The cusp of the tricuspid valve that is attached to the right and left fibrous trigones and the atrial and ventricular septa.</t>
  </si>
  <si>
    <t>Septal Cusp of the Tricuspid Valve</t>
  </si>
  <si>
    <t>Fifth Cranial Nerve</t>
  </si>
  <si>
    <t>A cranial nerve extending from the pons, which innervates the skin, mucous membranes, and masticatory muscles of the head.</t>
  </si>
  <si>
    <t>Trigeminal Nerve</t>
  </si>
  <si>
    <t>Trochanter</t>
  </si>
  <si>
    <t>A bony protrusion on the femoral bone to which muscles are attached. (NCI)</t>
  </si>
  <si>
    <t>Trochlear Nerve</t>
  </si>
  <si>
    <t>The cranial nerve that controls the superior oblique muscle of the eye. (NCI)</t>
  </si>
  <si>
    <t>Torso</t>
  </si>
  <si>
    <t>The body excluding the head, neck and appendages.</t>
  </si>
  <si>
    <t>Trunk</t>
  </si>
  <si>
    <t>Tunica Intima</t>
  </si>
  <si>
    <t>The inner most layer of the blood vessel wall. The consistency of the intima will vary depending on the type of blood vessel, but will always have an endothelial layer with a basal lamina. It may contain collagen and elastic fibers. (NCI)</t>
  </si>
  <si>
    <t>Tympanic Membrane</t>
  </si>
  <si>
    <t>A thin membrane that separates the external auditory canal from the middle ear.</t>
  </si>
  <si>
    <t>The prismatic, elongated bony body of the ulna.</t>
  </si>
  <si>
    <t>Ulnar Shaft</t>
  </si>
  <si>
    <t>The bone that contains the olecranon process, lies between the radiohumeral joint and the carpus, and is adjacent to the radius.</t>
  </si>
  <si>
    <t>Ulna</t>
  </si>
  <si>
    <t>An artery of the forearm; in general it arises from the brachial artery just below the elbow and forms numerous branches supplying the forearm, wrist and hand.</t>
  </si>
  <si>
    <t>Ulnar Artery</t>
  </si>
  <si>
    <t>A nerve arising from spinal nerves C8, T1 and T2, which innervates the flexor muscles of the arm/forelimb and skin of the arm/forelimb and lateral manus.</t>
  </si>
  <si>
    <t>Ulnar Nerve</t>
  </si>
  <si>
    <t>Either of two arteries located in the umbilical cord.</t>
  </si>
  <si>
    <t>Umbilical Artery</t>
  </si>
  <si>
    <t>Extraembryonic structure that connects the fetus to the placenta.</t>
  </si>
  <si>
    <t>Umbilical Cord</t>
  </si>
  <si>
    <t>The vein located in the umbilical cord.</t>
  </si>
  <si>
    <t>Umbilical Vein</t>
  </si>
  <si>
    <t>Navel</t>
  </si>
  <si>
    <t>The depression or scar on the abdomen that marks the former site of attachment of the umbilical cord. (NCI)</t>
  </si>
  <si>
    <t>Umbilicus</t>
  </si>
  <si>
    <t>Uncinate Process of Pancreas</t>
  </si>
  <si>
    <t>A portion of the pancreas that extends behind the superior mesenteric artery and superior mesenteric vein. (NCI)</t>
  </si>
  <si>
    <t>A lymph node located in the upper region of the neck. (NCI)</t>
  </si>
  <si>
    <t>Upper Cervical Lymph Node</t>
  </si>
  <si>
    <t>The sinuses and those parts of the respiratory system above the trachea. It includes the nares, nasopharynx, oropharynx, larynx, vocal cords, glottis and upper trachea.</t>
  </si>
  <si>
    <t>Upper Respiratory System</t>
  </si>
  <si>
    <t>Upper Urinary Tract</t>
  </si>
  <si>
    <t>The division of the urinary tract comprising the kidney and the ureters.</t>
  </si>
  <si>
    <t>Upper Urinary System</t>
  </si>
  <si>
    <t>A cord of fibrous tissue that extends from the urinary bladder to the umbilicus; the urachus is a remnant of the fetal urinary canal.</t>
  </si>
  <si>
    <t>Urachus</t>
  </si>
  <si>
    <t>The tube that extends from each kidney to the urinary bladder.</t>
  </si>
  <si>
    <t>Ureter</t>
  </si>
  <si>
    <t>The opening of the ureter in the bladder that is situated at the lateral angle of the trigone.</t>
  </si>
  <si>
    <t>Ureteric Orifice</t>
  </si>
  <si>
    <t>The tube that extends from the urinary bladder to the urethral opening.</t>
  </si>
  <si>
    <t>Urethra</t>
  </si>
  <si>
    <t>Anterior Portion of the Urethra</t>
  </si>
  <si>
    <t>The portion of the urethra that extends from the meatus to the membranous urethra. (NCI)</t>
  </si>
  <si>
    <t>Penile Portion of the Urethra</t>
  </si>
  <si>
    <t>The portion of the urethra that spans the corpus spongiosum. (NCI)</t>
  </si>
  <si>
    <t>Posterior Portion of the Urethra</t>
  </si>
  <si>
    <t>The portion of the urethra that is located on the posterior aspect of the urogenital diaphragm. (NCI)</t>
  </si>
  <si>
    <t>Prostatic Urethra</t>
  </si>
  <si>
    <t>That part of the male urethra that passes through the prostate gland. (NCI)</t>
  </si>
  <si>
    <t>One or both of the muscles that surround the urethra and contract to control the flow of urine, either involuntarily (the internal sphincter) or voluntarily (the external sphincter).</t>
  </si>
  <si>
    <t>Urethral Sphincter</t>
  </si>
  <si>
    <t>Urinary System</t>
  </si>
  <si>
    <t>The organs involved in the creation and excretion of urine. (NCI)</t>
  </si>
  <si>
    <t>An artery that arises most often as a branch of the anterior division of the internal iliac artery; it continues medially in the pelvis within the base of the broad ligament, to the exterior surface of the uterus where it branches into the descending, transverse, and ascending divisions, which further branch into the following: the helicine branches that supply the uterus; the vaginal branch, which anastomoses with the vaginal artery to supply the vagina; the ovarian branch, which anastomoses with ovarian artery to supply the ovaries; and the tubal branch that supplies the fallopian tubes.</t>
  </si>
  <si>
    <t>Uterine Artery</t>
  </si>
  <si>
    <t>The portion of the uterus that connects the oviduct to the corpus uteri.</t>
  </si>
  <si>
    <t>Uterine Horn</t>
  </si>
  <si>
    <t>Uterus Wall</t>
  </si>
  <si>
    <t>The tissue that forms the wall of the uterus.</t>
  </si>
  <si>
    <t>Female Reproductive System Part</t>
  </si>
  <si>
    <t>Womb</t>
  </si>
  <si>
    <t>A hollow muscular organ within which the fertilized egg implants and the embryo/fetus develops during pregnancy.</t>
  </si>
  <si>
    <t>Uterus</t>
  </si>
  <si>
    <t>Uvea</t>
  </si>
  <si>
    <t>The pigmented layer of the eyeball between the tough, white outer coat of the eye and the retina. (NCI)</t>
  </si>
  <si>
    <t>Vagina</t>
  </si>
  <si>
    <t>The female genital canal, extending from the uterus to the vulva. (NCI)</t>
  </si>
  <si>
    <t>The tissue layers that enclose the vaginal canal. (NCI)</t>
  </si>
  <si>
    <t>Vaginal Wall</t>
  </si>
  <si>
    <t>Tenth Cranial Nerve</t>
  </si>
  <si>
    <t>A cranial nerve arising from the medulla oblongata, which provides efferent parasympathetic innervation to tissues and viscera in the neck, thorax and abdomen; it also includes somatic and visceral afferent nerve fibers.</t>
  </si>
  <si>
    <t>Vagus Nerve</t>
  </si>
  <si>
    <t>Ductus Deferens</t>
  </si>
  <si>
    <t>A duct carrying spermatozoa from the epididymides to the urethra.</t>
  </si>
  <si>
    <t>Vas Deferens</t>
  </si>
  <si>
    <t>A muscle in the quadriceps femoris muscle group between the vastus lateralis and vastus medialis deep to the rectus femoris; primary function is the extension of the femorotibial joint.</t>
  </si>
  <si>
    <t>Vastus Intermedius Muscle</t>
  </si>
  <si>
    <t>A muscle in the quadriceps femoris muscle group lateral to the vastus intermedius; primary function is the extension of the femorotibial joint.</t>
  </si>
  <si>
    <t>Vastus Lateralis</t>
  </si>
  <si>
    <t>A muscle in the quadriceps femoris muscle group medial to the vastus intermedius; primary function is the extension of the femorotibial joint.</t>
  </si>
  <si>
    <t>Vastus Medialis Muscle</t>
  </si>
  <si>
    <t>Vein</t>
  </si>
  <si>
    <t>A blood vessel that carries blood towards the heart.</t>
  </si>
  <si>
    <t>The two major veins (caudal or cranial) that carry deoxygenated blood from the body and drain into the right atrium of the heart.</t>
  </si>
  <si>
    <t>Vena Cava</t>
  </si>
  <si>
    <t>An endothelium-lined passageway or channel that drains venous blood.</t>
  </si>
  <si>
    <t>Venous Sinus</t>
  </si>
  <si>
    <t>Vertebra; Vertebral Bone</t>
  </si>
  <si>
    <t>One of the bones that make up the vertebral column.</t>
  </si>
  <si>
    <t>Vertebral Bone</t>
  </si>
  <si>
    <t>The first branch of the subclavian artery that ascends both sides of the neck and merges at the middle line to form the basilar artery at the level of the pons.</t>
  </si>
  <si>
    <t>Vertebral Artery</t>
  </si>
  <si>
    <t>Vertebral Column</t>
  </si>
  <si>
    <t>The series of vertebrae and other tissues extending from the skull to the last tailbone.</t>
  </si>
  <si>
    <t>Ureterovesical Junction; UVJ; VUJ</t>
  </si>
  <si>
    <t>The area where the ureter joins to the urinary bladder.</t>
  </si>
  <si>
    <t>Ureterovesical Junction</t>
  </si>
  <si>
    <t>The eighth cranial nerve.</t>
  </si>
  <si>
    <t>Vestibulocochlear Nerve</t>
  </si>
  <si>
    <t>Vocal Cord</t>
  </si>
  <si>
    <t>A pair of small bands of muscle that stretch from the thyroid cartilage in front to the arytenoid cartilage in back of the larynx. The vocal cords help prevent food entering the lungs and produce sound through vibration. (NCI)</t>
  </si>
  <si>
    <t>Vomer</t>
  </si>
  <si>
    <t>A thin, paired or unpaired, trapezoidal bone of the skull located in the floor of the nasal cavity. The vomer forms the posterior and inferior parts of the nasal septum. (NCI)</t>
  </si>
  <si>
    <t>The external, visible part of the female genitalia surrounding the urethral and vaginal opening(s).</t>
  </si>
  <si>
    <t>Vulva</t>
  </si>
  <si>
    <t>The body region comprising the vulva and vagina.</t>
  </si>
  <si>
    <t>Vulvovaginal Region</t>
  </si>
  <si>
    <t>Waist</t>
  </si>
  <si>
    <t>The abdominal circumference at the navel. (NCI)</t>
  </si>
  <si>
    <t>The ring of lymphoid tissue located in the pharynx, consisting of the pharyngeal, tubal, palatine, and lingual tonsils. (NCI)</t>
  </si>
  <si>
    <t>Waldeyer Ring</t>
  </si>
  <si>
    <t>An area of low density in the femoral neck, as seen by radiography, which is bounded by the principle compressive, secondary compressive and primary tensile trabeculae.</t>
  </si>
  <si>
    <t>Ward's Triangle</t>
  </si>
  <si>
    <t>Vibrissa; Vibrissae; Whisker</t>
  </si>
  <si>
    <t>Stiff sensory hairs that project outward from the snout.</t>
  </si>
  <si>
    <t>Whiskers</t>
  </si>
  <si>
    <t>A group of muscles in the upper extremity, the extensor carpi radialis longus, extensor carpi radialis brevis, extensor digitorum, extensor digiti minimi, extensor carpi ulnaris, extensor indicis, extensor pollicis longus, extensor pollicis brevis, and abductor pollicis longus muscles; primary function is extension and abduction of the wrist and extension of the fingers.</t>
  </si>
  <si>
    <t>Wrist Joint Extensor Muscles</t>
  </si>
  <si>
    <t>The tendons located along the back part of the forearm that cross to the thumb side of the wrist and connect muscles of the forearm to the base of hand bones, enabling extension of the wrist. (NCI)</t>
  </si>
  <si>
    <t>Wrist Joint Extensor Tendons</t>
  </si>
  <si>
    <t>A group of muscles in the upper extremity, the flexor carpi radialis, palmaris longus, flexor carpi ulnaris, flexor digitorum superficialis, flexor digitorum profundus, and flexor pollicis longus muscles; primary function is flexion, adduction, and abduction of the wrist, and flexion and adduction of the fingers.</t>
  </si>
  <si>
    <t>Wrist Joint Flexor Muscles</t>
  </si>
  <si>
    <t>The tendons located along the inside of the forearm that cross at the wrist and connect muscles of the forearm to wrist and hand bones, enabling flexion of the wrist. (NCI)</t>
  </si>
  <si>
    <t>Wrist Joint Flexor Tendons</t>
  </si>
  <si>
    <t>Radiocarpal Joint; Wrist</t>
  </si>
  <si>
    <t>A joint between the distal end of the radius and the proximal row of carpal bones. (NCI)</t>
  </si>
  <si>
    <t>Wrist Joint</t>
  </si>
  <si>
    <t>Xiphoid Process</t>
  </si>
  <si>
    <t>The cartilage just below the sternal body. (NCI)</t>
  </si>
  <si>
    <t>Cheekbone; Malar Bone; Zygomatic Buttress</t>
  </si>
  <si>
    <t>A bone of the eye socket that articulates with the maxilla, the temporal bone, the sphenoid bone and the frontal bone, to form the prominence of the cheek.</t>
  </si>
  <si>
    <t>Zygomatic Bone</t>
  </si>
  <si>
    <t>LAT</t>
  </si>
  <si>
    <t>C99073</t>
  </si>
  <si>
    <t>CL.C99073.LAT</t>
  </si>
  <si>
    <t>CDISC terminology for anatomical location or specimen further detailing the side(s) of interest.</t>
  </si>
  <si>
    <t>CDISC SDTM Laterality Terminology</t>
  </si>
  <si>
    <t>BILATERAL</t>
  </si>
  <si>
    <t>CONTRALATERAL</t>
  </si>
  <si>
    <t>IPSILATERAL</t>
  </si>
  <si>
    <t>LATERAL</t>
  </si>
  <si>
    <t>LEFT</t>
  </si>
  <si>
    <t>RIGHT</t>
  </si>
  <si>
    <t>UNILATERAL</t>
  </si>
  <si>
    <t>C13332</t>
  </si>
  <si>
    <t>C25307</t>
  </si>
  <si>
    <t>C25308</t>
  </si>
  <si>
    <t>C25230</t>
  </si>
  <si>
    <t>C25229</t>
  </si>
  <si>
    <t>C25228</t>
  </si>
  <si>
    <t>C28012</t>
  </si>
  <si>
    <t>Affecting both sides of the body, or a pair of organs.</t>
  </si>
  <si>
    <t>Bilateral</t>
  </si>
  <si>
    <t>Having to do with the opposite side of the body, in relation to a pre-existing reference point.</t>
  </si>
  <si>
    <t>Contralateral</t>
  </si>
  <si>
    <t>Having to do with the same side of the body, in relation to a pre-existing reference point.</t>
  </si>
  <si>
    <t>Ipsilateral</t>
  </si>
  <si>
    <t>Situated at or extending to the side.</t>
  </si>
  <si>
    <t>Lateral</t>
  </si>
  <si>
    <t>Being or located on or directed toward the side of the body to the west when facing north.</t>
  </si>
  <si>
    <t>Left</t>
  </si>
  <si>
    <t>Being or located on or directed toward the side of the body to the east when facing north.</t>
  </si>
  <si>
    <t>Right</t>
  </si>
  <si>
    <t>Affecting one side of the body or one of a pair of organs.</t>
  </si>
  <si>
    <t>Unilateral</t>
  </si>
  <si>
    <t>CL.C99074.DIR</t>
  </si>
  <si>
    <t>DIR</t>
  </si>
  <si>
    <t>C99074</t>
  </si>
  <si>
    <t>CDISC terminology for anatomical location or specimen further detailing directionality.</t>
  </si>
  <si>
    <t>CDISC SDTM Directionality Terminology</t>
  </si>
  <si>
    <t>ANTERIOR</t>
  </si>
  <si>
    <t>ANTEROLATERAL</t>
  </si>
  <si>
    <t>ANTEROMEDIAL</t>
  </si>
  <si>
    <t>ANTEROPOSTERIOR</t>
  </si>
  <si>
    <t>ANTEROTEMPORAL</t>
  </si>
  <si>
    <t>APICAL</t>
  </si>
  <si>
    <t>BASAL</t>
  </si>
  <si>
    <t>CAUDAL</t>
  </si>
  <si>
    <t>CENTRAL</t>
  </si>
  <si>
    <t>CRANIAL</t>
  </si>
  <si>
    <t>CRANIOCAUDAL</t>
  </si>
  <si>
    <t>DEEP</t>
  </si>
  <si>
    <t>DISTAL VOLAR</t>
  </si>
  <si>
    <t>DISTAL</t>
  </si>
  <si>
    <t>DORSAL</t>
  </si>
  <si>
    <t>DORSOLATERAL</t>
  </si>
  <si>
    <t>FACIAL</t>
  </si>
  <si>
    <t>FORE</t>
  </si>
  <si>
    <t>FRONTAL</t>
  </si>
  <si>
    <t>HIND</t>
  </si>
  <si>
    <t>INFERIOR</t>
  </si>
  <si>
    <t>INNER</t>
  </si>
  <si>
    <t>INTERMEDIATE</t>
  </si>
  <si>
    <t>LOWER EXTENSOR SURFACE</t>
  </si>
  <si>
    <t>LOWER FLEXOR SURFACE</t>
  </si>
  <si>
    <t>LOWER MEDIAL</t>
  </si>
  <si>
    <t>LOWER</t>
  </si>
  <si>
    <t>MEDIAL</t>
  </si>
  <si>
    <t>MIDLINE</t>
  </si>
  <si>
    <t>OCCIPITAL</t>
  </si>
  <si>
    <t>OUTER</t>
  </si>
  <si>
    <t>PARIETO-OCCIPITAL</t>
  </si>
  <si>
    <t>PERIPHERAL</t>
  </si>
  <si>
    <t>PERIVENTRICULAR</t>
  </si>
  <si>
    <t>POSTERIOR</t>
  </si>
  <si>
    <t>PROXIMAL VOLAR</t>
  </si>
  <si>
    <t>PROXIMAL</t>
  </si>
  <si>
    <t>ROSTRAL</t>
  </si>
  <si>
    <t>SEPTAL</t>
  </si>
  <si>
    <t>SUBCORTICAL</t>
  </si>
  <si>
    <t>SUPERFICIAL</t>
  </si>
  <si>
    <t>SUPERIOR</t>
  </si>
  <si>
    <t>SURFACE</t>
  </si>
  <si>
    <t>TEMPORAL</t>
  </si>
  <si>
    <t>TIP</t>
  </si>
  <si>
    <t>UPPER EXTENSOR SURFACE</t>
  </si>
  <si>
    <t>UPPER FLEXOR SURFACE</t>
  </si>
  <si>
    <t>UPPER</t>
  </si>
  <si>
    <t>VENTRAL</t>
  </si>
  <si>
    <t>VENTROLATERAL</t>
  </si>
  <si>
    <t>VOLAR</t>
  </si>
  <si>
    <t>C25231</t>
  </si>
  <si>
    <t>C25422</t>
  </si>
  <si>
    <t>C147159</t>
  </si>
  <si>
    <t>C85512</t>
  </si>
  <si>
    <t>C165868</t>
  </si>
  <si>
    <t>C25423</t>
  </si>
  <si>
    <t>C90067</t>
  </si>
  <si>
    <t>C73851</t>
  </si>
  <si>
    <t>C25445</t>
  </si>
  <si>
    <t>C37936</t>
  </si>
  <si>
    <t>C186020</t>
  </si>
  <si>
    <t>C25240</t>
  </si>
  <si>
    <t>C147160</t>
  </si>
  <si>
    <t>C25237</t>
  </si>
  <si>
    <t>C45874</t>
  </si>
  <si>
    <t>C90376</t>
  </si>
  <si>
    <t>C161327</t>
  </si>
  <si>
    <t>C90386</t>
  </si>
  <si>
    <t>C161325</t>
  </si>
  <si>
    <t>C90393</t>
  </si>
  <si>
    <t>C25353</t>
  </si>
  <si>
    <t>C37980</t>
  </si>
  <si>
    <t>C73705</t>
  </si>
  <si>
    <t>C147161</t>
  </si>
  <si>
    <t>C147162</t>
  </si>
  <si>
    <t>C147163</t>
  </si>
  <si>
    <t>C25309</t>
  </si>
  <si>
    <t>C25232</t>
  </si>
  <si>
    <t>C81170</t>
  </si>
  <si>
    <t>C27958</t>
  </si>
  <si>
    <t>C161326</t>
  </si>
  <si>
    <t>C38166</t>
  </si>
  <si>
    <t>C170564</t>
  </si>
  <si>
    <t>C25233</t>
  </si>
  <si>
    <t>C165869</t>
  </si>
  <si>
    <t>C25622</t>
  </si>
  <si>
    <t>C147164</t>
  </si>
  <si>
    <t>C25236</t>
  </si>
  <si>
    <t>C94393</t>
  </si>
  <si>
    <t>C186021</t>
  </si>
  <si>
    <t>C165870</t>
  </si>
  <si>
    <t>C25239</t>
  </si>
  <si>
    <t>C25235</t>
  </si>
  <si>
    <t>C25245</t>
  </si>
  <si>
    <t>C117754</t>
  </si>
  <si>
    <t>C90069</t>
  </si>
  <si>
    <t>C147165</t>
  </si>
  <si>
    <t>C147166</t>
  </si>
  <si>
    <t>C25355</t>
  </si>
  <si>
    <t>C45875</t>
  </si>
  <si>
    <t>C98798</t>
  </si>
  <si>
    <t>C147167</t>
  </si>
  <si>
    <t>Denoting the front portion of the body or a structure.</t>
  </si>
  <si>
    <t>Anterior</t>
  </si>
  <si>
    <t>Denoting the area of the body in front of and away from the middle line.</t>
  </si>
  <si>
    <t>Anterolateral</t>
  </si>
  <si>
    <t>Denoting the front portion of the body towards the median plane.</t>
  </si>
  <si>
    <t>Anteromedial</t>
  </si>
  <si>
    <t>Directed from front to back.</t>
  </si>
  <si>
    <t>Anteroposterior Orientation</t>
  </si>
  <si>
    <t>Denoting the front portion of the body toward the temple.</t>
  </si>
  <si>
    <t>Anterotemporal</t>
  </si>
  <si>
    <t>Relating to or located at the apex.</t>
  </si>
  <si>
    <t>Apical</t>
  </si>
  <si>
    <t>Relating to or located at the lowest portion of a structure.</t>
  </si>
  <si>
    <t>Basal</t>
  </si>
  <si>
    <t>Toward the tail in a body.</t>
  </si>
  <si>
    <t>Caudal</t>
  </si>
  <si>
    <t>A point or area that is approximately central within some larger region or structure. (NCI)</t>
  </si>
  <si>
    <t>Center</t>
  </si>
  <si>
    <t>Toward the head in a body.</t>
  </si>
  <si>
    <t>Cranial</t>
  </si>
  <si>
    <t>Pertaining to an anatomical plane extending between the cranial (towards the head) and caudal (towards the tail) portions of a body.</t>
  </si>
  <si>
    <t>Craniocaudal Plane</t>
  </si>
  <si>
    <t>Extending relatively far inward. (NCI)</t>
  </si>
  <si>
    <t>Deep</t>
  </si>
  <si>
    <t>Pertaining to the farthest portion from the palm side of a hand or the sole side of a foot.</t>
  </si>
  <si>
    <t>Distal Volar</t>
  </si>
  <si>
    <t>Situated farthest from a point of reference.</t>
  </si>
  <si>
    <t>Distal</t>
  </si>
  <si>
    <t>Pertaining to the back or upper surface of the body.</t>
  </si>
  <si>
    <t>Dorsal</t>
  </si>
  <si>
    <t>Toward the back and side of a body.</t>
  </si>
  <si>
    <t>Dorsolateral</t>
  </si>
  <si>
    <t>Of, or related to, or in the direction of the face. (NCI)</t>
  </si>
  <si>
    <t>Facial</t>
  </si>
  <si>
    <t>Of or involving the front of a main body. (NCI)</t>
  </si>
  <si>
    <t>Fore</t>
  </si>
  <si>
    <t>Of, or related to, or in the direction of the front of the body, structure, or object. (NCI)</t>
  </si>
  <si>
    <t>Frontal</t>
  </si>
  <si>
    <t>Of or involving the back of a main body. (NCI)</t>
  </si>
  <si>
    <t>Hind</t>
  </si>
  <si>
    <t>Pertaining to a point below a given reference point.</t>
  </si>
  <si>
    <t>Inferior</t>
  </si>
  <si>
    <t>Inside or closer to the inside of the body or object. (NCI)</t>
  </si>
  <si>
    <t>Inner</t>
  </si>
  <si>
    <t>Located between two points or extremes.</t>
  </si>
  <si>
    <t>Intermediate</t>
  </si>
  <si>
    <t>Pertaining to the lower portion of the surface on the opposite side of the joint when it bends.</t>
  </si>
  <si>
    <t>Lower Extensor Surface</t>
  </si>
  <si>
    <t>Pertaining to the lower portion of the surface on the same side of the joint when it bends.</t>
  </si>
  <si>
    <t>Lower Flexor Surface</t>
  </si>
  <si>
    <t>Denoting the lower portion of the body towards the median plane.</t>
  </si>
  <si>
    <t>Lower Medial</t>
  </si>
  <si>
    <t>The bottom one of two. (NCI)</t>
  </si>
  <si>
    <t>Lower</t>
  </si>
  <si>
    <t>Toward the middle or in a limb toward the median plane.</t>
  </si>
  <si>
    <t>Medial</t>
  </si>
  <si>
    <t>A medial line, especially the medial line or medial plane of the body (or some part of the body).</t>
  </si>
  <si>
    <t>Midline</t>
  </si>
  <si>
    <t>Of, or related to, or in the direction of the nose.</t>
  </si>
  <si>
    <t>Nasal</t>
  </si>
  <si>
    <t>Of, or related to, or in the direction of the occiput, or back of the head. (NCI)</t>
  </si>
  <si>
    <t>Occipital</t>
  </si>
  <si>
    <t>Being on or toward the outside of the body or object. (NCI)</t>
  </si>
  <si>
    <t>Outer</t>
  </si>
  <si>
    <t>Of, or related to, the area of the body where the parietal and occipital lobes of the brain meet.</t>
  </si>
  <si>
    <t>Parieto-Occipital</t>
  </si>
  <si>
    <t>On or near an edge or constituting an outer boundary; the outer area. (NCI)</t>
  </si>
  <si>
    <t>Peripheral</t>
  </si>
  <si>
    <t>Of, or pertaining to, the area surrounding the ventricles of the brain.</t>
  </si>
  <si>
    <t>Periventricular</t>
  </si>
  <si>
    <t>Denoting the back portion of the body or a structure.</t>
  </si>
  <si>
    <t>Posterior</t>
  </si>
  <si>
    <t>Pertaining to the nearest portion from the palm side of a hand or the sole side of a foot.</t>
  </si>
  <si>
    <t>Proximal Volar</t>
  </si>
  <si>
    <t>Situated nearest to a point of reference.</t>
  </si>
  <si>
    <t>Proximal</t>
  </si>
  <si>
    <t>Toward the muzzle in the head.</t>
  </si>
  <si>
    <t>Rostral</t>
  </si>
  <si>
    <t>Of, or related to, or in the direction of, an anatomical septum.</t>
  </si>
  <si>
    <t>Septal</t>
  </si>
  <si>
    <t>Denoting the area below a cortex.</t>
  </si>
  <si>
    <t>Subcortical</t>
  </si>
  <si>
    <t>Of or pertaining to the exterior surface. (NCI)</t>
  </si>
  <si>
    <t>Superficial</t>
  </si>
  <si>
    <t>Pertaining to a point above a given reference point.</t>
  </si>
  <si>
    <t>Superior</t>
  </si>
  <si>
    <t>The extended two-dimensional outer layer or area of a three-dimensional object. (NCI)</t>
  </si>
  <si>
    <t>Surface</t>
  </si>
  <si>
    <t>Of, or related to, or in the direction of the anatomic sites that are located in the temple.</t>
  </si>
  <si>
    <t>Temporal Anatomic Qualifier</t>
  </si>
  <si>
    <t>The pointed end of a structure.</t>
  </si>
  <si>
    <t>Tip</t>
  </si>
  <si>
    <t>Pertaining to the upper portion of the surface on the opposite side of the joint when it bends.</t>
  </si>
  <si>
    <t>Upper Extensor Surface</t>
  </si>
  <si>
    <t>Pertaining to the upper portion of the surface on the same side of the joint when it bends.</t>
  </si>
  <si>
    <t>Upper Flexor Surface</t>
  </si>
  <si>
    <t>The top one of two.</t>
  </si>
  <si>
    <t>Upper</t>
  </si>
  <si>
    <t>Pertaining to the front or lower surface of the body.</t>
  </si>
  <si>
    <t>Ventral</t>
  </si>
  <si>
    <t>Of or pertaining to the front and side of a main body. (NCI)</t>
  </si>
  <si>
    <t>Ventrolateral</t>
  </si>
  <si>
    <t>Pertaining to the palm side of a hand or the sole side of a foot.</t>
  </si>
  <si>
    <t>Volar</t>
  </si>
  <si>
    <t>STUDYID, USUBJID, ECTRT, ECSTDTC, ECMOOD</t>
  </si>
  <si>
    <t>https://www.cdisc.org/system/files/members/standard/foundational/SDTMIG%20v3.4-FINAL_2022-07-21.pdf#page=107</t>
  </si>
  <si>
    <t>DOMAIN="EC"</t>
  </si>
  <si>
    <t>ECSEQ</t>
  </si>
  <si>
    <t>ECGRPID</t>
  </si>
  <si>
    <t>ECREFID</t>
  </si>
  <si>
    <t>ECSPID</t>
  </si>
  <si>
    <t>ECLNKID</t>
  </si>
  <si>
    <t>ECLNKGRP</t>
  </si>
  <si>
    <t>ECTRT</t>
  </si>
  <si>
    <t>ECMOOD</t>
  </si>
  <si>
    <t>ECCAT</t>
  </si>
  <si>
    <t>ECSCAT</t>
  </si>
  <si>
    <t>ECPRESP</t>
  </si>
  <si>
    <t>ECOCCUR</t>
  </si>
  <si>
    <t>ECREASOC</t>
  </si>
  <si>
    <t>ECDOSE</t>
  </si>
  <si>
    <t>ECDOSTXT</t>
  </si>
  <si>
    <t>ECDOSU</t>
  </si>
  <si>
    <t>ECDOSFRM</t>
  </si>
  <si>
    <t>ECDOSFRQ</t>
  </si>
  <si>
    <t>ECDOSTOT</t>
  </si>
  <si>
    <t>ECDOSRGM</t>
  </si>
  <si>
    <t>ECROUTE</t>
  </si>
  <si>
    <t>ECLOT</t>
  </si>
  <si>
    <t>ECLOC</t>
  </si>
  <si>
    <t>ECLAT</t>
  </si>
  <si>
    <t>ECDIR</t>
  </si>
  <si>
    <t>ECPORTOT</t>
  </si>
  <si>
    <t>ECFAST</t>
  </si>
  <si>
    <t>ECPSTRG</t>
  </si>
  <si>
    <t>ECPSTRGU</t>
  </si>
  <si>
    <t>ECADJ</t>
  </si>
  <si>
    <t>ECSTDTC</t>
  </si>
  <si>
    <t>ECENDTC</t>
  </si>
  <si>
    <t>ECSTDY</t>
  </si>
  <si>
    <t>ECENDY</t>
  </si>
  <si>
    <t>ECDUR</t>
  </si>
  <si>
    <t>ECTPT</t>
  </si>
  <si>
    <t>ECTPTNUM</t>
  </si>
  <si>
    <t>ECELTM</t>
  </si>
  <si>
    <t>ECTPTREF</t>
  </si>
  <si>
    <t>ECRFTDTC</t>
  </si>
  <si>
    <t>Mood</t>
  </si>
  <si>
    <t>Pre-Specified</t>
  </si>
  <si>
    <t>Portion or Totality</t>
  </si>
  <si>
    <t>Pharmaceutical Strength</t>
  </si>
  <si>
    <t>Pharmaceutical Strength Units</t>
  </si>
  <si>
    <t>Name of the intervention treatment known to the subject and/or administrator.</t>
  </si>
  <si>
    <t>Mode or condition of the record specifying whether the intervention (activity) is intended to happen or has happened. Values align with BRIDG pillars (e.g., scheduled context, performed context) and HL7 activity moods (e.g., intent, event). Examples: "SCHEDULED", "PERFORMED".</t>
  </si>
  <si>
    <t>Used to define a category of related ECTRT values.</t>
  </si>
  <si>
    <t>A further categorization of ECCAT values.</t>
  </si>
  <si>
    <t>Used when a specific intervention is prespecified. Values should be "Y" or null.</t>
  </si>
  <si>
    <t>Used to indicate whether a treatment occurred when information about the occurrence is solicited. ECOCCUR = "N" when a treatment was not taken, not given, or missed.</t>
  </si>
  <si>
    <t>The reason for the value in --OCCUR. If --OCCUR = "N", this is the reason the exposure did not occur.</t>
  </si>
  <si>
    <t>Amount of ECTRT when numeric. Not populated when ECDOSTXT is populated.</t>
  </si>
  <si>
    <t>Amount of ECTRT when non-numeric. Dosing amounts or a range of dosing information collected in text form. Example: "200-400". Not populated when ECDOSE is populated.</t>
  </si>
  <si>
    <t>Units for ECDOSE, ECDOSTOT, or ECDOSTXT.</t>
  </si>
  <si>
    <t>Dose form for ECTRT. Examples: "TABLET", "LOTION".</t>
  </si>
  <si>
    <t>Usually expressed as the number of repeated administrations of ECDOSE within a specific time period. Examples: "Q2H", "QD", "BID".</t>
  </si>
  <si>
    <t>Total daily dose of ECTRT using the units in ECDOSU. Used when dosing is collected as total daily dose.</t>
  </si>
  <si>
    <t>Text description of the intended schedule or regimen for the Intervention. Example: "TWO WEEKS ON", "TWO WEEKS OFF".</t>
  </si>
  <si>
    <t>Lot number of the ECTRT product.</t>
  </si>
  <si>
    <t>Specifies location of administration. Example: "ARM", "LIP".</t>
  </si>
  <si>
    <t>Qualifier for anatomical location further detailing distribution (i.e., arrangement of, apportioning of). Examples: "ENTIRE", "SINGLE", "SEGMENT".</t>
  </si>
  <si>
    <t>Amount of an active ingredient expressed quantitatively per dosage unit, per unit of volume, or per unit of weight, according to the pharmaceutical dose form.</t>
  </si>
  <si>
    <t>Unit for ECPSTRG. Examples: "mg/TABLET", "mg/mL".</t>
  </si>
  <si>
    <t>Trial epoch of the exposure as collected record. Examples: "RUN-IN", "TREATMENT".</t>
  </si>
  <si>
    <t>The date/time when administration of the treatment indicated by ECTRT and ECDOSE began.</t>
  </si>
  <si>
    <t>The date/time when administration of the treatment indicated by ECTRT and ECDOSE ended. For administrations considered given at a point in time (e.g., oral tablet, pre-filled syringe injection), where only an administration date/time is collected, ECSTDTC should be copied to ECENDTC as the standard representation.</t>
  </si>
  <si>
    <t>Study day of ECSTDTC relative to the sponsor-defined DM.RFSTDTC.</t>
  </si>
  <si>
    <t>Study day of ECENDTC relative to the sponsor-defined DM.RFSTDTC.</t>
  </si>
  <si>
    <t>Text description of time when administration should occur. This may be represented as an elapsed time relative to a fixed reference point, such as time of last dose. See ECTPTNUM and ECTPTREF.</t>
  </si>
  <si>
    <t>Numerical version of ECTPT to aid in sorting.</t>
  </si>
  <si>
    <t>Planned elapsed time relative to the planned fixed reference (ECTPTREF). This variable is useful where there are repetitive measures. Not a clock time.</t>
  </si>
  <si>
    <t>Name of the fixed reference point referred to by ECELTM, ECTPTNUM, and ECTPT. Examples: "PREVIOUS DOSE", "PREVIOUS MEAL".</t>
  </si>
  <si>
    <t>Date/time for a fixed reference time point defined by ECTPTREF.</t>
  </si>
  <si>
    <t>One record per protocol-specified study treatment, collected-dosing interval, per subject, per mood</t>
  </si>
  <si>
    <t>C125923</t>
  </si>
  <si>
    <t>BRIDG Activity Mood</t>
  </si>
  <si>
    <t>BRDGMOOD</t>
  </si>
  <si>
    <t>The modes that may be applied to an entity as it passes through various phases of a life cycle or business process.</t>
  </si>
  <si>
    <t>CDISC SDTM BRIDG Activity Mood Terminology</t>
  </si>
  <si>
    <t>PERFORMED</t>
  </si>
  <si>
    <t>SCHEDULED</t>
  </si>
  <si>
    <t>C38000</t>
  </si>
  <si>
    <t>C125937</t>
  </si>
  <si>
    <t>To execute and carry through to completion.</t>
  </si>
  <si>
    <t>Performed</t>
  </si>
  <si>
    <t>To order a planned list of activities or events.</t>
  </si>
  <si>
    <t>Scheduled</t>
  </si>
  <si>
    <t>CL.C125923.BRDGMOOD</t>
  </si>
  <si>
    <t>Portion/Totality</t>
  </si>
  <si>
    <t>PORTOT</t>
  </si>
  <si>
    <t>C99075</t>
  </si>
  <si>
    <t>Qualifier for anatomical location or specimen further detailing the portion or totality, which means arrangement of, or apportioning of an entity.</t>
  </si>
  <si>
    <t>CDISC SDTM Portion/Totality Terminology</t>
  </si>
  <si>
    <t>ALL</t>
  </si>
  <si>
    <t>ENTIRE</t>
  </si>
  <si>
    <t>HEMI</t>
  </si>
  <si>
    <t>MULTIPLE</t>
  </si>
  <si>
    <t>PARTIAL</t>
  </si>
  <si>
    <t>SEGMENT</t>
  </si>
  <si>
    <t>SINGLE</t>
  </si>
  <si>
    <t>C64916</t>
  </si>
  <si>
    <t>C25326</t>
  </si>
  <si>
    <t>C81009</t>
  </si>
  <si>
    <t>C17648</t>
  </si>
  <si>
    <t>C25378</t>
  </si>
  <si>
    <t>C45312</t>
  </si>
  <si>
    <t>C48440</t>
  </si>
  <si>
    <t>Being or representing the total number of individual entities.</t>
  </si>
  <si>
    <t>All</t>
  </si>
  <si>
    <t>Whole</t>
  </si>
  <si>
    <t>Being or representing the complete extent of a single entity.</t>
  </si>
  <si>
    <t>Of or pertaining to one half of a whole.</t>
  </si>
  <si>
    <t>Half</t>
  </si>
  <si>
    <t>More than one. (NCI)</t>
  </si>
  <si>
    <t>Multiple</t>
  </si>
  <si>
    <t>Being or representing an incomplete extent of a single entity.</t>
  </si>
  <si>
    <t>Partial</t>
  </si>
  <si>
    <t>One of the parts into which something is divided.</t>
  </si>
  <si>
    <t>Segment</t>
  </si>
  <si>
    <t>One.</t>
  </si>
  <si>
    <t>Single</t>
  </si>
  <si>
    <t>CL.C99075.PORTOT</t>
  </si>
  <si>
    <t>One record per recorded procedure per occurrence per subject</t>
  </si>
  <si>
    <t>STUDYID, USUBJID, PRTRT, PRSTDTC</t>
  </si>
  <si>
    <t>pr.xpt</t>
  </si>
  <si>
    <t>DOMAIN="PR"</t>
  </si>
  <si>
    <t>https://www.cdisc.org/system/files/members/standard/foundational/SDTMIG%20v3.4-FINAL_2022-07-21.pdf#page=125</t>
  </si>
  <si>
    <t>PRSEQ</t>
  </si>
  <si>
    <t>PRGRPID</t>
  </si>
  <si>
    <t>PRSPID</t>
  </si>
  <si>
    <t>PRLNKID</t>
  </si>
  <si>
    <t>PRLNKGRP</t>
  </si>
  <si>
    <t>PRTRT</t>
  </si>
  <si>
    <t>Reported Name of Procedure</t>
  </si>
  <si>
    <t>PRDECOD</t>
  </si>
  <si>
    <t>Standardized Procedure Name</t>
  </si>
  <si>
    <t>PRCAT</t>
  </si>
  <si>
    <t>Category</t>
  </si>
  <si>
    <t>PRSCAT</t>
  </si>
  <si>
    <t>Subcategory</t>
  </si>
  <si>
    <t>PRPRESP</t>
  </si>
  <si>
    <t>PROCCUR</t>
  </si>
  <si>
    <t>PRINDC</t>
  </si>
  <si>
    <t>PRDOSE</t>
  </si>
  <si>
    <t>PRDOSTXT</t>
  </si>
  <si>
    <t>PRDOSU</t>
  </si>
  <si>
    <t>PRDOSFRM</t>
  </si>
  <si>
    <t>PRDOSFRQ</t>
  </si>
  <si>
    <t>PRDOSRGM</t>
  </si>
  <si>
    <t>PRROUTE</t>
  </si>
  <si>
    <t>PRLOC</t>
  </si>
  <si>
    <t>Location of Procedure</t>
  </si>
  <si>
    <t>PRLAT</t>
  </si>
  <si>
    <t>PRDIR</t>
  </si>
  <si>
    <t>PRPORTOT</t>
  </si>
  <si>
    <t>PRSTDTC</t>
  </si>
  <si>
    <t>Start Date/Time of Procedure</t>
  </si>
  <si>
    <t>PRENDTC</t>
  </si>
  <si>
    <t>End Date/Time of Procedure</t>
  </si>
  <si>
    <t>PRSTDY</t>
  </si>
  <si>
    <t>Study Day of Start of Procedure</t>
  </si>
  <si>
    <t>PRENDY</t>
  </si>
  <si>
    <t>Study Day of End of Procedure</t>
  </si>
  <si>
    <t>PRDUR</t>
  </si>
  <si>
    <t>Duration of Procedure</t>
  </si>
  <si>
    <t>PRTPT</t>
  </si>
  <si>
    <t>PRTPTNUM</t>
  </si>
  <si>
    <t>PRELTM</t>
  </si>
  <si>
    <t>PRTPTREF</t>
  </si>
  <si>
    <t>PRRFTDTC</t>
  </si>
  <si>
    <t>PRSTRTPT</t>
  </si>
  <si>
    <t>PRSTTPT</t>
  </si>
  <si>
    <t>PRENRTPT</t>
  </si>
  <si>
    <t>PRENTPT</t>
  </si>
  <si>
    <t>Used to link together a block of related records within a subject in a domain.</t>
  </si>
  <si>
    <t>Sponsor-defined identifier. Example: preprinted line identifier on a CRF, record identifier defined in the sponsor's operational database.</t>
  </si>
  <si>
    <t>Used to facilitate identification of relationships between records.</t>
  </si>
  <si>
    <t>Name of procedure performed, either preprinted or collected on a CRF.</t>
  </si>
  <si>
    <t>Standardized or dictionary-derived name of PRTRT. If the codelist "PROCEDUR" is not used, the sponsor is expected to provide the dictionary name and version used to map the terms in the external codelist element in the Define-XML document. If an intervention term does not have a decode value, then PRDECOD will be null.</t>
  </si>
  <si>
    <t>Used to define a category of procedure values.</t>
  </si>
  <si>
    <t>Used to define a further categorization of PRCAT values.</t>
  </si>
  <si>
    <t>Used when a specific procedure is pre-specified on a CRF. Values should be "Y" or null.</t>
  </si>
  <si>
    <t>Used to record whether a prespecified procedure occurred when information about the occurrence of a specific procedure is solicited.</t>
  </si>
  <si>
    <t>Denotes the indication for the procedure (e.g., why the procedure was performed).</t>
  </si>
  <si>
    <t>Amount of PRTRT administered. Not populated when PRDOSTXT is populated.</t>
  </si>
  <si>
    <t>Dosing information collected in text form. Examples: "&lt;1", "200-400". Not populated when PRDOSE is populated.</t>
  </si>
  <si>
    <t>Units for PRDOSE, PRDOSTOT, or PRDOSTXT.</t>
  </si>
  <si>
    <t>Dose form for PRTRT.</t>
  </si>
  <si>
    <t>Usually expressed as the number of doses given per a specific interval.</t>
  </si>
  <si>
    <t>Text description of the intended schedule or regimen for the procedure.</t>
  </si>
  <si>
    <t>Route of administration for PRTRT.</t>
  </si>
  <si>
    <t>Anatomical location of a procedure.</t>
  </si>
  <si>
    <t>Qualifier for anatomical location or specimen further detailing laterality.</t>
  </si>
  <si>
    <t>Qualifier for anatomical location or specimen further detailing directionality.</t>
  </si>
  <si>
    <t>Qualifier for anatomical location or specimen further detailing the distribution, which means arrangement of, apportioning of.</t>
  </si>
  <si>
    <t>Epoch associated with the start date/time of the procedure.</t>
  </si>
  <si>
    <t>Start date/time of the procedure represented in ISO 8601 character format.</t>
  </si>
  <si>
    <t>End date/time of the procedure represented in ISO 8601 character format.</t>
  </si>
  <si>
    <t>Study day of start of procedure expressed in integer days relative to the sponsor-defined RFSTDTC in Demographics.</t>
  </si>
  <si>
    <t>Study day of end of procedure expressed in integer days relative to the sponsor-defined RFSTDTC in Demographics.</t>
  </si>
  <si>
    <t>Collected duration of a procedure represented in ISO 8601 character format. Used only if collected on the CRF and not derived from start and end date/times.</t>
  </si>
  <si>
    <t>Text description of time when a procedure should be performed. This may be represented as an elapsed time relative to a fixed reference point, such as time of last dose. See PRTPTNUM and PRTPTREF.</t>
  </si>
  <si>
    <t>Numerical version of planned time point used in sorting.</t>
  </si>
  <si>
    <t>Planned elapsed time in ISO 8601 format relative to a planned fixed reference (PRTPTREF). This variable is useful where there are repetitive measures. Not a clock time or a date/time variable, but an interval, represented as ISO duration.</t>
  </si>
  <si>
    <t>Description of the fixed reference point referred to by PRELTM, PRTPTNUM, and PRTPT.</t>
  </si>
  <si>
    <t>Date/time for a fixed reference time point defined by PRTRTREF in ISO 8601 character format.</t>
  </si>
  <si>
    <t>Identifies the start of the observation as being before or after the sponsor-defined reference time point defined by variable PRSTTPT. \n Not all values of the codelist are allowable for this variable. See Section 4.4.7, Use of Relative Timing Variables.</t>
  </si>
  <si>
    <t>Description or date/time in ISO 8601 character format of the sponsor-defined reference point referred to by PRSTRTPT. Examples: "2003-12-15", "VISIT 1".</t>
  </si>
  <si>
    <t>Identifies the end of the observation as being before or after the sponsor-defined reference time point defined by variable PRENTPT. \n Not all values of the codelist are allowable for this variable. See Section 4.4.7, Use of Relative Timing Variables.</t>
  </si>
  <si>
    <t>Description or date/time in ISO 8601 character format of the sponsor-defined reference point referred to by PRENRTPT. Examples: "2003-12-25", "VISIT 2".</t>
  </si>
  <si>
    <t>Procedure</t>
  </si>
  <si>
    <t>PROCEDUR</t>
  </si>
  <si>
    <t>C101858</t>
  </si>
  <si>
    <t>A terminology codelist to describe any activity considered to be a therapeutic or diagnostic procedure.</t>
  </si>
  <si>
    <t>CDISC SDTM Procedure Terminology</t>
  </si>
  <si>
    <t>CL.C101858.PROCEDUR</t>
  </si>
  <si>
    <t>3D CONFORMAL RADIATION THERAPY</t>
  </si>
  <si>
    <t>ABLATION</t>
  </si>
  <si>
    <t>ABLATION, ACCESSORY PATHWAYS</t>
  </si>
  <si>
    <t>ABLATION, ATRIAL</t>
  </si>
  <si>
    <t>ABLATION, AV NODE</t>
  </si>
  <si>
    <t>ABLATION, CHEMICAL</t>
  </si>
  <si>
    <t>ABLATION, LASER</t>
  </si>
  <si>
    <t>ABLATION, VENTRICULAR</t>
  </si>
  <si>
    <t>AORTIC BALLOON VALVOTOMY</t>
  </si>
  <si>
    <t>AORTIC VALVE REPLACEMENT</t>
  </si>
  <si>
    <t>ARTIFICIAL HEART IMPLANTATION</t>
  </si>
  <si>
    <t>ATRIAL SEPTAL CLOSURE</t>
  </si>
  <si>
    <t>BILEVEL POSITIVE AIRWAY PRESSURE VENTILATION</t>
  </si>
  <si>
    <t>BILOBECTOMY</t>
  </si>
  <si>
    <t>BIOPSY</t>
  </si>
  <si>
    <t>BIOPSY, CORE</t>
  </si>
  <si>
    <t>BIOPSY, EXCISIONAL</t>
  </si>
  <si>
    <t>BIOPSY, INCISIONAL</t>
  </si>
  <si>
    <t>BIOPSY, PUNCH</t>
  </si>
  <si>
    <t>BIVENTRICULAR DEFIBRILLATING CARDIAC PACEMAKER IMPLANTATION</t>
  </si>
  <si>
    <t>BLOOD ULTRAFILTRATION</t>
  </si>
  <si>
    <t>BONE MARROW TRANSPLANT</t>
  </si>
  <si>
    <t>BRACHYTHERAPY</t>
  </si>
  <si>
    <t>BRACHYTHERAPY, INTERSTITIAL</t>
  </si>
  <si>
    <t>BRACHYTHERAPY, INTRACAVITARY</t>
  </si>
  <si>
    <t>CARDIAC ASSIST DEVICE</t>
  </si>
  <si>
    <t>CARDIAC CATHETERIZATION</t>
  </si>
  <si>
    <t>CARDIAC RESYNCHRONIZATION THERAPY</t>
  </si>
  <si>
    <t>CARDIAC STENT PLACEMENT</t>
  </si>
  <si>
    <t>CARDIAC TRANSPLANT</t>
  </si>
  <si>
    <t>CARDIOVERSION, CHEMICAL</t>
  </si>
  <si>
    <t>CARDIOVERSION, ELECTRICAL</t>
  </si>
  <si>
    <t>CATARACT SURGERY</t>
  </si>
  <si>
    <t>CHEMOTHERAPY</t>
  </si>
  <si>
    <t>CHOLECYSTECTOMY</t>
  </si>
  <si>
    <t>COLONOSCOPY</t>
  </si>
  <si>
    <t>CONTINUOUS POSITIVE AIRWAY PRESSURE VENTILATION</t>
  </si>
  <si>
    <t>CONTRAST ENHANCED ECG GATED MRI</t>
  </si>
  <si>
    <t>CORONARY ARTERY BYPASS GRAFT</t>
  </si>
  <si>
    <t>CRYOABLATION</t>
  </si>
  <si>
    <t>CRYOTHERAPY</t>
  </si>
  <si>
    <t>CT SCAN</t>
  </si>
  <si>
    <t>CURETTAGE</t>
  </si>
  <si>
    <t>DIGITAL WIDE FIELD FUNDUS PHOTOGRAPHY</t>
  </si>
  <si>
    <t>ECG GATED MRI WITHOUT CONTRAST</t>
  </si>
  <si>
    <t>ECG GATED MRI</t>
  </si>
  <si>
    <t>ELECTROCAUTERIZATION</t>
  </si>
  <si>
    <t>ENDARTERECTOMY</t>
  </si>
  <si>
    <t>EXCISION</t>
  </si>
  <si>
    <t>EXPLORATORY LAPAROTOMY</t>
  </si>
  <si>
    <t>EXTERNAL BEAM RADIATION THERAPY</t>
  </si>
  <si>
    <t>EXTRACORPOREAL CYTOKINE ADSORPTION HEMOFILTRATION</t>
  </si>
  <si>
    <t>EXTRACORPOREAL MEMBRANE OXYGENATION</t>
  </si>
  <si>
    <t>HEART VALVE PROCEDURE</t>
  </si>
  <si>
    <t>HEMOFILTRATION</t>
  </si>
  <si>
    <t>HIGH-DOSE RATE BRACHYTHERAPY</t>
  </si>
  <si>
    <t>HIGH-FLOW NASAL CANNULA OXYGEN THERAPY</t>
  </si>
  <si>
    <t>HOLTER CONTINUOUS ECG RECORDING</t>
  </si>
  <si>
    <t>IMMUNOTHERAPY</t>
  </si>
  <si>
    <t>IMPLANTABLE CARDIOVERTER DEFIBRILLATOR</t>
  </si>
  <si>
    <t>INFRARED PHOTO COAGULATION</t>
  </si>
  <si>
    <t>INTENSITY-MODULATED RADIATION THERAPY</t>
  </si>
  <si>
    <t>INTRA-AORTIC BALLOON PUMP THERAPY</t>
  </si>
  <si>
    <t>LEAD</t>
  </si>
  <si>
    <t>LEFT ATRIAL APPENDAGE OCCLUSION</t>
  </si>
  <si>
    <t>LEFT COLECTOMY</t>
  </si>
  <si>
    <t>LEFT VENTRICULAR ASSIST DEVICE IMPLANTATION</t>
  </si>
  <si>
    <t>LEFT VENTRICULAR SYSTOLIC DYSFUNCTION EVALUATION</t>
  </si>
  <si>
    <t>LOBECTOMY</t>
  </si>
  <si>
    <t>LOCAL IMMUNOTHERAPY</t>
  </si>
  <si>
    <t>LOW ANTERIOR RESECTION</t>
  </si>
  <si>
    <t>LOW-DOSE RATE BRACHYTHERAPY</t>
  </si>
  <si>
    <t>LUMPECTOMY</t>
  </si>
  <si>
    <t>LYMPHADENECTOMY</t>
  </si>
  <si>
    <t>MECHANICAL VENTILATION</t>
  </si>
  <si>
    <t>METASTASECTOMY</t>
  </si>
  <si>
    <t>MICROWAVE THERAPY</t>
  </si>
  <si>
    <t>MITRAL BALLOON VALVOTOMY</t>
  </si>
  <si>
    <t>MITRAL COMMISSUROTOMY</t>
  </si>
  <si>
    <t>MITRAL VALVE REPAIR</t>
  </si>
  <si>
    <t>MITRAL VALVE REPLACEMENT</t>
  </si>
  <si>
    <t>MODIFIED RADICAL MASTECTOMY</t>
  </si>
  <si>
    <t>MOHS SURGERY</t>
  </si>
  <si>
    <t>MRI</t>
  </si>
  <si>
    <t>MUGA</t>
  </si>
  <si>
    <t>NON-CARDIOVASCULAR SURGERY</t>
  </si>
  <si>
    <t>NON-INVASIVE MECHANICAL VENTILATION</t>
  </si>
  <si>
    <t>PACEMAKER</t>
  </si>
  <si>
    <t>PANCREATIC STENT PLACEMENT</t>
  </si>
  <si>
    <t>PANCREATICODUODENECTOMY</t>
  </si>
  <si>
    <t>PAP SMEAR</t>
  </si>
  <si>
    <t>PARTIAL PANCREATECTOMY</t>
  </si>
  <si>
    <t>PERCUTANEOUS CORONARY INTERVENTION</t>
  </si>
  <si>
    <t>PERCUTANEOUS MITRAL REPAIR</t>
  </si>
  <si>
    <t>PERCUTANEOUS VENTRICULAR ASSIST DEVICE PLACEMENT</t>
  </si>
  <si>
    <t>PERICARDIAL STRIPPING</t>
  </si>
  <si>
    <t>PERICARDIAL WINDOW</t>
  </si>
  <si>
    <t>PERICARDIOCENTESIS</t>
  </si>
  <si>
    <t>PERIPHERAL BLOOD STEM CELL TRANSPLANT</t>
  </si>
  <si>
    <t>PERIPHERAL VASCULAR INTERVENTION</t>
  </si>
  <si>
    <t>PHOTODYNAMIC THERAPY</t>
  </si>
  <si>
    <t>PHOTOTHERAPY</t>
  </si>
  <si>
    <t>PHYSICAL EXAMINATION</t>
  </si>
  <si>
    <t>PLEURECTOMY</t>
  </si>
  <si>
    <t>PLEURODESIS</t>
  </si>
  <si>
    <t>POLYPECTOMY</t>
  </si>
  <si>
    <t>POSITIVE AIRWAY PRESSURE VENTILATION</t>
  </si>
  <si>
    <t>PULMONARY VALVE REPLACEMENT</t>
  </si>
  <si>
    <t>PULMONIC VALVULOPLASTY</t>
  </si>
  <si>
    <t>RADICAL MASTECTOMY</t>
  </si>
  <si>
    <t>RADIOTHERAPY</t>
  </si>
  <si>
    <t>RE-EXCISION</t>
  </si>
  <si>
    <t>RECONSTRUCTIVE SURGERY</t>
  </si>
  <si>
    <t>RENAL REPLACEMENT THERAPY</t>
  </si>
  <si>
    <t>RIGHT COLECTOMY</t>
  </si>
  <si>
    <t>RIGHT VENTRICULAR ASSIST DEVICE IMPLANTATION</t>
  </si>
  <si>
    <t>SEGMENTECTOMY</t>
  </si>
  <si>
    <t>SENTINEL LYMPH NODE BIOPSY</t>
  </si>
  <si>
    <t>SEPTAL ABLATION</t>
  </si>
  <si>
    <t>SHAVE EXCISION</t>
  </si>
  <si>
    <t>SIGMOIDECTOMY</t>
  </si>
  <si>
    <t>SPECT/CT SCAN</t>
  </si>
  <si>
    <t>SUCTION BLISTER TECHNIQUE</t>
  </si>
  <si>
    <t>SURGICAL MAZE</t>
  </si>
  <si>
    <t>THORACENTESIS</t>
  </si>
  <si>
    <t>THORACOSCOPIC WEDGE RESECTION</t>
  </si>
  <si>
    <t>TOTAL COLECTOMY</t>
  </si>
  <si>
    <t>TOTAL PANCREATECTOMY</t>
  </si>
  <si>
    <t>TRACHEOSTOMY</t>
  </si>
  <si>
    <t>TRANSCATHETER AORTIC VALVE IMPLANT</t>
  </si>
  <si>
    <t>TRANSTHORACIC ECHOCARDIOGRAPHY</t>
  </si>
  <si>
    <t>TRANSURETHRAL RESECTION OF BLADDER TUMOR</t>
  </si>
  <si>
    <t>TRANSVERSE COLECTOMY</t>
  </si>
  <si>
    <t>TRICUSPID VALVE REPAIR</t>
  </si>
  <si>
    <t>TRICUSPID VALVE REPLACEMENT</t>
  </si>
  <si>
    <t>UMBILICAL CORD BLOOD TRANSPLANT</t>
  </si>
  <si>
    <t>VENTRICULAR ANEURYSM RESECTION</t>
  </si>
  <si>
    <t>VENTRICULAR SEPTAL CLOSURE</t>
  </si>
  <si>
    <t>X-RAY</t>
  </si>
  <si>
    <t>C16035</t>
  </si>
  <si>
    <t>C20985</t>
  </si>
  <si>
    <t>C99907</t>
  </si>
  <si>
    <t>C80432</t>
  </si>
  <si>
    <t>C99908</t>
  </si>
  <si>
    <t>C111157</t>
  </si>
  <si>
    <t>C111241</t>
  </si>
  <si>
    <t>C80433</t>
  </si>
  <si>
    <t>C99916</t>
  </si>
  <si>
    <t>C50815</t>
  </si>
  <si>
    <t>C172590</t>
  </si>
  <si>
    <t>C99939</t>
  </si>
  <si>
    <t>C124039</t>
  </si>
  <si>
    <t>C91828</t>
  </si>
  <si>
    <t>C15189</t>
  </si>
  <si>
    <t>C15680</t>
  </si>
  <si>
    <t>C15385</t>
  </si>
  <si>
    <t>C15386</t>
  </si>
  <si>
    <t>C28743</t>
  </si>
  <si>
    <t>C172595</t>
  </si>
  <si>
    <t>C172593</t>
  </si>
  <si>
    <t>C15194</t>
  </si>
  <si>
    <t>C15195</t>
  </si>
  <si>
    <t>C66891</t>
  </si>
  <si>
    <t>C28049</t>
  </si>
  <si>
    <t>C170616</t>
  </si>
  <si>
    <t>C38044</t>
  </si>
  <si>
    <t>C80436</t>
  </si>
  <si>
    <t>C100080</t>
  </si>
  <si>
    <t>C15246</t>
  </si>
  <si>
    <t>C99937</t>
  </si>
  <si>
    <t>C99948</t>
  </si>
  <si>
    <t>C157809</t>
  </si>
  <si>
    <t>C15632</t>
  </si>
  <si>
    <t>C51676</t>
  </si>
  <si>
    <t>C16450</t>
  </si>
  <si>
    <t>C124040</t>
  </si>
  <si>
    <t>C174358</t>
  </si>
  <si>
    <t>C51998</t>
  </si>
  <si>
    <t>C15215</t>
  </si>
  <si>
    <t>C40030</t>
  </si>
  <si>
    <t>C17204</t>
  </si>
  <si>
    <t>C15216</t>
  </si>
  <si>
    <t>C166089</t>
  </si>
  <si>
    <t>C174359</t>
  </si>
  <si>
    <t>C174231</t>
  </si>
  <si>
    <t>C111192</t>
  </si>
  <si>
    <t>C52002</t>
  </si>
  <si>
    <t>C15232</t>
  </si>
  <si>
    <t>C51779</t>
  </si>
  <si>
    <t>C15751</t>
  </si>
  <si>
    <t>C187966</t>
  </si>
  <si>
    <t>C171507</t>
  </si>
  <si>
    <t>C99546</t>
  </si>
  <si>
    <t>C15248</t>
  </si>
  <si>
    <t>C172594</t>
  </si>
  <si>
    <t>C15651</t>
  </si>
  <si>
    <t>C171510</t>
  </si>
  <si>
    <t>C38064</t>
  </si>
  <si>
    <t>C15262</t>
  </si>
  <si>
    <t>C80435</t>
  </si>
  <si>
    <t>C62730</t>
  </si>
  <si>
    <t>C16135</t>
  </si>
  <si>
    <t>C172591</t>
  </si>
  <si>
    <t>C99934</t>
  </si>
  <si>
    <t>C99965</t>
  </si>
  <si>
    <t>C51624</t>
  </si>
  <si>
    <t>C172327</t>
  </si>
  <si>
    <t>C99975</t>
  </si>
  <si>
    <t>C15272</t>
  </si>
  <si>
    <t>C156582</t>
  </si>
  <si>
    <t>C113716</t>
  </si>
  <si>
    <t>C85254</t>
  </si>
  <si>
    <t>C15755</t>
  </si>
  <si>
    <t>C15275</t>
  </si>
  <si>
    <t>C70909</t>
  </si>
  <si>
    <t>C94461</t>
  </si>
  <si>
    <t>C93351</t>
  </si>
  <si>
    <t>C99987</t>
  </si>
  <si>
    <t>C99988</t>
  </si>
  <si>
    <t>C80449</t>
  </si>
  <si>
    <t>C50825</t>
  </si>
  <si>
    <t>C15278</t>
  </si>
  <si>
    <t>C28208</t>
  </si>
  <si>
    <t>C16809</t>
  </si>
  <si>
    <t>C38073</t>
  </si>
  <si>
    <t>C99995</t>
  </si>
  <si>
    <t>C171457</t>
  </si>
  <si>
    <t>C99998</t>
  </si>
  <si>
    <t>C179785</t>
  </si>
  <si>
    <t>C15356</t>
  </si>
  <si>
    <t>C17348</t>
  </si>
  <si>
    <t>C51666</t>
  </si>
  <si>
    <t>C99521</t>
  </si>
  <si>
    <t>C100003</t>
  </si>
  <si>
    <t>C172592</t>
  </si>
  <si>
    <t>C100004</t>
  </si>
  <si>
    <t>C51618</t>
  </si>
  <si>
    <t>C52010</t>
  </si>
  <si>
    <t>C15430</t>
  </si>
  <si>
    <t>C116150</t>
  </si>
  <si>
    <t>C15300</t>
  </si>
  <si>
    <t>C15301</t>
  </si>
  <si>
    <t>C20989</t>
  </si>
  <si>
    <t>C51651</t>
  </si>
  <si>
    <t>C66899</t>
  </si>
  <si>
    <t>C25349</t>
  </si>
  <si>
    <t>C157960</t>
  </si>
  <si>
    <t>C50817</t>
  </si>
  <si>
    <t>C100044</t>
  </si>
  <si>
    <t>C15279</t>
  </si>
  <si>
    <t>C15313</t>
  </si>
  <si>
    <t>C48600</t>
  </si>
  <si>
    <t>C25351</t>
  </si>
  <si>
    <t>C126400</t>
  </si>
  <si>
    <t>C51623</t>
  </si>
  <si>
    <t>C172927</t>
  </si>
  <si>
    <t>C91061</t>
  </si>
  <si>
    <t>C15667</t>
  </si>
  <si>
    <t>C80439</t>
  </si>
  <si>
    <t>C51885</t>
  </si>
  <si>
    <t>C91838</t>
  </si>
  <si>
    <t>C154791</t>
  </si>
  <si>
    <t>C179786</t>
  </si>
  <si>
    <t>C100017</t>
  </si>
  <si>
    <t>C15392</t>
  </si>
  <si>
    <t>C154873</t>
  </si>
  <si>
    <t>C51924</t>
  </si>
  <si>
    <t>C15340</t>
  </si>
  <si>
    <t>C15341</t>
  </si>
  <si>
    <t>C100022</t>
  </si>
  <si>
    <t>C80404</t>
  </si>
  <si>
    <t>C116651</t>
  </si>
  <si>
    <t>C51612</t>
  </si>
  <si>
    <t>C99935</t>
  </si>
  <si>
    <t>C50816</t>
  </si>
  <si>
    <t>C15640</t>
  </si>
  <si>
    <t>C80451</t>
  </si>
  <si>
    <t>C99940</t>
  </si>
  <si>
    <t>C38101</t>
  </si>
  <si>
    <t>3D CRT</t>
  </si>
  <si>
    <t>A process by which a dose of radiation is automatically shaped to closely conform to the entire volume of the tumor, so that surrounding normal tissue is spared and treatment toxicity is decreased. (NCI)</t>
  </si>
  <si>
    <t>3-Dimensional Conformal Radiation Therapy</t>
  </si>
  <si>
    <t>Removal, separation, detachment, extirpation or eradication of a body part, pathway or function by surgery, chemical destruction, morbid process, or noxious substance. (NCI)</t>
  </si>
  <si>
    <t>Ablation Therapy</t>
  </si>
  <si>
    <t>An invasive therapeutic procedure to destroy tissue in an accessory pathways in the atrioventricular conduction system that contributes to arrhythmia.</t>
  </si>
  <si>
    <t>Ablation of Cardiac Accessory Pathway</t>
  </si>
  <si>
    <t>An invasive therapeutic procedure to destroy tissue in the cardiac atria that is the source of an arrhythmia.</t>
  </si>
  <si>
    <t>Atrial Ablation</t>
  </si>
  <si>
    <t>An invasive therapeutic procedure to destroy tissue in the AV-node that contributes to arrhythmia.</t>
  </si>
  <si>
    <t>Ablation of Cardiac Atrioventricular Node</t>
  </si>
  <si>
    <t>Removal, separation, detachment, extirpation or eradication of a body part, pathway or function by chemical means. (NCI)</t>
  </si>
  <si>
    <t>Chemical Ablation</t>
  </si>
  <si>
    <t>Removal, separation, detachment, extirpation or eradication of a body part, pathway or function by light amplification by stimulated emission of radiation. (NCI)</t>
  </si>
  <si>
    <t>Laser Ablation</t>
  </si>
  <si>
    <t>An invasive therapeutic procedure to destroy tissue in the cardiac ventricles that is the source of an arrhythmia.</t>
  </si>
  <si>
    <t>Ventricular Ablation</t>
  </si>
  <si>
    <t>Dilation of the valve between the left ventricle of the heart and the aorta by inflating a balloon.</t>
  </si>
  <si>
    <t>Aortic Balloon Valvotomy</t>
  </si>
  <si>
    <t>Surgery performed with the purpose of replacing a degenerated, calcified, malformed, dysfunctional, etc. aortic valve with a bioprosthetic, homograft, or autograft valve.</t>
  </si>
  <si>
    <t>Aortic Valve Replacement</t>
  </si>
  <si>
    <t>Total Artificial Heart Implantation</t>
  </si>
  <si>
    <t>Implantation of a prosthetic device into the body to replace the function of both cardiac ventricles and all four cardiac valves, typically as a bridge to transplantation.</t>
  </si>
  <si>
    <t>Repair of atrial septum.</t>
  </si>
  <si>
    <t>Closure of Cardiac Atrial Septum</t>
  </si>
  <si>
    <t>BIPAP Ventilation; BPAP Ventilation</t>
  </si>
  <si>
    <t>A type of non-invasive mechanical ventilation procedure that that uses bilevel positive airway pressure to support spontaneous breathing activity.</t>
  </si>
  <si>
    <t>Biphasic Positive Airway Pressure</t>
  </si>
  <si>
    <t>Right Lung Bilobectomy</t>
  </si>
  <si>
    <t>Surgical removal of two lobes of the right lung.</t>
  </si>
  <si>
    <t>Bilobectomy</t>
  </si>
  <si>
    <t>The removal of tissue specimens or fluid from the living body for microscopic examination, performed to establish a diagnosis.</t>
  </si>
  <si>
    <t>Biopsy</t>
  </si>
  <si>
    <t>CNB; Core Needle Biopsy; Needle Biopsy</t>
  </si>
  <si>
    <t>A type of biopsy in which a tissue sample is removed using a needle with a relatively large diameter.</t>
  </si>
  <si>
    <t>Core Biopsy</t>
  </si>
  <si>
    <t>A type of biopsy in which an entire lesion is removed for microscopic examination.</t>
  </si>
  <si>
    <t>Excisional Biopsy</t>
  </si>
  <si>
    <t>A type of biopsy in which part of a lesion is removed for microscopic examination.</t>
  </si>
  <si>
    <t>Incisional Biopsy</t>
  </si>
  <si>
    <t>A type of biopsy in which a disk of tissue is removed using a punch device.</t>
  </si>
  <si>
    <t>Punch Biopsy</t>
  </si>
  <si>
    <t>CRT-D Implantation</t>
  </si>
  <si>
    <t>A surgical procedure in which a cardiac pacing device with a built-in cardioverter defibrillator is placed under the skin, with leads positioned in the right atrium and both ventricles.</t>
  </si>
  <si>
    <t>Cardiac Resynchronization Therapy Defibrillator Implantation</t>
  </si>
  <si>
    <t>A mechanical fluid removal technique that involves the pressure-driven movement of plasma water and solutes from whole blood across a semipermeable membrane.</t>
  </si>
  <si>
    <t>Blood Ultrafiltration</t>
  </si>
  <si>
    <t>BMT</t>
  </si>
  <si>
    <t>A therapeutic procedure to replace diseased or pathologic bone marrow with transplanted, healthy bone marrow cells.</t>
  </si>
  <si>
    <t>Bone Marrow Transplantation</t>
  </si>
  <si>
    <t>A type of radiation therapy in which radioactive material is placed inside the body, into a tumor or body cavity.</t>
  </si>
  <si>
    <t>Brachytherapy</t>
  </si>
  <si>
    <t>A type of brachytherapy in which radioactive material sealed in needles, seeds, wires, or catheters is placed directly into a tumor or body tissue.</t>
  </si>
  <si>
    <t>Interstitial Radiation Therapy</t>
  </si>
  <si>
    <t>A type of brachytherapy in which radioactive material sealed in needles, seeds, wires, or catheters is placed directly into a body cavity such as the chest cavity or the vagina.</t>
  </si>
  <si>
    <t>Intracavitary Radiation Therapy</t>
  </si>
  <si>
    <t>Any of a number of implantable cardiac devices meant to aid the heart in carrying out its functions.</t>
  </si>
  <si>
    <t>Cardiac Assist Device</t>
  </si>
  <si>
    <t>A procedure in which a thin plastic tube (catheter) is inserted into an artery or vein in the arm or leg and then advanced into the chambers of the heart or into the coronary arteries.</t>
  </si>
  <si>
    <t>Cardiac Catheterization</t>
  </si>
  <si>
    <t>Biventricular Cardiac Pacemaker Procedure; CRT</t>
  </si>
  <si>
    <t>An invasive procedure that includes an electronic device that stimulates both right and left cardiac ventricles to improve coordination of ventricular contraction.</t>
  </si>
  <si>
    <t>Cardiac Resynchronization Therapy</t>
  </si>
  <si>
    <t>A procedure performed during a percutaneous coronary intervention in which a device is deployed into the lumen of a coronary artery to expand and support the vessel wall such that the vessel remains patent and blood flow is uninhibited.</t>
  </si>
  <si>
    <t>Cardiac Stent Placement</t>
  </si>
  <si>
    <t>Heart Transplant</t>
  </si>
  <si>
    <t>A surgical procedure in which a damaged heart is removed and replaced by another heart from a suitable donor.</t>
  </si>
  <si>
    <t>Heart Transplantation</t>
  </si>
  <si>
    <t>CHEMICAL CARDIOVERSION</t>
  </si>
  <si>
    <t>The administration of pharmacologic agents to correct abnormal heart rhythm.</t>
  </si>
  <si>
    <t>Chemical Cardioversion</t>
  </si>
  <si>
    <t>ELECTRICAL CARDIOVERSION</t>
  </si>
  <si>
    <t>The administration of electric current to correct abnormal heart rhythm.</t>
  </si>
  <si>
    <t>Electric Cardioversion</t>
  </si>
  <si>
    <t>A surgical procedure to remove the clouded lens from the eye, and oftentimes replace it with an artificial lens.</t>
  </si>
  <si>
    <t>Cataract Surgery</t>
  </si>
  <si>
    <t>The use of synthetic or naturally-occurring chemicals for the treatment of diseases.</t>
  </si>
  <si>
    <t>Chemotherapy</t>
  </si>
  <si>
    <t>Surgical removal of the gallbladder.</t>
  </si>
  <si>
    <t>Cholecystectomy</t>
  </si>
  <si>
    <t>Endoscopic examination of the luminal surface of the colon.</t>
  </si>
  <si>
    <t>Colonoscopy</t>
  </si>
  <si>
    <t>CPAP Ventilation</t>
  </si>
  <si>
    <t>A type of non-invasive mechanical ventilation procedure that uses continuous positive airway pressure to support spontaneous breathing activity.</t>
  </si>
  <si>
    <t>Continuous Positive Airway Pressure</t>
  </si>
  <si>
    <t>A type of ECG gated MRI in which the images are enhanced by the addition of contrast agents into the body.</t>
  </si>
  <si>
    <t>Contrast Enhanced ECG Gated MRI</t>
  </si>
  <si>
    <t>Aortocoronary Bypass; CAB; CABG; Coronary Artery Bypass; Coronary Artery Bypass Graft; Coronary Artery Bypass Graft Surgery; Coronary Artery Bypass Grafting; Heart Bypass</t>
  </si>
  <si>
    <t>A procedure performed to bypass partially or completely occluded coronary arteries with veins and/or arteries harvested from elsewhere in the body, thereby improving the blood supply to the coronary circulation supplying the myocardium (heart muscle).</t>
  </si>
  <si>
    <t>Coronary Artery Bypass Surgery</t>
  </si>
  <si>
    <t>Removal, separation, detachment, extirpation or eradication of a body part, pathway or function by freezing. (NCI)</t>
  </si>
  <si>
    <t>Cryosurgery</t>
  </si>
  <si>
    <t>The therapeutic use of cold or refrigeration.</t>
  </si>
  <si>
    <t>Cryotherapy</t>
  </si>
  <si>
    <t>CAT Scan; Computed Axial Tomography; Computed Tomography; Computerized Tomography; CT</t>
  </si>
  <si>
    <t>An imaging technique for examining structures within the body by scanning them with X rays and using a computer to construct a series of cross-sectional scans along a single axis.</t>
  </si>
  <si>
    <t>Computed Tomography</t>
  </si>
  <si>
    <t>The removal of tissue with a curette (a spoon-shaped instrument with a sharp edge).</t>
  </si>
  <si>
    <t>Curettage Procedure</t>
  </si>
  <si>
    <t>A type of digital fundus photography that makes use of a significantly wider viewing angle than traditional fundus photography.</t>
  </si>
  <si>
    <t>Digital Wide Field Fundus Photography</t>
  </si>
  <si>
    <t>A type of ECG gated MRI in which the images are not enhanced by the addition of contrast agents into the body.</t>
  </si>
  <si>
    <t>ECG Gated MRI Without Contrast</t>
  </si>
  <si>
    <t>A type of magnetic resonance imaging in which data is acquired during a specified portion of the cardiac cycle, allowing for the collection of stop motion imaging of the heart.</t>
  </si>
  <si>
    <t>ECG Gated MRI</t>
  </si>
  <si>
    <t>A procedure for destroying tissue using an electrical current.</t>
  </si>
  <si>
    <t>Electrocauterization</t>
  </si>
  <si>
    <t>Excision of an atheromatous plaque. (NCI)</t>
  </si>
  <si>
    <t>Endarterectomy</t>
  </si>
  <si>
    <t>The act of cutting out; the surgical removal of part or all of a structure or organ. (NCI)</t>
  </si>
  <si>
    <t>Excision</t>
  </si>
  <si>
    <t>Celiotomy</t>
  </si>
  <si>
    <t>Creation of a surgical opening into the abdominal cavity for examination of the contents of the abdominal cavity as a means of diagnosis.</t>
  </si>
  <si>
    <t>Exploratory Laparotomy</t>
  </si>
  <si>
    <t>A type of radiation therapy in which high-energy beams are delivered to the tumor from outside of the body.</t>
  </si>
  <si>
    <t>External Beam Radiation Therapy</t>
  </si>
  <si>
    <t>The use of an adsorbing hemofilter in an external blood purification device to reduce cytokine levels in the blood.</t>
  </si>
  <si>
    <t>Extracorporeal Cytokine Adsorption Hemofiltration</t>
  </si>
  <si>
    <t>ECMO</t>
  </si>
  <si>
    <t>A technique that utilizes a device to pump a patient's blood outside of the body, oxygenate it, and return it to the body.</t>
  </si>
  <si>
    <t>Extracorporeal Membrane Oxygenation</t>
  </si>
  <si>
    <t>Heart Valve Surgery</t>
  </si>
  <si>
    <t>Any surgical procedure performed for the purpose of repairing or replacing a degenerated, calcified, malformed, or dysfunctional heart valve.</t>
  </si>
  <si>
    <t>Cardiac Valve Procedure</t>
  </si>
  <si>
    <t>A therapeutic procedure involving the extracorporeal removal of harmful waste and fluids from the blood using a dialysis machine. Following dialysis, the blood is returned to the body.</t>
  </si>
  <si>
    <t>Hemodialysis</t>
  </si>
  <si>
    <t>A mechanical fluid removal technique that involves the pressure-driven movement of plasma water and solutes from whole blood through a system of extracorporeal filters, with simultaneous reinfusion of replacement fluid into the body to keep volume homeostasis.</t>
  </si>
  <si>
    <t>Hemofiltration</t>
  </si>
  <si>
    <t>A type of brachytherapy that targets a cancerous tissue with high doses of radiation through the use of inserted temporary implants.</t>
  </si>
  <si>
    <t>High-Dose Rate Brachytherapy</t>
  </si>
  <si>
    <t>HFNC Oxygen Therapy</t>
  </si>
  <si>
    <t>The delivery of heated, humidified, oxygen-enriched gas via nasal cannula at flow rates greater than those typically delivered by standard-flow oxygen devices.</t>
  </si>
  <si>
    <t>High-Flow Nasal Cannula Oxygen Therapy</t>
  </si>
  <si>
    <t>An electrocardiographic method for collecting continuous ECG waveforms with a variable number of discrete leads with duration longer than the standard 10 second ECG. Holter recording may be performed in patients who are ambulatory, and may collect data for 24 hours or longer.</t>
  </si>
  <si>
    <t>Holter Monitoring</t>
  </si>
  <si>
    <t>A therapy designed to induce changes in a patient's immune status.</t>
  </si>
  <si>
    <t>Immunotherapy</t>
  </si>
  <si>
    <t>Implantable Cardioverter Defibrillator Procedure</t>
  </si>
  <si>
    <t>A procedure involving an electronic device implanted in the body that delivers electrical stimulation to the heart to treat tachycardia. It may also have the capability to treat bradycardia.</t>
  </si>
  <si>
    <t>Implantable Cardioverter-Defibrillator Placement</t>
  </si>
  <si>
    <t>Infrared Coagulation</t>
  </si>
  <si>
    <t>The use of an intense beam of light, such as a laser, to seal off blood vessels or destroy tissue. (NCI)</t>
  </si>
  <si>
    <t>Infrared Photocoagulation Therapy</t>
  </si>
  <si>
    <t>An advanced form of 3-Dimensional Conformal Radiation Therapy (3D CRT) that involves the use of varying intensities of small radiation beams to produce dosage distributions that are more precise than those possible with 3D CRT. (NCI)</t>
  </si>
  <si>
    <t>Intensity-Modulated Radiation Therapy</t>
  </si>
  <si>
    <t>A type of mechanical circulatory support procedure in which a balloon catheter inserted into the proximal descending aorta is inflated immediately after aortic valve closure in diastole and deflated just before aortic valve opening in systole, with the augmentation of coronary blood flow during diastole increasing coronary blood flow and systemic perfusion.</t>
  </si>
  <si>
    <t>Intra-aortic Balloon Pump Counterpulsation</t>
  </si>
  <si>
    <t>Lead Procedure</t>
  </si>
  <si>
    <t>A procedure involving one or more wires used for pacemaker or implantable defibrillator devices.</t>
  </si>
  <si>
    <t>Cardiac Lead Procedure</t>
  </si>
  <si>
    <t>The therapeutic blockage of the muscular pouch in the left atrium.</t>
  </si>
  <si>
    <t>Intentional Left Cardiac Atrial Appendage Occlusion Procedure</t>
  </si>
  <si>
    <t>Surgical removal of the left portion of the colon.</t>
  </si>
  <si>
    <t>Left Colectomy</t>
  </si>
  <si>
    <t>LVAD Implantation; LVAD Insertion</t>
  </si>
  <si>
    <t>A procedure involving the implantation of a mechanical cardiac pump which receives blood from the left ventricle and delivers it to the aorta. (NCI)</t>
  </si>
  <si>
    <t>Left Ventricular Assist Device Insertion</t>
  </si>
  <si>
    <t>An examination and assessment of the inability of the left ventricle to effectively pump blood to the body.</t>
  </si>
  <si>
    <t>Left Cardiac Ventricular Systolic Dysfunction Evaluation</t>
  </si>
  <si>
    <t>Surgical removal of a lobe of an organ.</t>
  </si>
  <si>
    <t>Lobectomy</t>
  </si>
  <si>
    <t>Any immunotherapy that targets, or is restricted to, a specific anatomical location.</t>
  </si>
  <si>
    <t>Local Immunotherapy Procedure</t>
  </si>
  <si>
    <t>LAR; Lower Anterior Rectal Resection</t>
  </si>
  <si>
    <t>Resection of the rectum through an incision in the lower abdomen.</t>
  </si>
  <si>
    <t>Low Anterior Resection</t>
  </si>
  <si>
    <t>A type of brachytherapy that targets a cancerous tissue with low doses of radiation through the use of inserted temporary or permanent implants.</t>
  </si>
  <si>
    <t>Low-Dose Rate Brachytherapy</t>
  </si>
  <si>
    <t>Surgical removal of a discrete mass.</t>
  </si>
  <si>
    <t>Lumpectomy</t>
  </si>
  <si>
    <t>Lymph Node Dissection; Lymph Node Excision</t>
  </si>
  <si>
    <t>Surgical removal of the lymph node(s).</t>
  </si>
  <si>
    <t>Lymphadenectomy</t>
  </si>
  <si>
    <t>A procedure that mechanically assists or replaces spontaneous breathing in patients by use of a powered device that forces oxygenated air into the lungs.</t>
  </si>
  <si>
    <t>Mechanical Ventilation</t>
  </si>
  <si>
    <t>Surgical removal of metastases.</t>
  </si>
  <si>
    <t>Metastasectomy</t>
  </si>
  <si>
    <t>Microwave Thermotherapy</t>
  </si>
  <si>
    <t>Any therapeutic procedure in which microwave irradiation is used for the purpose of heating and destroying targeted tissue.</t>
  </si>
  <si>
    <t>Dilation of the valve between the left atrium and the left ventricle of the heart by inflating a balloon.</t>
  </si>
  <si>
    <t>Mitral Balloon Valvotomy</t>
  </si>
  <si>
    <t>Dilation of the valve between the left atrium and the left ventricle of the heart by use of a surgeon's finger or rigid instrument.</t>
  </si>
  <si>
    <t>Mitral Commissurotomy</t>
  </si>
  <si>
    <t>Surgery performed for the purpose of reducing regurgitation of the mitral valve.</t>
  </si>
  <si>
    <t>Mitral Valve Repair</t>
  </si>
  <si>
    <t>Surgery performed with the purpose of replacing a degenerated, calcified, malformed, dysfunctional, etc. mitral valve with bioprosthetic, homograft or autograft valve.</t>
  </si>
  <si>
    <t>Mitral Valve Replacement</t>
  </si>
  <si>
    <t>Surgical removal of one or both breasts, including the areola, nipple, and the majority of the axillary lymph nodes, but sparing the pectoralis major muscle.</t>
  </si>
  <si>
    <t>Modified Radical Mastectomy</t>
  </si>
  <si>
    <t>A dermatologic procedure used to treat certain forms of skin cancer in which tissue is removed and immediately tested via frozen section; tissue continues to be removed until clear margins are achieved.</t>
  </si>
  <si>
    <t>Mohs Surgery</t>
  </si>
  <si>
    <t>Magnetic Resonance Imaging</t>
  </si>
  <si>
    <t>Imaging that uses radiofrequency waves and a strong magnetic field rather than x-rays to provide amazingly clear and detailed pictures of internal organs and tissues. The technique is valuable for the diagnosis of many pathologic conditions, including cancer, heart and vascular disease, stroke, and joint and musculoskeletal disorders.</t>
  </si>
  <si>
    <t>Radionuclide Ventriculogram Scan</t>
  </si>
  <si>
    <t>A multi-gated acquisition (MUGA) scan and a form of radionuclide imaging that provides a comprehensive look at blood flow and the function of the lower chambers of the heart ventricles. (NCI)</t>
  </si>
  <si>
    <t>Multigated Acquisition Scan</t>
  </si>
  <si>
    <t>An operative procedure that does not involve the heart or the blood vessels.</t>
  </si>
  <si>
    <t>Non-Cardiovascular Surgery</t>
  </si>
  <si>
    <t>NIV; Non-Invasive Ventilation</t>
  </si>
  <si>
    <t>A type of mechanical ventilation procedure that uses a non-invasive means, such as a face mask or nasal mask, to deliver oxygenated air into the lungs.</t>
  </si>
  <si>
    <t>Non-Invasive Mechanical Ventilation</t>
  </si>
  <si>
    <t>Pacemaker Procedure</t>
  </si>
  <si>
    <t>A procedure involving an electronic device that delivers electrical stimulation to the heart to treat bradycardia.</t>
  </si>
  <si>
    <t>Placement of a stent within the pancreas.</t>
  </si>
  <si>
    <t>Pancreatic Stent Placement</t>
  </si>
  <si>
    <t>Kausch-Whipple Procedure; Pancreatoduodenectomy; Whipple Procedure</t>
  </si>
  <si>
    <t>Surgical removal of the head of the pancreas, the first part of the small intestine (duodenum), the gallbladder and the bile duct. (Mayo Clinic)</t>
  </si>
  <si>
    <t>Whipple Procedure</t>
  </si>
  <si>
    <t>A biospecimen collection and staining procedure in which secretions and superficial cells of the cervix are collected and stained with the Papanicolaou stain followed by microscopic examination to identify the presence of abnormal cells.</t>
  </si>
  <si>
    <t>Pap Smear</t>
  </si>
  <si>
    <t>Surgical removal of part of the pancreas.</t>
  </si>
  <si>
    <t>Partial Pancreatectomy</t>
  </si>
  <si>
    <t>PCI</t>
  </si>
  <si>
    <t>A percutaneous coronary intervention (PCI) is the placement of an angioplasty guide wire, balloon, or other device (e.g. stent, atherectomy, brachytherapy, or thrombectomy catheter) into a native coronary artery or coronary artery bypass graft for the purpose of mechanical coronary revascularization. Examples of things not considered to be PCI procedures include intravascular ultrasound, measurements of coronary flow reserve, or measurements of fractional flow reserve.</t>
  </si>
  <si>
    <t>Percutaneous Coronary Intervention</t>
  </si>
  <si>
    <t>Invasive procedure through a puncture in the skin, performed for the purpose of reducing regurgitation of the mitral valve.</t>
  </si>
  <si>
    <t>Percutaneous Mitral Valve Repair</t>
  </si>
  <si>
    <t>PVAD Insertion; PVAD Placement</t>
  </si>
  <si>
    <t>A minimally invasive procedure in which a catheter is inserted into the femoral artery or vein in order to temporarily connect a mechanical circulatory support device that is worn outside the body to the circulatory system.</t>
  </si>
  <si>
    <t>Percutaneous Ventricular Assist Device Placement</t>
  </si>
  <si>
    <t>Removal or resection of the pericardium.</t>
  </si>
  <si>
    <t>Pericardial Stripping</t>
  </si>
  <si>
    <t>A procedure in which an opening is made in the pericardium.</t>
  </si>
  <si>
    <t>Pericardial Window Procedure</t>
  </si>
  <si>
    <t>The aspiration of excess fluid between the pericardium and the heart.</t>
  </si>
  <si>
    <t>Pericardiocentesis</t>
  </si>
  <si>
    <t>A therapeutic procedure that involves the transplantation of stem cells harvested from the circulating blood of a patient or donor.</t>
  </si>
  <si>
    <t>Peripheral Blood Stem Cell Transplantation</t>
  </si>
  <si>
    <t>PVI</t>
  </si>
  <si>
    <t>A peripheral vascular intervention is a catheter-based or open surgical procedure designed to improve arterial or venous blood flow or otherwise modify or revise vascular conduits. In general, the intention to perform percutaneous vascular intervention is denoted by the insertion of a guide wire into an artery or vein. For the sake of simplicity, this definition applies to the extracranial carotid artery and other non-cardiac arteries and veins, while it excludes the lymphatics and intracranial vessels.</t>
  </si>
  <si>
    <t>Peripheral Vascular Intervention</t>
  </si>
  <si>
    <t>PDT</t>
  </si>
  <si>
    <t>Use of light and photosensitizing agents to treat cancer and other conditions.</t>
  </si>
  <si>
    <t>Photodynamic Therapy</t>
  </si>
  <si>
    <t>The treatment of a disorder by exposure to light, including ultraviolet and infrared radiation. (Bartleby.com)</t>
  </si>
  <si>
    <t>Phototherapy</t>
  </si>
  <si>
    <t>Physical Exam</t>
  </si>
  <si>
    <t>A systemic evaluation of the body and its functions using visual inspection, palpation, percussion and auscultation.</t>
  </si>
  <si>
    <t>The surgical removal of all or part of the pleura. (NCI)</t>
  </si>
  <si>
    <t>Pleurectomy</t>
  </si>
  <si>
    <t>A therapeutic surgical procedure in which the pleural space is surgically eliminated by the adherence of the visceral and parietal pleurae. (NCI)</t>
  </si>
  <si>
    <t>Pleurodesis</t>
  </si>
  <si>
    <t>Surgical removal of a polypoid lesion from the mucosal surface.</t>
  </si>
  <si>
    <t>Polypectomy</t>
  </si>
  <si>
    <t>PAP Therapy</t>
  </si>
  <si>
    <t>Any type of non-invasive mechanical ventilation procedure that uses positive airway pressure to support spontaneous breathing activity.</t>
  </si>
  <si>
    <t>Positive Airway Pressure Therapies</t>
  </si>
  <si>
    <t>Surgery performed with the purpose of replacing a degenerated, calcified, malformed, dysfunctional, etc. pulmonary valve with bioprosthetic, homograft or autograft valve.</t>
  </si>
  <si>
    <t>Pulmonary Valve Replacement</t>
  </si>
  <si>
    <t>Dilation of the valve between the right ventricle and the pulmonary artery of the heart by inflating a balloon.</t>
  </si>
  <si>
    <t>Pulmonic Valvuloplasty</t>
  </si>
  <si>
    <t>Surgical removal of one or both breasts, including the areola, nipple, axillary lymph nodes, and pectoral muscles.</t>
  </si>
  <si>
    <t>Radical Mastectomy</t>
  </si>
  <si>
    <t>Radiation Therapy; Radiotherapy</t>
  </si>
  <si>
    <t>Use of targeted or whole body radiation to treat a disease.</t>
  </si>
  <si>
    <t>Radiation Therapy</t>
  </si>
  <si>
    <t>Surgical removal of a structure or organ, which was not completely removed in an earlier attempt.</t>
  </si>
  <si>
    <t>Re-Excision</t>
  </si>
  <si>
    <t>Surgical restoration of form and/or function of a body part.</t>
  </si>
  <si>
    <t>Reconstructive Surgery</t>
  </si>
  <si>
    <t>RRT</t>
  </si>
  <si>
    <t>Any of the procedures used to supplement or substitute for the blood-filtering function of the kidneys.</t>
  </si>
  <si>
    <t>Renal Replacement Therapy</t>
  </si>
  <si>
    <t>Surgical removal of the right portion of the colon.</t>
  </si>
  <si>
    <t>Right Colectomy</t>
  </si>
  <si>
    <t>RVAD Implantation; RVAD Insertion</t>
  </si>
  <si>
    <t>A procedure involving the implantation of a mechanical pump which receives blood from the right ventricle and delivers it to the pulmonary artery.</t>
  </si>
  <si>
    <t>Right Ventricular Assist Device Insertion</t>
  </si>
  <si>
    <t>Segmental Resection</t>
  </si>
  <si>
    <t>Surgical removal of a segment of an organ or partial resection of a gland.</t>
  </si>
  <si>
    <t>Segmentectomy</t>
  </si>
  <si>
    <t>Surgical removal and examination of the lymph node which is first in receiving the lymphatic drainage of a specified anatomic location.</t>
  </si>
  <si>
    <t>Sentinel Lymph Node Biopsy</t>
  </si>
  <si>
    <t>A cardiac catheterization procedure to relieve symptoms in patients with severe obstructive hypertrophic cardiomyopathy. A catheter is used to inject alcohol into a septal artery supplying the heart muscle responsible for the obstruction, destroying the muscle tissue and relieving the obstruction.</t>
  </si>
  <si>
    <t>Septal Ablation</t>
  </si>
  <si>
    <t>Surgical removal of thin slices of tissue from a structure or organ, done with a razor blade or scalpel.</t>
  </si>
  <si>
    <t>Shave Excision</t>
  </si>
  <si>
    <t>Surgical removal of the sigmoid colon.</t>
  </si>
  <si>
    <t>Sigmoidectomy</t>
  </si>
  <si>
    <t>A dual-modality imaging technique that merges data from single-photon emission computed tomography (SPECT) and computed tomography (CT) to provide structural and functional information.</t>
  </si>
  <si>
    <t>Single Photon Tomography and Computed Tomography Scan</t>
  </si>
  <si>
    <t>Suction Blistering</t>
  </si>
  <si>
    <t>The creation of an artificially induced skin blister by the application of mechanical pressure to an area of skin, causing in vivo separation of the epidermis and dermis.</t>
  </si>
  <si>
    <t>Suction Blister Technique</t>
  </si>
  <si>
    <t>Cox Maze</t>
  </si>
  <si>
    <t>A cardiac procedure intended to inhibit atrial fibrillation, in which a series of incisions are made in the atria to block abnormal electrical circuits that contribute to atrial fibrillation.</t>
  </si>
  <si>
    <t>Surgical Maze Procedure</t>
  </si>
  <si>
    <t>The removal of excess fluid via needle puncture from the thoracic cavity.</t>
  </si>
  <si>
    <t>Thoracentesis</t>
  </si>
  <si>
    <t>TWR</t>
  </si>
  <si>
    <t>A minimally invasive surgical procedure in which video-assisted thoracoscopy is used to remove of a wedge-shaped portion of tissue from a lung lobe.</t>
  </si>
  <si>
    <t>Thorascopic Wedge Resection of the Lung</t>
  </si>
  <si>
    <t>Surgical removal of the entire colon.</t>
  </si>
  <si>
    <t>Total Colectomy</t>
  </si>
  <si>
    <t>Surgical removal of the entire pancreas.</t>
  </si>
  <si>
    <t>Total Pancreatectomy</t>
  </si>
  <si>
    <t>Tracheotomy</t>
  </si>
  <si>
    <t>Creation of a surgical opening into the trachea.</t>
  </si>
  <si>
    <t>Transcatheter Aortic Valve Implantation</t>
  </si>
  <si>
    <t>Use of a thin tube to deliver an artificial valve apparatus between the left ventricle of the heart and the aorta.</t>
  </si>
  <si>
    <t>TTE</t>
  </si>
  <si>
    <t>A non-invasive cardiac ultrasound performed by placing the transducer on the chest.</t>
  </si>
  <si>
    <t>Transthoracic Echocardiography</t>
  </si>
  <si>
    <t>TURBT</t>
  </si>
  <si>
    <t>A surgical procedure in which a resectoscope is passed through the urethra into the bladder to diagnose and remove all or part of a bladder tumor.</t>
  </si>
  <si>
    <t>Transurethral Resection of Bladder Tumor</t>
  </si>
  <si>
    <t>Surgical removal of the transverse colon.</t>
  </si>
  <si>
    <t>Transverse Colectomy</t>
  </si>
  <si>
    <t>Surgery performed for the purpose of reducing regurgitation of the cardiac valve between the right atrium and right ventricle.</t>
  </si>
  <si>
    <t>Cardiac Tricuspid Valve Repair</t>
  </si>
  <si>
    <t>Surgery performed with the purpose of replacing a degenerated, calcified, malformed, dysfunctional, etc. tricuspid valve with bioprosthetic, homograft or autograft valve.</t>
  </si>
  <si>
    <t>Tricuspid Valve Replacement</t>
  </si>
  <si>
    <t>A therapeutic procedure that involves the transplantation of hematopoietic stem cells collected from the umbilical cord or placenta.</t>
  </si>
  <si>
    <t>Umbilical Cord Blood Transplantation</t>
  </si>
  <si>
    <t>Cardiac surgical procedure performed for the removal of an aneurysm from the ventricular wall.</t>
  </si>
  <si>
    <t>Ventricular Aneurysm Resection</t>
  </si>
  <si>
    <t>Repair of ventricular septum.</t>
  </si>
  <si>
    <t>Closure of Cardiac Ventricle Septum</t>
  </si>
  <si>
    <t>Static X-Ray</t>
  </si>
  <si>
    <t>A radiographic procedure using the emission of x-rays, a type of penetrating energy wave.</t>
  </si>
  <si>
    <t>X-Ray Imaging</t>
  </si>
  <si>
    <t>DOMAIN="AE"</t>
  </si>
  <si>
    <t>Events</t>
  </si>
  <si>
    <t>One record per adverse event per subject</t>
  </si>
  <si>
    <t>STUDYID, USUBJID, AEDECOD, AESTDTC</t>
  </si>
  <si>
    <t>ae.xpt</t>
  </si>
  <si>
    <t>https://www.cdisc.org/system/files/members/standard/foundational/SDTMIG%20v3.4-FINAL_2022-07-21.pdf#page=133</t>
  </si>
  <si>
    <t>SPDEVID</t>
  </si>
  <si>
    <t>AESEQ</t>
  </si>
  <si>
    <t>AEGRPID</t>
  </si>
  <si>
    <t>AEREFID</t>
  </si>
  <si>
    <t>AESPID</t>
  </si>
  <si>
    <t>AETERM</t>
  </si>
  <si>
    <t>AEMODIFY</t>
  </si>
  <si>
    <t>AELLT</t>
  </si>
  <si>
    <t>AELLTCD</t>
  </si>
  <si>
    <t>AEDECOD</t>
  </si>
  <si>
    <t>AEPTCD</t>
  </si>
  <si>
    <t>AEHLT</t>
  </si>
  <si>
    <t>AEHLTCD</t>
  </si>
  <si>
    <t>AEHLGT</t>
  </si>
  <si>
    <t>AEHLGTCD</t>
  </si>
  <si>
    <t>AECAT</t>
  </si>
  <si>
    <t>AESCAT</t>
  </si>
  <si>
    <t>AEPRESP</t>
  </si>
  <si>
    <t>AEBODSYS</t>
  </si>
  <si>
    <t>AEBDSYCD</t>
  </si>
  <si>
    <t>AESOC</t>
  </si>
  <si>
    <t>AESOCCD</t>
  </si>
  <si>
    <t>AELOC</t>
  </si>
  <si>
    <t>AESEV</t>
  </si>
  <si>
    <t>AESER</t>
  </si>
  <si>
    <t>AEACN</t>
  </si>
  <si>
    <t>AEACNOTH</t>
  </si>
  <si>
    <t>AEACNDEV</t>
  </si>
  <si>
    <t>AEREL</t>
  </si>
  <si>
    <t>AERLDEV</t>
  </si>
  <si>
    <t>AERELNST</t>
  </si>
  <si>
    <t>AEPATT</t>
  </si>
  <si>
    <t>AEOUT</t>
  </si>
  <si>
    <t>AESCAN</t>
  </si>
  <si>
    <t>AESCONG</t>
  </si>
  <si>
    <t>AESDISAB</t>
  </si>
  <si>
    <t>AESDTH</t>
  </si>
  <si>
    <t>AESHOSP</t>
  </si>
  <si>
    <t>AESLIFE</t>
  </si>
  <si>
    <t>AESOD</t>
  </si>
  <si>
    <t>AESMIE</t>
  </si>
  <si>
    <t>AESINTV</t>
  </si>
  <si>
    <t>AEUNANT</t>
  </si>
  <si>
    <t>AERLPRT</t>
  </si>
  <si>
    <t>AERLPRC</t>
  </si>
  <si>
    <t>AECONTRT</t>
  </si>
  <si>
    <t>AETOXGR</t>
  </si>
  <si>
    <t>AESTDTC</t>
  </si>
  <si>
    <t>AEENDTC</t>
  </si>
  <si>
    <t>AESTDY</t>
  </si>
  <si>
    <t>AEENDY</t>
  </si>
  <si>
    <t>AEDUR</t>
  </si>
  <si>
    <t>AEENRF</t>
  </si>
  <si>
    <t>AEENRTPT</t>
  </si>
  <si>
    <t>AEENTPT</t>
  </si>
  <si>
    <t>Sponsor Device Identifier</t>
  </si>
  <si>
    <t>Reported Term for the Adverse Event</t>
  </si>
  <si>
    <t>Modified Reported Term</t>
  </si>
  <si>
    <t>Lowest Level Term</t>
  </si>
  <si>
    <t>Lowest Level Term Code</t>
  </si>
  <si>
    <t>Dictionary-Derived Term</t>
  </si>
  <si>
    <t>Preferred Term Code</t>
  </si>
  <si>
    <t>High Level Term</t>
  </si>
  <si>
    <t>High Level Term Code</t>
  </si>
  <si>
    <t>High Level Group Term</t>
  </si>
  <si>
    <t>High Level Group Term Code</t>
  </si>
  <si>
    <t>Category for Adverse Event</t>
  </si>
  <si>
    <t>Subcategory for Adverse Event</t>
  </si>
  <si>
    <t>Pre-Specified Adverse Event</t>
  </si>
  <si>
    <t>Body System or Organ Class</t>
  </si>
  <si>
    <t>Body System or Organ Class Code</t>
  </si>
  <si>
    <t>Primary System Organ Class</t>
  </si>
  <si>
    <t>Primary System Organ Class Code</t>
  </si>
  <si>
    <t>Location of Event</t>
  </si>
  <si>
    <t>Severity/Intensity</t>
  </si>
  <si>
    <t>Serious Event</t>
  </si>
  <si>
    <t>Action Taken with Study Treatment</t>
  </si>
  <si>
    <t>Other Action Taken</t>
  </si>
  <si>
    <t>Action Taken with Device</t>
  </si>
  <si>
    <t>Causality</t>
  </si>
  <si>
    <t>Relationship of Event to Device</t>
  </si>
  <si>
    <t>Relationship to Non-Study Treatment</t>
  </si>
  <si>
    <t>Pattern of Adverse Event</t>
  </si>
  <si>
    <t>Outcome of Adverse Event</t>
  </si>
  <si>
    <t>Involves Cancer</t>
  </si>
  <si>
    <t>Congenital Anomaly or Birth Defect</t>
  </si>
  <si>
    <t>Persist or Signif Disability/Incapacity</t>
  </si>
  <si>
    <t>Results in Death</t>
  </si>
  <si>
    <t>Requires or Prolongs Hospitalization</t>
  </si>
  <si>
    <t>Is Life Threatening</t>
  </si>
  <si>
    <t>Occurred with Overdose</t>
  </si>
  <si>
    <t>Other Medically Important Serious Event</t>
  </si>
  <si>
    <t>Needs Intervention to Prevent Impairment</t>
  </si>
  <si>
    <t>Unanticipated Adverse Device Effect</t>
  </si>
  <si>
    <t>Rel of AE to Non-Dev-Rel Study Activity</t>
  </si>
  <si>
    <t>Rel of AE to Device-Related Procedure</t>
  </si>
  <si>
    <t>Concomitant or Additional Trtmnt Given</t>
  </si>
  <si>
    <t>Standard Toxicity Grade</t>
  </si>
  <si>
    <t>Start Date/Time of Adverse Event</t>
  </si>
  <si>
    <t>End Date/Time of Adverse Event</t>
  </si>
  <si>
    <t>Study Day of Start of Adverse Event</t>
  </si>
  <si>
    <t>Study Day of End of Adverse Event</t>
  </si>
  <si>
    <t>Duration of Adverse Event</t>
  </si>
  <si>
    <t>A sequence of characters used by the sponsor to uniquely identify a specific device. Used to represent a device associated in some way with the adverse event. SPDEVID values are defined in the Device Identifiers (DI) domain.</t>
  </si>
  <si>
    <t>Internal or external identifier such as a serial number on an SAE reporting form.</t>
  </si>
  <si>
    <t>Sponsor-defined identifier. It may be preprinted on the CRF as an explicit line identifier or defined in the sponsor's operational database. Example: Line number on an Adverse Events CRF page.</t>
  </si>
  <si>
    <t>Verbatim name of the event.</t>
  </si>
  <si>
    <t>If AETERM is modified to facilitate coding, then AEMODIFY will contain the modified text.</t>
  </si>
  <si>
    <t>Dictionary-derived text description of the lowest level term.</t>
  </si>
  <si>
    <t>Dictionary-derived code for the lowest level term.</t>
  </si>
  <si>
    <t>Dictionary-derived text description of AETERM or AEMODIFY. Equivalent to the Preferred Term (PT in MedDRA). The sponsor is expected to provide the dictionary name and version used to map the terms utilizing the external codelist element in the Define-XML document.</t>
  </si>
  <si>
    <t>Dictionary-derived code for the preferred term.</t>
  </si>
  <si>
    <t>Dictionary-derived text description of the high level term for the primary system organ class (SOC).</t>
  </si>
  <si>
    <t>Dictionary-derived code for the high level term for the primary SOC.</t>
  </si>
  <si>
    <t>Dictionary-derived text description of the high level group term for the primary SOC.</t>
  </si>
  <si>
    <t>Dictionary-derived code for the high level group term for the primary SOC.</t>
  </si>
  <si>
    <t>Used to define a category of related records. Examples: "BLEEDING", "NEUROPSYCHIATRIC".</t>
  </si>
  <si>
    <t>A further categorization of adverse event. Example: "NEUROLOGIC".</t>
  </si>
  <si>
    <t>A value of "Y" indicates that this adverse event was prespecified on the CRF. Values are null for spontaneously reported events (i.e., those collected as free-text verbatim terms).</t>
  </si>
  <si>
    <t>Dictionary derived. Body system or organ class used by the sponsor from the coding dictionary (e.g., MedDRA). When using a multi-axial dictionary such as MedDRA, this should contain the SOC used for the sponsor's analyses and summary tables, which may not necessarily be the primary SOC.</t>
  </si>
  <si>
    <t>Dictionary derived. Code for the body system or organ class used by the sponsor. When using a multi-axial dictionary such as MedDRA, this should contain the SOC used for the sponsor's analyses and summary tables, which may not necessarily be the primary SOC.</t>
  </si>
  <si>
    <t>Dictionary-derived text description of the primary SOC. Will be the same as AEBODSYS if the primary SOC was used for analysis.</t>
  </si>
  <si>
    <t>Dictionary-derived code for the primary SOC. Will be the same as AEBDSYCD if the primary SOC was used for analysis.</t>
  </si>
  <si>
    <t>Describes anatomical location relevant for the event (e.g., "ARM" for skin rash).</t>
  </si>
  <si>
    <t>The severity or intensity of the event. Examples: "MILD", "MODERATE", "SEVERE".</t>
  </si>
  <si>
    <t>Is this a serious event? Valid values are "Y" and "N".</t>
  </si>
  <si>
    <t>Describes changes to the study treatment as a result of the event. AEACN is specifically for the relationship to study treatment. AEACNOTH is for actions unrelated to dose adjustments of study treatment. Examples of AEACN values include ICH E2B values: "DRUG WITHDRAWN", "DOSE REDUCED", "DOSE INCREASED", "DOSE NOT CHANGED", "UNKNOWN" and "NOT APPLICABLE".</t>
  </si>
  <si>
    <t>Describes other actions taken as a result of the event that are unrelated to dose adjustments of study treatment. Usually reported as free text. Example: "TREATMENT UNBLINDED. PRIMARY CARE PHYSICIAN NOTIFIED".</t>
  </si>
  <si>
    <t>An action taken with a device as the result of the event. The device may or may not be a device under study.</t>
  </si>
  <si>
    <t>Records the investigator's opinion as to the causality of the event to the treatment. ICH does not establish any required or recommended terms for non-device relatedness. ICH E2A and E2B examples include (up-cased here for alignment to SDTM conventions) terms such as "NOT RELATED", "UNLIKELY RELATED", "POSSIBLY RELATED", "RELATED", but these example terms do not establish any conventions or expectations. Controlled terminology may be defined in the future. Check with regulatory authority for population of this variable.</t>
  </si>
  <si>
    <t>A judgment as to the likelihood that the device caused the adverse event. The relationship is to a device identified in the data (i.e., has an SPDEVID). The device may be ancillary or under study. \n Terminology: \n * In the EU, follow the European Commission Guidelines on Medical Devices, Clinical Investigations: SAE Reporting (MEDDEV 2.7/3) (e.g., Not Related, Unlikely, Possible, Probable, Causal Relationship), with device-specific definitions. \n * No required Controlled Terminology in US.</t>
  </si>
  <si>
    <t>Records the investigator's opinion as to whether the event may have been due to a treatment other than study drug. May be reported as free text. Example: "MORE LIKELY RELATED TO ASPIRIN USE".</t>
  </si>
  <si>
    <t>Used to indicate the pattern of the event over time. Examples: "INTERMITTENT", "CONTINUOUS", "SINGLE EVENT".</t>
  </si>
  <si>
    <t>Description of the outcome of an event.</t>
  </si>
  <si>
    <t>Was the serious event associated with the development of cancer? Valid values are "Y" and "N". This is a legacy seriousness criterion. It is not included in ICH E2A or E2B.</t>
  </si>
  <si>
    <t>Was the serious event associated with congenital anomaly or birth defect? Valid values are "Y" and "N".</t>
  </si>
  <si>
    <t>Did the serious event result in persistent or significant disability/incapacity? Valid values are "Y" and "N".</t>
  </si>
  <si>
    <t>Did the serious event result in death? Valid values are "Y" and "N".</t>
  </si>
  <si>
    <t>Did the serious event require or prolong hospitalization? Valid values are "Y" and "N".</t>
  </si>
  <si>
    <t>Was the serious event life-threatening? Valid values are "Y" and "N".</t>
  </si>
  <si>
    <t>Did the serious event occur with an overdose? Valid values are "Y" and "N". This is a legacy seriousness criterion. It is not included in ICH E2A or E2B.</t>
  </si>
  <si>
    <t>Do additional categories for seriousness apply? Valid values are "Y" and "N".</t>
  </si>
  <si>
    <t>Records whether medical or surgical intervention was necessary to preclude permanent impairment of a body function, or to prevent permanent damage to a body structure, with either situation suspected to be due to the use of a medical product. This variable is used in conjunction with the other "seriousness" variables (e.g., fatal, life-threatening). It is part of the US federal government definition of a serious adverse event; see 21 CFR Part 803.3(w)(3).</t>
  </si>
  <si>
    <t>Any serious adverse effect on health or safety or any life-threatening problem or death caused by or associated with a device, if that effect, problem, or death was not previously identified in nature, severity, or degree of incidence in the investigational plan or application (including a supplementary plan or application), \n or \n any other unanticipated serious problem associated with a device that relates to the rights, safety, or welfare of subjects. (21 CFR Part 812.3(s)). \n This variable applies only to serious AEs and should hold collected data; if the value is derived, it should be held in ADaM.</t>
  </si>
  <si>
    <t>The investigator's opinion as to the causality of the event as related to other protocol-required activities, actions, or assessments (e.g., medication changes, tests/assessments, other procedures). The relationship is to a protocol-specified, non-device-related activity where the device is identified in the data (i.e., has an SPDEVID). The device may be ancillary or under study. \n Terminology: \n * In the EU, follow the European Commission Guidelines on Medical Devices, Clinical Investigations: SAE Reporting (MEDDEV 2.7/3) (e.g., Not Related, Unlikely, Possible, Probable, Causal Relationship), with device-specific definitions. \n * No required Controlled Terminology in US.</t>
  </si>
  <si>
    <t>The investigator's opinion as to the likelihood that the device-related study procedure (e.g., implant/insertion, revision/adjustment, explant/removal) caused the AE. The relationship is to a device-related procedure where the device is identified in the data (i.e., has an SPDEVID). The device may be ancillary or under study. \n Terminology: \n * In the EU, follow the European Commission Guidelines on Medical Devices, Clinical Investigations: SAE Reporting (MEDDEV 2.7/3) (e.g., Not Related, Unlikely, Possible, Probable, Causal Relationship), with device-specific definitions. \n * No required Controlled Terminology in US.</t>
  </si>
  <si>
    <t>Was another treatment given because of the occurrence of the event? Valid values are "Y" and "N".</t>
  </si>
  <si>
    <t>Toxicity grade according to a standard toxicity scale (e.g., Common Terminology Criteria for Adverse Events, CTCAE). Sponsors should specify the name of the scale and version used in the metadata (see assumption 7d). If value is from a numeric scale, represent only the number (e.g., "2", not "Grade 2").</t>
  </si>
  <si>
    <t>Epoch associated with the start date/time of the adverse event. Examples: "SCREENING", "TREATMENT", "FOLLOW-UP".</t>
  </si>
  <si>
    <t>Start date/time of the adverse event represented in ISO 8601 character format.</t>
  </si>
  <si>
    <t>End date/time of the adverse event represented in ISO 8601 character format.</t>
  </si>
  <si>
    <t>Study day of start of adverse event relative to the sponsor-defined RFSTDTC.</t>
  </si>
  <si>
    <t>Study day of end of event relative to the sponsor-defined RFSTDTC.</t>
  </si>
  <si>
    <t>Collected duration and unit of an adverse event. Used only if collected on the CRF and not derived from start and end date/times. Example: "P1DT2H" (for 1 day, 2 hours).</t>
  </si>
  <si>
    <t>Describes the end of the event relative to the sponsor-defined reference period. The sponsor-defined reference period is a continuous period of time defined by a discrete starting point (RFSTDTC) and a discrete ending point (RFENDTC) of the trial. \n Not all values of the codelist are allowable for this variable. See Section 4.4.7, Use of Relative Timing Variables.</t>
  </si>
  <si>
    <t>Identifies the end of the event as being before or after the reference time point defined by variable AEENTPT. \n Not all values of the codelist are allowable for this variable. See Section 4.4.7, Use of Relative Timing Variables.</t>
  </si>
  <si>
    <t>Description of date/time in ISO 8601 character format of the reference point referred to by AEENRTPT. Examples: "2003-12-25", "VISIT 2".</t>
  </si>
  <si>
    <t>Description available under https://www.meddra.org/</t>
  </si>
  <si>
    <t>CL.C66769.AESEV</t>
  </si>
  <si>
    <t>Severity/Intensity Scale for Adverse Events</t>
  </si>
  <si>
    <t>C66769</t>
  </si>
  <si>
    <t>A scale that defines the degree or state of disease existing in a patient as a result of the occurrence of an adverse event. (NCI)</t>
  </si>
  <si>
    <t>CDISC SDTM Severity Intensity Scale for Adverse Event Terminology</t>
  </si>
  <si>
    <t>MILD</t>
  </si>
  <si>
    <t>MODERATE</t>
  </si>
  <si>
    <t>SEVERE</t>
  </si>
  <si>
    <t>C41338</t>
  </si>
  <si>
    <t>C41339</t>
  </si>
  <si>
    <t>C41340</t>
  </si>
  <si>
    <t>1; Grade 1</t>
  </si>
  <si>
    <t>A type of adverse event that is usually transient and may require only minimal treatment or therapeutic intervention. The event does not generally interfere with usual activities of daily living.</t>
  </si>
  <si>
    <t>Mild Adverse Event</t>
  </si>
  <si>
    <t>2; Grade 2</t>
  </si>
  <si>
    <t>A type of adverse event that is usually alleviated with additional specific therapeutic intervention. The event interferes with usual activities of daily living, causing discomfort but poses no significant or permanent risk of harm to the research participant.</t>
  </si>
  <si>
    <t>Moderate Adverse Event</t>
  </si>
  <si>
    <t>3; Grade 3</t>
  </si>
  <si>
    <t>A type of adverse event that interrupts usual activities of daily living, or significantly affects clinical status, or may require intensive therapeutic intervention.</t>
  </si>
  <si>
    <t>Severe Adverse Event</t>
  </si>
  <si>
    <t>CL.C66767.ACN</t>
  </si>
  <si>
    <t>C66767</t>
  </si>
  <si>
    <t>ACN</t>
  </si>
  <si>
    <t>Terminology specifying changes to the study treatment as a result of an adverse event.</t>
  </si>
  <si>
    <t>CDISC SDTM Action Taken with Study Treatment Terminology</t>
  </si>
  <si>
    <t>DOSE INCREASED</t>
  </si>
  <si>
    <t>DOSE NOT CHANGED</t>
  </si>
  <si>
    <t>DOSE RATE REDUCED</t>
  </si>
  <si>
    <t>DOSE REDUCED</t>
  </si>
  <si>
    <t>DRUG INTERRUPTED</t>
  </si>
  <si>
    <t>DRUG WITHDRAWN</t>
  </si>
  <si>
    <t>C49503</t>
  </si>
  <si>
    <t>C49504</t>
  </si>
  <si>
    <t>C150826</t>
  </si>
  <si>
    <t>C49505</t>
  </si>
  <si>
    <t>C49501</t>
  </si>
  <si>
    <t>C49502</t>
  </si>
  <si>
    <t>An indication that a medication schedule was modified by addition; either by changing the frequency, strength or amount. (NCI)</t>
  </si>
  <si>
    <t>Dose Increased</t>
  </si>
  <si>
    <t>An indication that a medication schedule was maintained. (NCI)</t>
  </si>
  <si>
    <t>Dose Not Changed</t>
  </si>
  <si>
    <t>An indication that the administration of a medication was modified by reducing the rate at which the dose was given, without reducing the total dose administered.</t>
  </si>
  <si>
    <t>Dose Rate Reduced</t>
  </si>
  <si>
    <t>An indication that a medication schedule was modified by subtraction, either by changing the frequency, strength or amount. (NCI)</t>
  </si>
  <si>
    <t>Dose Reduced</t>
  </si>
  <si>
    <t>An indication that a medication schedule was modified by temporarily terminating a prescribed regimen of medication. (NCI)</t>
  </si>
  <si>
    <t>Drug Interrupted</t>
  </si>
  <si>
    <t>An indication that a medication schedule was modified through termination of a prescribed regimen of medication. (NCI)</t>
  </si>
  <si>
    <t>Drug Withdrawn</t>
  </si>
  <si>
    <t>Device Events Action Taken with Device</t>
  </si>
  <si>
    <t>DEACNDEV</t>
  </si>
  <si>
    <t>C111110</t>
  </si>
  <si>
    <t>A terminology codelist based on the action taken with respect to the device.</t>
  </si>
  <si>
    <t>CDISC SDTM Device Events Action Taken with Device Terminology</t>
  </si>
  <si>
    <t>CL.C111110.DEACNDEV</t>
  </si>
  <si>
    <t>CALIBRATION</t>
  </si>
  <si>
    <t>REMOVAL</t>
  </si>
  <si>
    <t>REPROGRAMMING</t>
  </si>
  <si>
    <t>C69187</t>
  </si>
  <si>
    <t>C61575</t>
  </si>
  <si>
    <t>C111306</t>
  </si>
  <si>
    <t>The act of checking or adjusting (by comparison with a standard) the accuracy of a measuring instrument. (NCI)</t>
  </si>
  <si>
    <t>Calibration</t>
  </si>
  <si>
    <t>The act of taking out, extracting, or withdrawing an entity from a location.</t>
  </si>
  <si>
    <t>Extraction</t>
  </si>
  <si>
    <t>The act of rewriting program code or application software. (NCI)</t>
  </si>
  <si>
    <t>Reprogram</t>
  </si>
  <si>
    <t>C66768</t>
  </si>
  <si>
    <t>OUT</t>
  </si>
  <si>
    <t>Outcome of Event</t>
  </si>
  <si>
    <t>A condition or event that is attributed to the adverse event and is the result or conclusion of the adverse event. (NCI)</t>
  </si>
  <si>
    <t>CDISC SDTM Adverse Event Outcome Terminology</t>
  </si>
  <si>
    <t>CL.C66768.OUT</t>
  </si>
  <si>
    <t>FATAL</t>
  </si>
  <si>
    <t>NOT RECOVERED/NOT RESOLVED</t>
  </si>
  <si>
    <t>RECOVERED/RESOLVED WITH SEQUELAE</t>
  </si>
  <si>
    <t>RECOVERED/RESOLVED</t>
  </si>
  <si>
    <t>RECOVERING/RESOLVING</t>
  </si>
  <si>
    <t>C48275</t>
  </si>
  <si>
    <t>C49494</t>
  </si>
  <si>
    <t>C49495</t>
  </si>
  <si>
    <t>C49498</t>
  </si>
  <si>
    <t>C49496</t>
  </si>
  <si>
    <t>5; FATAL; Grade 5</t>
  </si>
  <si>
    <t>The termination of life as a result of an adverse event. (NCI)</t>
  </si>
  <si>
    <t>Death Related to Adverse Event</t>
  </si>
  <si>
    <t>One of the possible results of an adverse event outcome that indicates that the event has not improved or recuperated. (NCI)</t>
  </si>
  <si>
    <t>Not Recovered from Adverse Event</t>
  </si>
  <si>
    <t>One of the possible results of an adverse event outcome where the subject recuperated but retained pathological conditions resulting from the prior disease or injury. (NCI)</t>
  </si>
  <si>
    <t>Recovered from Adverse Event with Sequelae</t>
  </si>
  <si>
    <t>One of the possible results of an adverse event outcome that indicates that the event has improved or recuperated. (NCI)</t>
  </si>
  <si>
    <t>Recovered from Adverse Event</t>
  </si>
  <si>
    <t>One of the possible results of an adverse event outcome that indicates that the event is improving. (NCI)</t>
  </si>
  <si>
    <t>Recovering or Resolving</t>
  </si>
  <si>
    <t>One record per instance per biospecimen event per biospecimen identifier per subject</t>
  </si>
  <si>
    <t>be.xpt</t>
  </si>
  <si>
    <t>https://www.cdisc.org/system/files/members/standard/foundational/SDTMIG%20v3.4-FINAL_2022-07-21.pdf#page=143</t>
  </si>
  <si>
    <t>BESEQ</t>
  </si>
  <si>
    <t>BEGRPID</t>
  </si>
  <si>
    <t>BEREFID</t>
  </si>
  <si>
    <t>BESPID</t>
  </si>
  <si>
    <t>BETERM</t>
  </si>
  <si>
    <t>Reported Term for the Biospecimen Event</t>
  </si>
  <si>
    <t>BEMODIFY</t>
  </si>
  <si>
    <t>BEDECOD</t>
  </si>
  <si>
    <t>BECAT</t>
  </si>
  <si>
    <t>Category for Biospecimen Event</t>
  </si>
  <si>
    <t>BESCAT</t>
  </si>
  <si>
    <t>Subcategory for Biospecimen Event</t>
  </si>
  <si>
    <t>BELOC</t>
  </si>
  <si>
    <t>Anatomical Location of Event</t>
  </si>
  <si>
    <t>BEPARTY</t>
  </si>
  <si>
    <t>Accountable Party</t>
  </si>
  <si>
    <t>BEPRTYID</t>
  </si>
  <si>
    <t>Identification of Accountable Party</t>
  </si>
  <si>
    <t>BEDTC</t>
  </si>
  <si>
    <t>Date/Time of Specimen Collection</t>
  </si>
  <si>
    <t>BESTDTC</t>
  </si>
  <si>
    <t>Start Date/Time of Biospecimen Event</t>
  </si>
  <si>
    <t>BEENDTC</t>
  </si>
  <si>
    <t>End Date/Time of Biospecimen Event</t>
  </si>
  <si>
    <t>BESTDY</t>
  </si>
  <si>
    <t>Study Day of Start of Biospecimen Event</t>
  </si>
  <si>
    <t>BEENDY</t>
  </si>
  <si>
    <t>Study Day of End of Biospecimen Event</t>
  </si>
  <si>
    <t>BEDUR</t>
  </si>
  <si>
    <t>Duration of Biospecimen Event</t>
  </si>
  <si>
    <t>DOMAIN="BE"</t>
  </si>
  <si>
    <t>Sponsor-defined identifier for a device.</t>
  </si>
  <si>
    <t>Sequence number to ensure uniqueness of records within a dataset for a subject. May be any valid number (including decimals) and does not have to start at 1.</t>
  </si>
  <si>
    <t>Optional group identifier, used to link together a block of related records within a subject in a domain.</t>
  </si>
  <si>
    <t>Internal or external identifier for the specimen affected or created by the event.</t>
  </si>
  <si>
    <t>Optional sponsor-defined reference number. Example: Line number on a CRF page.</t>
  </si>
  <si>
    <t>Topic variable for an event observation, which is the verbatim or pre-specified name of the event.</t>
  </si>
  <si>
    <t>If the value for BETERM is modified for coding purposes, then the modified text is placed here.</t>
  </si>
  <si>
    <t>Dictionary-derived text description of BETERM or BEMODIFY, if applicable.</t>
  </si>
  <si>
    <t>Used to define a category of topic-variable values. Example: COLLECTION, PREPARATION, TRANSPORT.</t>
  </si>
  <si>
    <t>A further categorization of BECAT values.</t>
  </si>
  <si>
    <t>Describes the anatomical location relevant for the event (e.g. BRAIN, LUNG).</t>
  </si>
  <si>
    <t>Party accountable for the transferable object (e.g. specimen) as a result of the activity performed in the associated BETERM variable. The party could be an individual (e.g., subject), an organization (e.g., sponsor), or a location that is a proxy for an individual or organization (e.g., site). It is usually a somewhat general term that is further identified in the BEPRTYID variable.</t>
  </si>
  <si>
    <t>Identification of the specific party accountable for the transferable object (e.g. Specimen) after the action in BETERM is taken. Used in conjunction with BEPARTY.</t>
  </si>
  <si>
    <t>Protocol-defined description of clinical encounter.</t>
  </si>
  <si>
    <t>Date and time of specimen collection.</t>
  </si>
  <si>
    <t>Start date/time of the event.</t>
  </si>
  <si>
    <t>End date/time of the event.</t>
  </si>
  <si>
    <t>Collected duration and unit of a biospecimen event. Used only if collected on the CRF and not derived from start and end date/times. Example: P1DT2H (for 1 day, 2 hours).</t>
  </si>
  <si>
    <t>C124297</t>
  </si>
  <si>
    <t>Biospecimen Events Dictionary Derived Term</t>
  </si>
  <si>
    <t>A terminology codelist based on the standardized or preprinted name of the biospecimen event that occurs.</t>
  </si>
  <si>
    <t>CDISC SDTM Biospecimen Events Dictionary Derived Term Terminology</t>
  </si>
  <si>
    <t>CL.C124297.BEDECOD</t>
  </si>
  <si>
    <t>ALIQUOTING</t>
  </si>
  <si>
    <t>ARCHIVE RETRIEVING</t>
  </si>
  <si>
    <t>CENTRIFUGING</t>
  </si>
  <si>
    <t>COLLECTING</t>
  </si>
  <si>
    <t>CONCENTRATING</t>
  </si>
  <si>
    <t>CONSUMING</t>
  </si>
  <si>
    <t>CULTURING</t>
  </si>
  <si>
    <t>DECONTAMINATING</t>
  </si>
  <si>
    <t>DESTROYING</t>
  </si>
  <si>
    <t>DILUTING</t>
  </si>
  <si>
    <t>EMBEDDING</t>
  </si>
  <si>
    <t>EXTRACTING</t>
  </si>
  <si>
    <t>FIXING</t>
  </si>
  <si>
    <t>FLASH FREEZING</t>
  </si>
  <si>
    <t>FREEZING</t>
  </si>
  <si>
    <t>ISOLATING</t>
  </si>
  <si>
    <t>PARTIAL CONSUMING</t>
  </si>
  <si>
    <t>RECEIVING</t>
  </si>
  <si>
    <t>RETRIEVING</t>
  </si>
  <si>
    <t>SECTIONING</t>
  </si>
  <si>
    <t>SHIPPING</t>
  </si>
  <si>
    <t>STAINING</t>
  </si>
  <si>
    <t>STORING</t>
  </si>
  <si>
    <t>THAWING</t>
  </si>
  <si>
    <t>C124326</t>
  </si>
  <si>
    <t>C154710</t>
  </si>
  <si>
    <t>C16410</t>
  </si>
  <si>
    <t>C25453</t>
  </si>
  <si>
    <t>C85856</t>
  </si>
  <si>
    <t>C66715</t>
  </si>
  <si>
    <t>C17201</t>
  </si>
  <si>
    <t>C68769</t>
  </si>
  <si>
    <t>C62100</t>
  </si>
  <si>
    <t>C64657</t>
  </si>
  <si>
    <t>C48163</t>
  </si>
  <si>
    <t>C25219</t>
  </si>
  <si>
    <t>C63521</t>
  </si>
  <si>
    <t>C48160</t>
  </si>
  <si>
    <t>C128947</t>
  </si>
  <si>
    <t>C174272</t>
  </si>
  <si>
    <t>C25639</t>
  </si>
  <si>
    <t>C25659</t>
  </si>
  <si>
    <t>C124327</t>
  </si>
  <si>
    <t>C40353</t>
  </si>
  <si>
    <t>C23010</t>
  </si>
  <si>
    <t>C60824</t>
  </si>
  <si>
    <t>C48165</t>
  </si>
  <si>
    <t>The act of dividing a liquid item into multiple items of smaller volume.</t>
  </si>
  <si>
    <t>Aliquotting</t>
  </si>
  <si>
    <t>The act of removing a biological specimen from a biobank or other biorepository for further use.</t>
  </si>
  <si>
    <t>Archive Sample Retrieval</t>
  </si>
  <si>
    <t>Separating and isolating components of different density and size in a specimen using centrifugal force.</t>
  </si>
  <si>
    <t>Centrifugation</t>
  </si>
  <si>
    <t>The act of gathering an item.</t>
  </si>
  <si>
    <t>Collection</t>
  </si>
  <si>
    <t>The act of increasing the density of a substance and decreasing its volume.</t>
  </si>
  <si>
    <t>Concentrate</t>
  </si>
  <si>
    <t>The act of using something up to the point of depletion.</t>
  </si>
  <si>
    <t>Consumption</t>
  </si>
  <si>
    <t>The act of maintaining and/or attempting to grow explanted cells in an in vitro environment.</t>
  </si>
  <si>
    <t>Tissue Culture</t>
  </si>
  <si>
    <t>The act of ridding of contamination.</t>
  </si>
  <si>
    <t>Decontamination</t>
  </si>
  <si>
    <t>The act of demolishing an item to make it unusable or unanalyzable.</t>
  </si>
  <si>
    <t>Destruction</t>
  </si>
  <si>
    <t>To reduce in strength or concentration by the addition of diluent.</t>
  </si>
  <si>
    <t>Dilute</t>
  </si>
  <si>
    <t>To surround an object with a firm chemical substance such as wax or resin.</t>
  </si>
  <si>
    <t>Embedding</t>
  </si>
  <si>
    <t>To chemically preserve so as to maintain structural and/or molecular features.</t>
  </si>
  <si>
    <t>Fixation</t>
  </si>
  <si>
    <t>To freeze rapidly so as to preserve structure and prevent ice crystal formation.</t>
  </si>
  <si>
    <t>Quick Freeze</t>
  </si>
  <si>
    <t>The process whereby cold changes the water component from a liquid to a solid.</t>
  </si>
  <si>
    <t>Freezing</t>
  </si>
  <si>
    <t>The act of separating out a target entity from a larger set of such entities.</t>
  </si>
  <si>
    <t>Specimen Isolation</t>
  </si>
  <si>
    <t>The act of using something up without full depletion.</t>
  </si>
  <si>
    <t>Partial Consumption</t>
  </si>
  <si>
    <t>Coming into possession of or acting as the receptacle or recipient of an item conveyed by an intermediary to the intended destination, from a sender.</t>
  </si>
  <si>
    <t>Receive</t>
  </si>
  <si>
    <t>The act of accessing information or removing an item from storage.</t>
  </si>
  <si>
    <t>Retrieval</t>
  </si>
  <si>
    <t>To cut a very thin slice of tissue or other substance.</t>
  </si>
  <si>
    <t>Sectioning</t>
  </si>
  <si>
    <t>Being transported or conveyed by an intermediary to a destination, from the sender to the intended receiver.</t>
  </si>
  <si>
    <t>Shipping</t>
  </si>
  <si>
    <t>To dye or tint tissues or other biological samples for the purpose of imaging structures.</t>
  </si>
  <si>
    <t>Staining Method</t>
  </si>
  <si>
    <t>The act of safekeeping items in a depository.</t>
  </si>
  <si>
    <t>Storage</t>
  </si>
  <si>
    <t>The process whereby heat changes the water component from a solid to a liquid.</t>
  </si>
  <si>
    <t>Thaw</t>
  </si>
  <si>
    <t>One record per disposition status or protocol milestone per subject</t>
  </si>
  <si>
    <t>STUDYID, USUBJID, BEREFID, BETERM, BESDTC</t>
  </si>
  <si>
    <t>STUDYID, USUBJID, DSDECOD, DSSTDTC</t>
  </si>
  <si>
    <t>ds.xpt</t>
  </si>
  <si>
    <t>DOMAIN="DS"</t>
  </si>
  <si>
    <t>https://www.cdisc.org/system/files/members/standard/foundational/SDTMIG%20v3.4-FINAL_2022-07-21.pdf#page=155</t>
  </si>
  <si>
    <t>DSSEQ</t>
  </si>
  <si>
    <t>DSGRPID</t>
  </si>
  <si>
    <t>DSREFID</t>
  </si>
  <si>
    <t>DSSPID</t>
  </si>
  <si>
    <t>DSTERM</t>
  </si>
  <si>
    <t>Reported Term for the Disposition Event</t>
  </si>
  <si>
    <t>DSDECOD</t>
  </si>
  <si>
    <t>Standardized Disposition Term</t>
  </si>
  <si>
    <t>DSCAT</t>
  </si>
  <si>
    <t>Category for Disposition Event</t>
  </si>
  <si>
    <t>DSSCAT</t>
  </si>
  <si>
    <t>Subcategory for Disposition Event</t>
  </si>
  <si>
    <t>DSDTC</t>
  </si>
  <si>
    <t>DSSTDTC</t>
  </si>
  <si>
    <t>Start Date/Time of Disposition Event</t>
  </si>
  <si>
    <t>DSDY</t>
  </si>
  <si>
    <t>DSSTDY</t>
  </si>
  <si>
    <t>Study Day of Start of Disposition Event</t>
  </si>
  <si>
    <t>Internal or external identifier.</t>
  </si>
  <si>
    <t>Sponsor-defined reference number. May be preprinted on the CRF as an explicit line identifier or defined in the sponsor's operational database. Example: Line number on a Disposition page.</t>
  </si>
  <si>
    <t>Verbatim name of the event or protocol milestone. Some terms in DSTERM will match DSDECOD, but others, such as "Subject moved", will map to controlled terminology in DSDECOD, such as "LOST TO FOLLOW-UP".</t>
  </si>
  <si>
    <t>Controlled terminology for the name of disposition event or protocol milestone. Examples of protocol milestones: "INFORMED CONSENT OBTAINED", "RANDOMIZED". There are separate codelists used for DSDECOD where the choice depends on the value of DSCAT. Codelist "NCOMPLT" is used for disposition events, codelist "PROTMLST" is used for protocol milestones, and codelist "OTHEVENT" is used for other events.</t>
  </si>
  <si>
    <t>Used to define a category of related records.</t>
  </si>
  <si>
    <t>A further categorization of DSCAT (e.g., "STUDY PARTICIPATION", "STUDY TREATMENT" when DSCAT = "DISPOSITION EVENT"). The variable may be subject to controlled terminology for other categories of disposition event records.</t>
  </si>
  <si>
    <t>Epoch associated with the start date/time of the event.</t>
  </si>
  <si>
    <t>Collection date and time of the disposition observation represented in ISO 8601 character format.</t>
  </si>
  <si>
    <t>Start date/time of the disposition event in ISO 8601 character format.</t>
  </si>
  <si>
    <t>Study day of collection of event relative to the sponsor-defined RFSTDTC.</t>
  </si>
  <si>
    <t>Study day of start of event relative to the sponsor-defined RFSTDTC.</t>
  </si>
  <si>
    <t>Category of Disposition Event</t>
  </si>
  <si>
    <t>C74558</t>
  </si>
  <si>
    <t>Classifications that describe and group pertinent events that occur throughout the conduct of a clinical trial.</t>
  </si>
  <si>
    <t>CDISC SDTM Category For Disposition Event Terminology</t>
  </si>
  <si>
    <t>DISPOSITION EVENT</t>
  </si>
  <si>
    <t>OTHER EVENT</t>
  </si>
  <si>
    <t>PROTOCOL MILESTONE</t>
  </si>
  <si>
    <t>C74590</t>
  </si>
  <si>
    <t>C150824</t>
  </si>
  <si>
    <t>C74588</t>
  </si>
  <si>
    <t>Disposition Event</t>
  </si>
  <si>
    <t>The group of incidents that occur during a clinical trial and describe whether a subject completed the study epoch or the reason this event did not occur. The subject's disposition is often described for each phase of the study.</t>
  </si>
  <si>
    <t>Protocol Disposition Event</t>
  </si>
  <si>
    <t>Other Event</t>
  </si>
  <si>
    <t>Other important events that occur during a trial but are not driven by protocol requirements.</t>
  </si>
  <si>
    <t>Non-Protocol Disposition Event</t>
  </si>
  <si>
    <t>Protocol Milestone</t>
  </si>
  <si>
    <t>Occurrences within some epochs that are initiated by a protocol-specified event. The most common protocol milestone is "Informed Consent Obtained" which usually documents the start of the study.</t>
  </si>
  <si>
    <t>CL.C170443.DSSCAT</t>
  </si>
  <si>
    <t>C170443</t>
  </si>
  <si>
    <t>Terminology relevant to the subcategory for disposition events.</t>
  </si>
  <si>
    <t>CDISC SDTM Subcategory for Disposition Event Terminology</t>
  </si>
  <si>
    <t>STUDY PARTICIPATION</t>
  </si>
  <si>
    <t>STUDY TREATMENT</t>
  </si>
  <si>
    <t>C170569</t>
  </si>
  <si>
    <t>C170570</t>
  </si>
  <si>
    <t>The act of taking part in a study.</t>
  </si>
  <si>
    <t>Study Participation</t>
  </si>
  <si>
    <t>The act of taking part in the treatment phase of a study.</t>
  </si>
  <si>
    <t>Study Treatment Phase Participation</t>
  </si>
  <si>
    <t>CL.C74558.DSCAT</t>
  </si>
  <si>
    <t>CL.C66727.NCOMPLT</t>
  </si>
  <si>
    <t>Completion/Reason for Non-Completion</t>
  </si>
  <si>
    <t>NCOMPLT</t>
  </si>
  <si>
    <t>C66727</t>
  </si>
  <si>
    <t>The status of the subject's completion of the study or a segment of the study, or the reason the subject discontinued the study or segment of the study.</t>
  </si>
  <si>
    <t>CDISC SDTM Reason for Non-Completion Terminology</t>
  </si>
  <si>
    <t>ADVERSE EVENT</t>
  </si>
  <si>
    <t>APPROVED DRUG AVAILABLE FOR INDICATION</t>
  </si>
  <si>
    <t>COMPLETED</t>
  </si>
  <si>
    <t>DEATH</t>
  </si>
  <si>
    <t>DISEASE RELAPSE</t>
  </si>
  <si>
    <t>FAILURE TO MEET CONTINUATION CRITERIA</t>
  </si>
  <si>
    <t>FAILURE TO MEET RANDOMIZATION CRITERIA</t>
  </si>
  <si>
    <t>LACK OF EFFICACY</t>
  </si>
  <si>
    <t>LOGISTICAL PROBLEM</t>
  </si>
  <si>
    <t>LOST TO FOLLOW-UP</t>
  </si>
  <si>
    <t>MET ELIGIBILITY CRITERIA BUT NOT NEEDED</t>
  </si>
  <si>
    <t>NEVER DOSED</t>
  </si>
  <si>
    <t>NO LONGER CLINICALLY BENEFITING</t>
  </si>
  <si>
    <t>NON-COMPLIANCE WITH NON-STUDY DEVICE</t>
  </si>
  <si>
    <t>NON-COMPLIANCE WITH STUDY DEVICE</t>
  </si>
  <si>
    <t>NON-COMPLIANCE WITH STUDY DRUG</t>
  </si>
  <si>
    <t>NON-COMPLIANCE WITH STUDY SCHEDULE</t>
  </si>
  <si>
    <t>PARTNER PREGNANCY</t>
  </si>
  <si>
    <t>PHYSICIAN DECISION</t>
  </si>
  <si>
    <t>PREGNANCY</t>
  </si>
  <si>
    <t>PROGRESSIVE DISEASE</t>
  </si>
  <si>
    <t>PROTOCOL DEVIATION</t>
  </si>
  <si>
    <t>PROTOCOL VIOLATION</t>
  </si>
  <si>
    <t>PROTOCOL-SPECIFIED WITHDRAWAL CRITERION MET</t>
  </si>
  <si>
    <t>RANDOMIZED BY MISTAKE WITH STUDY TREATMENT</t>
  </si>
  <si>
    <t>RANDOMIZED BY MISTAKE WITHOUT STUDY TREATMENT</t>
  </si>
  <si>
    <t>RANDOMIZED BY MISTAKE</t>
  </si>
  <si>
    <t>RECOVERY</t>
  </si>
  <si>
    <t>REQUIRES PROHIBITED MEDICATION</t>
  </si>
  <si>
    <t>SCREENING NOT COMPLETED</t>
  </si>
  <si>
    <t>SITE TERMINATED BY SPONSOR</t>
  </si>
  <si>
    <t>SPONSOR REQUEST</t>
  </si>
  <si>
    <t>STUDY TERMINATED BY SPONSOR</t>
  </si>
  <si>
    <t>TECHNICAL PROBLEMS</t>
  </si>
  <si>
    <t>WITHDRAWAL BY PARENT/GUARDIAN</t>
  </si>
  <si>
    <t>WITHDRAWAL BY SUBJECT</t>
  </si>
  <si>
    <t>WITHDRAWAL OF CONSENT</t>
  </si>
  <si>
    <t>C41331</t>
  </si>
  <si>
    <t>C172573</t>
  </si>
  <si>
    <t>C25250</t>
  </si>
  <si>
    <t>C28554</t>
  </si>
  <si>
    <t>C38155</t>
  </si>
  <si>
    <t>C139236</t>
  </si>
  <si>
    <t>C105448</t>
  </si>
  <si>
    <t>C48226</t>
  </si>
  <si>
    <t>C176343</t>
  </si>
  <si>
    <t>C48227</t>
  </si>
  <si>
    <t>C150884</t>
  </si>
  <si>
    <t>C172572</t>
  </si>
  <si>
    <t>C156551</t>
  </si>
  <si>
    <t>C139240</t>
  </si>
  <si>
    <t>C139241</t>
  </si>
  <si>
    <t>C49631</t>
  </si>
  <si>
    <t>C161411</t>
  </si>
  <si>
    <t>C191340</t>
  </si>
  <si>
    <t>C48250</t>
  </si>
  <si>
    <t>C191656</t>
  </si>
  <si>
    <t>C35571</t>
  </si>
  <si>
    <t>C50996</t>
  </si>
  <si>
    <t>C142185</t>
  </si>
  <si>
    <t>C142349</t>
  </si>
  <si>
    <t>C139238</t>
  </si>
  <si>
    <t>C139239</t>
  </si>
  <si>
    <t>C139237</t>
  </si>
  <si>
    <t>C25746</t>
  </si>
  <si>
    <t>C191339</t>
  </si>
  <si>
    <t>C166074</t>
  </si>
  <si>
    <t>C106576</t>
  </si>
  <si>
    <t>C161410</t>
  </si>
  <si>
    <t>C49632</t>
  </si>
  <si>
    <t>C49633</t>
  </si>
  <si>
    <t>C102355</t>
  </si>
  <si>
    <t>C49634</t>
  </si>
  <si>
    <t>C176342</t>
  </si>
  <si>
    <t>Any untoward medical occurrence in a patient or clinical investigation subject administered a pharmaceutical product and which does not necessarily have a causal relationship with this treatment. An adverse event (AE) can therefore be any unintended sign (including an abnormal laboratory finding), symptom, or disease temporally associated with the use of a medicinal (investigational) product, whether or not related to the medicinal (investigational) product. NOTE: For further information, see the ICH Guideline for Clinical Safety Data Management: Definitions and Standards for Expedited Reporting. [Modified from ICH E2A] Synonyms: side effect, adverse experience. See also serious adverse event, serious adverse experience. (CDISC glossary)</t>
  </si>
  <si>
    <t>Adverse Event</t>
  </si>
  <si>
    <t>An indication that an approved drug is available for use for the disease indication.</t>
  </si>
  <si>
    <t>Approved Drug Available For Indication</t>
  </si>
  <si>
    <t>To possess every necessary or normal part or component or step; having come or been brought to a conclusion. (NCI)</t>
  </si>
  <si>
    <t>Complete</t>
  </si>
  <si>
    <t>Died</t>
  </si>
  <si>
    <t>The absence of life or state of being dead. (NCI)</t>
  </si>
  <si>
    <t>Dead</t>
  </si>
  <si>
    <t>Recurrent Disease</t>
  </si>
  <si>
    <t>The return of a disease after a period of remission.</t>
  </si>
  <si>
    <t>An indication that the subject has not been able to meet protocol-defined continuation criteria and will not continue to participate in the clinical trial.</t>
  </si>
  <si>
    <t>Failure To Meet Continuation Criteria</t>
  </si>
  <si>
    <t>An indication that the subject has been unable to fulfill/satisfy the criteria required for assignment into a randomized group.</t>
  </si>
  <si>
    <t>Failure to Meet Randomization Criteria</t>
  </si>
  <si>
    <t>The lack of expected or desired effect related to a therapy. (NCI)</t>
  </si>
  <si>
    <t>Lack of Efficacy</t>
  </si>
  <si>
    <t>A problem with some logistical aspect of a clinical study, either on the part of the participant or the site.</t>
  </si>
  <si>
    <t>Logistical Problem With Clinical Study</t>
  </si>
  <si>
    <t>The loss or lack of continuation of a subject to follow-up.</t>
  </si>
  <si>
    <t>Lost To Follow-Up</t>
  </si>
  <si>
    <t>Passed Screening But Not Needed; Qualified But Not Needed; Reserve, Not Used</t>
  </si>
  <si>
    <t>An indication that the subject met inclusion/exclusion criteria but was not needed in the trial.</t>
  </si>
  <si>
    <t>Subject Met Eligibility Criteria But Was Not Needed</t>
  </si>
  <si>
    <t>An indication that a subject has not ever been dosed with the study treatment or investigational product.</t>
  </si>
  <si>
    <t>Never Dosed</t>
  </si>
  <si>
    <t>NLCB</t>
  </si>
  <si>
    <t>An indication that a treatment or therapy was changed or discontinued because it is no longer clinically beneficial to the subject or patient, based on the primary therapeutic objective for which it is being administered and assessed. (Trial Design and Objectives for Castration-Resistant Prostate Cancer: Updated Recommendations From the Prostate Cancer Clinical Trials Working Group 3. Scher HI, Morris MJ, Stadler WM, et al.; Prostate Cancer Clinical Trials Working Group 3. J Clin Oncol. 2016 Apr 20;34(12):1402-18.)</t>
  </si>
  <si>
    <t>No Longer Clinically Benefiting</t>
  </si>
  <si>
    <t>An indication that a subject has not followed the instructions related to a device that is not under study.</t>
  </si>
  <si>
    <t>Non-Compliance With Non-Study Device</t>
  </si>
  <si>
    <t>An indication that a subject has not followed the instructions related to a device under study.</t>
  </si>
  <si>
    <t>Non-Compliance With Study Device</t>
  </si>
  <si>
    <t>An indication that a subject has not agreed with or followed the instructions related to the study medication. (NCI)</t>
  </si>
  <si>
    <t>Non-Compliance With Study Drug</t>
  </si>
  <si>
    <t>An indication that a subject has not followed the schedule of study activities.</t>
  </si>
  <si>
    <t>Non-Compliance With Study Schedule</t>
  </si>
  <si>
    <t>An indication that the study subject's partner is pregnant.</t>
  </si>
  <si>
    <t>Partner Pregnancy</t>
  </si>
  <si>
    <t>A position, opinion or judgment reached after consideration by a physician with reference to subject. (NCI)</t>
  </si>
  <si>
    <t>Physician Decision</t>
  </si>
  <si>
    <t>Subject Pregnancy</t>
  </si>
  <si>
    <t>An indication that the subject is pregnant.</t>
  </si>
  <si>
    <t>Pregnant Subject</t>
  </si>
  <si>
    <t>Disease Progression; Progressive Disease</t>
  </si>
  <si>
    <t>A disease process that is increasing in extent or severity. (NCI)</t>
  </si>
  <si>
    <t>Progressive Disease</t>
  </si>
  <si>
    <t>A variation from processes or procedures defined in a protocol. Deviations usually do not preclude the overall evaluability of subject data for either efficacy or safety, and are often acknowledged and accepted in advance by the sponsor. NOTE: Good clinical practice recommends that deviations be summarized by site and by category as part of the report of study results so that the possible importance of the deviations to the findings of the study can be assessed. Compare to protocol violation. [See ICH E3] (CDISC Glossary)</t>
  </si>
  <si>
    <t>Protocol Deviation</t>
  </si>
  <si>
    <t>A significant departure from processes or procedures that were required by the protocol. Violations often result in data that are not deemed evaluable for a per-protocol analysis, and may require that the subject(s) who violate the protocol be discontinued from the study. Compare to protocol deviation. (CDISC Glossary)</t>
  </si>
  <si>
    <t>Protocol Violation</t>
  </si>
  <si>
    <t>An indication that the patient has met one or multiple protocol-specified withdrawal criteria and has been removed from the study or from one or more segments of the study.</t>
  </si>
  <si>
    <t>Protocol-Specified Withdrawal Criterion Met</t>
  </si>
  <si>
    <t>An indication that the subject was randomized but should not have been and study treatment was received in error.</t>
  </si>
  <si>
    <t>Randomized By Mistake With Study Treatment</t>
  </si>
  <si>
    <t>An indication that the subject was randomized but should not have been however no study treatment was received.</t>
  </si>
  <si>
    <t>Randomized By Mistake Without Study Treatment</t>
  </si>
  <si>
    <t>An indication that the subject was randomized but should not have been.</t>
  </si>
  <si>
    <t>Randomized By Mistake</t>
  </si>
  <si>
    <t>A healing process and/or an outcome implying relative health. The term is typically used in the context of direct and indirect effects of sickness or injury. (NCI)</t>
  </si>
  <si>
    <t>Recovery</t>
  </si>
  <si>
    <t>An indication that the study subject needs to be treated with a medication that is prohibited per the protocol.</t>
  </si>
  <si>
    <t>Requires Prohibited Medication</t>
  </si>
  <si>
    <t>An indication that the subject did not complete the screening process.</t>
  </si>
  <si>
    <t>Screening Not Completed</t>
  </si>
  <si>
    <t>An indication that a clinical study was stopped at a particular site by its sponsor. (NCI)</t>
  </si>
  <si>
    <t>Trial Site Terminated by Sponsor</t>
  </si>
  <si>
    <t>An indication that the study subject was removed from the study or from one or more segments of the study (e.g., treatment epoch, long-term follow-up epoch) at the sponsor's request.</t>
  </si>
  <si>
    <t>Subject Removed at Sponsor Request</t>
  </si>
  <si>
    <t>An indication that a clinical study was stopped by its sponsor. (NCI)</t>
  </si>
  <si>
    <t>Study Terminated By Sponsor</t>
  </si>
  <si>
    <t>A problem with some technical aspect of a clinical study, usually related to an instrument. (NCI)</t>
  </si>
  <si>
    <t>Technical Problem</t>
  </si>
  <si>
    <t>An indication that a study participant has been removed from the study or from one or more segments of the study by the parent or legal guardian.</t>
  </si>
  <si>
    <t>Study Subject Withdrawal by Parent or Guardian</t>
  </si>
  <si>
    <t>Dropout</t>
  </si>
  <si>
    <t>The subject-initiated act of discontinuing participation in the study as a whole or one or more aspects of the study (e.g., a study period or use of biospecimens).</t>
  </si>
  <si>
    <t>Withdrawal by Subject</t>
  </si>
  <si>
    <t>Informed Consent Withdrawn</t>
  </si>
  <si>
    <t>An indication that the consent to participate in the study, or one or more components of the study, has been revoked.</t>
  </si>
  <si>
    <t>Study Consent Withdrawn</t>
  </si>
  <si>
    <t>PROTMLST</t>
  </si>
  <si>
    <t>C114118</t>
  </si>
  <si>
    <t>A terminology codelist relevant to protocol-specified, point-in-time events during a study.</t>
  </si>
  <si>
    <t>CDISC SDTM Protocol Milestone Terminology</t>
  </si>
  <si>
    <t>DECLINED TO CONTINUE INTO NEXT TRIAL ELEMENT</t>
  </si>
  <si>
    <t>DECLINED TO CONTINUE INTO SURVIVAL FOLLOW-UP</t>
  </si>
  <si>
    <t>ELIGIBILITY CRITERIA MET</t>
  </si>
  <si>
    <t>ENTERED INTO TRIAL</t>
  </si>
  <si>
    <t>INFORMED ASSENT OBTAINED</t>
  </si>
  <si>
    <t>INFORMED CONSENT OBTAINED</t>
  </si>
  <si>
    <t>OPTED TO CONTINUE INTO NEXT TRIAL ELEMENT</t>
  </si>
  <si>
    <t>OPTED TO CONTINUE INTO SURVIVAL FOLLOW-UP</t>
  </si>
  <si>
    <t>RANDOMIZED</t>
  </si>
  <si>
    <t>RE-RANDOMIZED</t>
  </si>
  <si>
    <t>C186210</t>
  </si>
  <si>
    <t>C176358</t>
  </si>
  <si>
    <t>C132447</t>
  </si>
  <si>
    <t>C161417</t>
  </si>
  <si>
    <t>C161418</t>
  </si>
  <si>
    <t>C16735</t>
  </si>
  <si>
    <t>C186211</t>
  </si>
  <si>
    <t>C176357</t>
  </si>
  <si>
    <t>C114209</t>
  </si>
  <si>
    <t>C186212</t>
  </si>
  <si>
    <t>An indication that the subject has declined to continue into a subsequent trial Element.</t>
  </si>
  <si>
    <t>Declined to Continue Into Next Trial Element</t>
  </si>
  <si>
    <t>An indication that the subject has declined to continue into the survival follow-up phase of the trial.</t>
  </si>
  <si>
    <t>Declined To Continue Into Survival Follow-Up</t>
  </si>
  <si>
    <t>The subject has fulfilled the criteria needed to enter or continue in the study.</t>
  </si>
  <si>
    <t>Eligibility Criteria Met By Subject</t>
  </si>
  <si>
    <t>The subject has met eligibility criteria and is enrolled in the study. The subject may or may not subsequently be randomized.</t>
  </si>
  <si>
    <t>Subject Entered Into Trial</t>
  </si>
  <si>
    <t>Informed Assent</t>
  </si>
  <si>
    <t>Assent given by a minor or adult who is unable to give informed consent on their own behalf, to participate in a clinical trial. Assent must be accompanied by consent from a parent or legal guardian for full participation in the study.</t>
  </si>
  <si>
    <t>Consent given by a subject, or in the case of an individual that can only give assent, by a parent or legal guardian, for the participation in a clinical study only after having achieved an understanding of both the relevant medical facts and the relevant risks involved.</t>
  </si>
  <si>
    <t>Informed Consent</t>
  </si>
  <si>
    <t>An indication that the subject has opted to continue into a subsequent trial Element.</t>
  </si>
  <si>
    <t>Opted to Continue Into Next Trial Element</t>
  </si>
  <si>
    <t>An indication that the subject has opted to continue into the survival follow-up phase of the trial.</t>
  </si>
  <si>
    <t>Opted To Continue Into Survival Follow-Up</t>
  </si>
  <si>
    <t>Participants are assigned to arms of a clinical trial by chance.</t>
  </si>
  <si>
    <t>Subject is Randomized</t>
  </si>
  <si>
    <t>Participants are re-assigned by chance to arms of a clinical trial.</t>
  </si>
  <si>
    <t>Re-randomized</t>
  </si>
  <si>
    <t>CL.C114118.PROTMLST</t>
  </si>
  <si>
    <t>CL.C150811.OTHEVENT</t>
  </si>
  <si>
    <t>C150811</t>
  </si>
  <si>
    <t>OTHEVENT</t>
  </si>
  <si>
    <t>Other Disposition Event Response</t>
  </si>
  <si>
    <t>A terminology codelist relevant to other important events that occur during a trial but are not driven by protocol requirements.</t>
  </si>
  <si>
    <t>CDISC SDTM Other Disposition Event Response Terminology</t>
  </si>
  <si>
    <t>SITE TRANSFER</t>
  </si>
  <si>
    <t>TREATMENT UNBLINDED</t>
  </si>
  <si>
    <t>WITHDRAWAL OF CONSENT FROM PROTOCOL-SPECIFIED ACTIVITY</t>
  </si>
  <si>
    <t>C186208</t>
  </si>
  <si>
    <t>C142742</t>
  </si>
  <si>
    <t>C170610</t>
  </si>
  <si>
    <t>The study subject has been assigned to a different study site.</t>
  </si>
  <si>
    <t>Study Site Transfer</t>
  </si>
  <si>
    <t>A study event during which the treatment assignment is made known to the subject, investigator, and/or other trial personnel.</t>
  </si>
  <si>
    <t>Unblinding</t>
  </si>
  <si>
    <t>The subject or parent/guardian withdraws their consent for the subject to participate in certain protocol-specified study activities, but does not withdraw consent from participation in the study as a whole.</t>
  </si>
  <si>
    <t>Withdrawal of Consent From Protocol-Specified Activity</t>
  </si>
  <si>
    <t>https://www.cdisc.org/system/files/members/standard/foundational/SDTMIG%20v3.4-FINAL_2022-07-21.pdf#page=167</t>
  </si>
  <si>
    <t>DOMAIN="HO"</t>
  </si>
  <si>
    <t>One record per healthcare encounter per subject</t>
  </si>
  <si>
    <t>STUDYID, USUBJID, HOTERM, HOSTDTC</t>
  </si>
  <si>
    <t>ho.xpt</t>
  </si>
  <si>
    <t>HOSEQ</t>
  </si>
  <si>
    <t>HOGRPID</t>
  </si>
  <si>
    <t>HOREFID</t>
  </si>
  <si>
    <t>HOSPID</t>
  </si>
  <si>
    <t>HOTERM</t>
  </si>
  <si>
    <t>Healthcare Encounter Term</t>
  </si>
  <si>
    <t>HODECOD</t>
  </si>
  <si>
    <t>HOCAT</t>
  </si>
  <si>
    <t>Category for Healthcare Encounter</t>
  </si>
  <si>
    <t>HOSCAT</t>
  </si>
  <si>
    <t>Subcategory for Healthcare Encounter</t>
  </si>
  <si>
    <t>HOPRESP</t>
  </si>
  <si>
    <t>Pre-Specified Healthcare Encounter</t>
  </si>
  <si>
    <t>HOOCCUR</t>
  </si>
  <si>
    <t>Healthcare Encounter Occurrence</t>
  </si>
  <si>
    <t>HOSTAT</t>
  </si>
  <si>
    <t>HOREASND</t>
  </si>
  <si>
    <t>Reason Healthcare Encounter Not Done</t>
  </si>
  <si>
    <t>HODTC</t>
  </si>
  <si>
    <t>Date/Time of Event Collection</t>
  </si>
  <si>
    <t>HOSTDTC</t>
  </si>
  <si>
    <t>Start Date/Time of Healthcare Encounter</t>
  </si>
  <si>
    <t>HOENDTC</t>
  </si>
  <si>
    <t>End Date/Time of Healthcare Encounter</t>
  </si>
  <si>
    <t>HODY</t>
  </si>
  <si>
    <t>Study Day of Event Collection</t>
  </si>
  <si>
    <t>HOSTDY</t>
  </si>
  <si>
    <t>Study Day of Start of Encounter</t>
  </si>
  <si>
    <t>HOENDY</t>
  </si>
  <si>
    <t>Study Day of End of Healthcare Encounter</t>
  </si>
  <si>
    <t>HODUR</t>
  </si>
  <si>
    <t>Duration of Healthcare Encounter</t>
  </si>
  <si>
    <t>HOSTRTPT</t>
  </si>
  <si>
    <t>HOSTTPT</t>
  </si>
  <si>
    <t>HOENRTPT</t>
  </si>
  <si>
    <t>HOENTPT</t>
  </si>
  <si>
    <t>Internal or external healthcare encounter identifier.</t>
  </si>
  <si>
    <t>Sponsor-defined identifier. May be preprinted on the CRF as an explicit line identifier or defined in the sponsor's operational database. Example: Line number on a Healthcare Encounters CRF page.</t>
  </si>
  <si>
    <t>Verbatim or preprinted CRF term for the healthcare encounter.</t>
  </si>
  <si>
    <t>Dictionary or sponsor-defined derived text description of HOTERM or the modified topic variable (HOMODIFY).</t>
  </si>
  <si>
    <t>Used to define a category of topic-related values.</t>
  </si>
  <si>
    <t>A further categorization of HOCAT values.</t>
  </si>
  <si>
    <t>A value of "Y" indicates that this healthcare encounter event was prespecified on the CRF. Values are null for spontaneously reported events (i.e., those collected as free-text verbatim terms).</t>
  </si>
  <si>
    <t>Used when the occurrence of specific healthcare encounters is solicited, to indicate whether an encounter occurred. Values are null for spontaneously reported events.</t>
  </si>
  <si>
    <t>The status indicates that the prespecified question was not answered.</t>
  </si>
  <si>
    <t>Describes the reason data for a prespecified event were not collected. Used in conjunction with HOSTAT when value is "NOT DONE".</t>
  </si>
  <si>
    <t>Epoch associated with the start date/time of the healthcare encounter. Examples: "SCREENING", "TREATMENT", "FOLLOW-UP".</t>
  </si>
  <si>
    <t>Collection date and time of the healthcare encounter.</t>
  </si>
  <si>
    <t>Start date/time of the healthcare encounter (e.g., date of admission).</t>
  </si>
  <si>
    <t>End date/time of the healthcare encounter (e.g., date of discharge).</t>
  </si>
  <si>
    <t>Study day of event collection relative to the sponsor-defined RFSTDTC.</t>
  </si>
  <si>
    <t>Study day of the start of the healthcare encounter relative to the sponsor-defined RFSTDTC.</t>
  </si>
  <si>
    <t>Study day of the end of the healthcare encounter relative to the sponsor-defined RFSTDTC.</t>
  </si>
  <si>
    <t>Collected duration of the healthcare encounter. Used only if collected on the CRF and not derived from the start and end date/times. Example: "P1DT2H" (for 1 day, 2 hours).</t>
  </si>
  <si>
    <t>Identifies the start of the observation as being before or after the sponsor-defined reference time point defined by variable --STTPT. \n Not all values of the codelist are allowable for this variable. See Section 4.4.7, Use of Relative Timing Variables.</t>
  </si>
  <si>
    <t>Description or date/time in ISO 8601 character format of the sponsor-defined reference point referred to by STRTPT. Examples: "2003-12-15", "VISIT 1".</t>
  </si>
  <si>
    <t>Identifies the end of the event as being before or after the reference time point defined by variable HOENTPT. \n Not all values of the codelist are allowable for this variable. See Section 4.4.7, Use of Relative Timing Variables.</t>
  </si>
  <si>
    <t>Description or date/time in ISO 8601 character format of the reference point referred to by HOENRTPT. Examples: "2003-12-25", "VISIT 2".</t>
  </si>
  <si>
    <t>CL.C171444.HODECOD</t>
  </si>
  <si>
    <t>Health Care Encounters Dictionary Derived Term</t>
  </si>
  <si>
    <t>A terminology codelist based on the standardized or preprinted name of the healthcare encounter that occurs.</t>
  </si>
  <si>
    <t>CDISC SDTM Health Care Encounters Dictionary Derived Term Terminology</t>
  </si>
  <si>
    <t>CARDIAC CATHETERIZATION LABORATORY VISIT</t>
  </si>
  <si>
    <t>CARDIAC INTENSIVE CARE UNIT STAY</t>
  </si>
  <si>
    <t>CARDIOLOGY UNIT VISIT</t>
  </si>
  <si>
    <t>DIETARY SPECIALIST VISIT</t>
  </si>
  <si>
    <t>EMERGENCY ROOM VISIT</t>
  </si>
  <si>
    <t>GENERAL WARD STAY</t>
  </si>
  <si>
    <t>HEALTHCARE PROFESSIONAL VISIT</t>
  </si>
  <si>
    <t>HOME HEALTHCARE VISIT</t>
  </si>
  <si>
    <t>HOSPITAL STAY</t>
  </si>
  <si>
    <t>INTENSIVE CARE UNIT STAY</t>
  </si>
  <si>
    <t>MENTAL HEALTH SPECIALIST VISIT</t>
  </si>
  <si>
    <t>NEURO INTENSIVE CARE UNIT STAY</t>
  </si>
  <si>
    <t>NURSING HOME STAY</t>
  </si>
  <si>
    <t>PHYSICAL THERAPY FACILITY VISIT</t>
  </si>
  <si>
    <t>PRIMARY CARE PHYSICIAN'S OFFICE VISIT</t>
  </si>
  <si>
    <t>PSYCHIATRIC WARD STAY</t>
  </si>
  <si>
    <t>REHABILITATION FACILITY STAY</t>
  </si>
  <si>
    <t>SKILLED NURSING FACILITY STAY</t>
  </si>
  <si>
    <t>SPECIALTY CARE PHYSICIAN'S OFFICE VISIT</t>
  </si>
  <si>
    <t>SURGICAL INTENSIVE CARE UNIT STAY</t>
  </si>
  <si>
    <t>C171444</t>
  </si>
  <si>
    <t>C171501</t>
  </si>
  <si>
    <t>C171502</t>
  </si>
  <si>
    <t>C177950</t>
  </si>
  <si>
    <t>C177948</t>
  </si>
  <si>
    <t>C176294</t>
  </si>
  <si>
    <t>C171509</t>
  </si>
  <si>
    <t>C177947</t>
  </si>
  <si>
    <t>C184507</t>
  </si>
  <si>
    <t>C171453</t>
  </si>
  <si>
    <t>C171454</t>
  </si>
  <si>
    <t>C177949</t>
  </si>
  <si>
    <t>C171517</t>
  </si>
  <si>
    <t>C171518</t>
  </si>
  <si>
    <t>C171520</t>
  </si>
  <si>
    <t>C176292</t>
  </si>
  <si>
    <t>C171522</t>
  </si>
  <si>
    <t>C171523</t>
  </si>
  <si>
    <t>C171534</t>
  </si>
  <si>
    <t>C176293</t>
  </si>
  <si>
    <t>C171535</t>
  </si>
  <si>
    <t>The subject or patient has interacted with a healthcare professional at a cardiac catheterization unit.</t>
  </si>
  <si>
    <t>Cardiac Catheterization Laboratory Visit</t>
  </si>
  <si>
    <t>CICU Stay; Coronary Intensive Care Unit Stay</t>
  </si>
  <si>
    <t>The subject or patient has been admitted as an inpatient to a cardiac intensive care unit.</t>
  </si>
  <si>
    <t>Cardiac Intensive Care Unit Stay</t>
  </si>
  <si>
    <t>The subject or patient has interacted with a healthcare professional at a cardiology unit.</t>
  </si>
  <si>
    <t>Cardiology Unit Visit</t>
  </si>
  <si>
    <t>The subject or patient has interacted with a dietary specialist.</t>
  </si>
  <si>
    <t>Dietary Specialist Visit</t>
  </si>
  <si>
    <t>The subject or patient has interacted with a healthcare professional at an emergency room.</t>
  </si>
  <si>
    <t>Emergency Room Visit</t>
  </si>
  <si>
    <t>General Medical Unit Stay</t>
  </si>
  <si>
    <t>The subject or patient has been admitted as an inpatient to a general medical unit of a hospital.</t>
  </si>
  <si>
    <t>General Ward Stay</t>
  </si>
  <si>
    <t>The subject or patient has interacted with a healthcare professional.</t>
  </si>
  <si>
    <t>Healthcare Professional Visit</t>
  </si>
  <si>
    <t>The subject or patient has interacted with a healthcare professional within a residence.</t>
  </si>
  <si>
    <t>Home Healthcare Visit</t>
  </si>
  <si>
    <t>Inpatient Hospital Stay; Inpatient Hospitalization</t>
  </si>
  <si>
    <t>The subject or patient has been admitted as an inpatient to a hospital.</t>
  </si>
  <si>
    <t>Hospital Stay</t>
  </si>
  <si>
    <t>ICU Stay</t>
  </si>
  <si>
    <t>The subject or patient has been admitted as an inpatient to a intensive care unit.</t>
  </si>
  <si>
    <t>Intensive Care Unit Stay</t>
  </si>
  <si>
    <t>The subject or patient has interacted with a mental health specialist.</t>
  </si>
  <si>
    <t>Mental Health Specialist Visit</t>
  </si>
  <si>
    <t>Neuro-ICU Stay; Neuro-Trauma ICU Stay</t>
  </si>
  <si>
    <t>The subject or patient has been admitted as an inpatient to a neuro-intensive care unit.</t>
  </si>
  <si>
    <t>Neuro Intensive Care Unit Stay</t>
  </si>
  <si>
    <t>The subject or patient has been admitted as an inpatient to a nursing home.</t>
  </si>
  <si>
    <t>Nursing Home Stay</t>
  </si>
  <si>
    <t>The subject or patient has interacted with a healthcare professional at a physical therapy facility.</t>
  </si>
  <si>
    <t>Physical Therapy Facility Visit</t>
  </si>
  <si>
    <t>The subject or patient has interacted with a primary care physician.</t>
  </si>
  <si>
    <t>Primary Care Physician's Office Visit</t>
  </si>
  <si>
    <t>The subject or patient has been admitted as an inpatient to a psychiatric ward.</t>
  </si>
  <si>
    <t>Psychiatric Ward Stay</t>
  </si>
  <si>
    <t>The subject or patient has been admitted as an inpatient to a rehabilitation facility.</t>
  </si>
  <si>
    <t>Rehabilitation Facility Stay</t>
  </si>
  <si>
    <t>The subject or patient has been admitted as an inpatient to a skilled nursing facility.</t>
  </si>
  <si>
    <t>Skilled Nursing Facility Stay</t>
  </si>
  <si>
    <t>The subject or patient has interacted with a specialty care physician.</t>
  </si>
  <si>
    <t>Specialty Care Physician's Office Visit</t>
  </si>
  <si>
    <t>SICU Stay</t>
  </si>
  <si>
    <t>The subject or patient has been admitted as an inpatient to a surgical intensive care unit.</t>
  </si>
  <si>
    <t>Surgical Intensive Care Unit Stay</t>
  </si>
  <si>
    <t>https://www.cdisc.org/system/files/members/standard/foundational/SDTMIG%20v3.4-FINAL_2022-07-21.pdf#page=171</t>
  </si>
  <si>
    <t>DOMAIN="MH"</t>
  </si>
  <si>
    <t>One record per medical history event per subject</t>
  </si>
  <si>
    <t>STUDYID, USUBJID, MHDECOD</t>
  </si>
  <si>
    <t>mh.xpt</t>
  </si>
  <si>
    <t>MHSEQ</t>
  </si>
  <si>
    <t>MHGRPID</t>
  </si>
  <si>
    <t>MHREFID</t>
  </si>
  <si>
    <t>MHSPID</t>
  </si>
  <si>
    <t>MHTERM</t>
  </si>
  <si>
    <t>Reported Term for the Medical History</t>
  </si>
  <si>
    <t>MHMODIFY</t>
  </si>
  <si>
    <t>MHDECOD</t>
  </si>
  <si>
    <t>MHEVDTYP</t>
  </si>
  <si>
    <t>Medical History Event Date Type</t>
  </si>
  <si>
    <t>MHCAT</t>
  </si>
  <si>
    <t>Category for Medical History</t>
  </si>
  <si>
    <t>MHSCAT</t>
  </si>
  <si>
    <t>Subcategory for Medical History</t>
  </si>
  <si>
    <t>MHPRESP</t>
  </si>
  <si>
    <t>Medical History Event Pre-Specified</t>
  </si>
  <si>
    <t>MHOCCUR</t>
  </si>
  <si>
    <t>Medical History Occurrence</t>
  </si>
  <si>
    <t>MHSTAT</t>
  </si>
  <si>
    <t>MHREASND</t>
  </si>
  <si>
    <t>Reason Medical History Not Collected</t>
  </si>
  <si>
    <t>MHBODSYS</t>
  </si>
  <si>
    <t>MHDTC</t>
  </si>
  <si>
    <t>Date/Time of History Collection</t>
  </si>
  <si>
    <t>MHSTDTC</t>
  </si>
  <si>
    <t>Start Date/Time of Medical History Event</t>
  </si>
  <si>
    <t>MHENDTC</t>
  </si>
  <si>
    <t>End Date/Time of Medical History Event</t>
  </si>
  <si>
    <t>MHDY</t>
  </si>
  <si>
    <t>Study Day of History Collection</t>
  </si>
  <si>
    <t>MHENRF</t>
  </si>
  <si>
    <t>MHENRTPT</t>
  </si>
  <si>
    <t>MHENTPT</t>
  </si>
  <si>
    <t>Internal or external medical history identifier.</t>
  </si>
  <si>
    <t>Sponsor-defined reference number. May be preprinted on the CRF as an explicit line identifier or defined in the sponsor's operational database. Example: Line number on a Medical History CRF page.</t>
  </si>
  <si>
    <t>Verbatim or preprinted CRF term for the medical condition or event.</t>
  </si>
  <si>
    <t>If MHTERM is modified to facilitate coding, then MHMODIFY will contain the modified text.</t>
  </si>
  <si>
    <t>Dictionary-derived text description of MHTERM or MHMODIFY. Equivalent to the Preferred Term (PT in MedDRA). The sponsor is expected to provide the dictionary name and version used to map the terms utilizing the external codelist element in the Define-XML document.</t>
  </si>
  <si>
    <t>Specifies the aspect of the medical condition or event by which MHSTDTC and/or the MHENDTC is defined. Examples: "DIAGNOSIS", "SYMPTOMS", "RELAPSE", "INFECTION".</t>
  </si>
  <si>
    <t>Used to define a category of related records. Examples: "CARDIAC", "GENERAL".</t>
  </si>
  <si>
    <t>A further categorization of the condition or event.</t>
  </si>
  <si>
    <t>A value of "Y" indicates that this medical history event was prespecified on the CRF. Values are null for spontaneously reported events (i.e., those collected as free-text verbatim terms).</t>
  </si>
  <si>
    <t>Used when the occurrence of specific medical history conditions is solicited, to indicate whether ("Y"/"N") a medical condition (MHTERM) had ever occurred. Values are null for spontaneously reported events.</t>
  </si>
  <si>
    <t>The status indicates that the prespecified question was not asked/answered.</t>
  </si>
  <si>
    <t>Describes the reason why data for a prespecified condition was not collected. Used in conjunction with MHSTAT when value is "NOT DONE".</t>
  </si>
  <si>
    <t>Dictionary-derived. Body system or organ class that is involved in an event or measurement from a standard hierarchy (e.g., MedDRA). When using a multi-axial dictionary such as MedDRA, this should contain the SOC used for the sponsor's analyses and summary tables which may not necessarily be the primary SOC.</t>
  </si>
  <si>
    <t>Number that gives the planned order of the element within the arm for the element in which the assessment was made.</t>
  </si>
  <si>
    <t>Epoch associated with the start date/time of the medical history event.</t>
  </si>
  <si>
    <t>Collection date and time of the medical history observation represented in ISO 8601 character format.</t>
  </si>
  <si>
    <t>Start date/time of the medical history event represented in ISO 8601 character format.</t>
  </si>
  <si>
    <t>End date/time of the medical history event.</t>
  </si>
  <si>
    <t>Study day of medical history collection, measured as integer day. Algorithm for calculations must be relative to the sponsor-defined RFSTDTC variable in Demographics. This formula should be consistent across the submission.</t>
  </si>
  <si>
    <t>Describes the end of the event relative to the sponsor-defined reference period. The sponsor-defined reference period is a continuous period of time defined by a discrete starting point and a discrete ending point (represented by RFSTDTC and RFENDTC in Demographics). \n Not all values of the codelist are allowable for this variable. See Section 4.4.7, Use of Relative Timing Variables.</t>
  </si>
  <si>
    <t>Identifies the end of the event as being before or after the reference time point defined by variable MHENTPT. \n Not all values of the codelist are allowable for this variable. See Section 4.4.7, Use of Relative Timing Variables.</t>
  </si>
  <si>
    <t>Description or date/time in ISO 8601 character format of the reference point referred to by MHENRTPT. Examples: "2003-12-25", "VISIT 2".</t>
  </si>
  <si>
    <t>C124301</t>
  </si>
  <si>
    <t>MHEDTTYP</t>
  </si>
  <si>
    <t>CL.C124301.MHEDTTYP</t>
  </si>
  <si>
    <t>Terminology relevant to the classification of the medical condition or event by which MHSTDTC is defined.</t>
  </si>
  <si>
    <t>CDISC SDTM Medical History Event Date Type Terminology</t>
  </si>
  <si>
    <t>DIAGNOSIS</t>
  </si>
  <si>
    <t>DISEASE TRANSFORMATION</t>
  </si>
  <si>
    <t>EPISODE</t>
  </si>
  <si>
    <t>EXACERBATION</t>
  </si>
  <si>
    <t>FLARE</t>
  </si>
  <si>
    <t>INITIAL DIAGNOSIS</t>
  </si>
  <si>
    <t>INITIAL DISEASE RELAPSE</t>
  </si>
  <si>
    <t>MOST RECENT DIAGNOSIS</t>
  </si>
  <si>
    <t>MOST RECENT EPISODE</t>
  </si>
  <si>
    <t>PATHOLOGICAL DIAGNOSIS</t>
  </si>
  <si>
    <t>PROGRESSION</t>
  </si>
  <si>
    <t>RESTAGING</t>
  </si>
  <si>
    <t>STAGING</t>
  </si>
  <si>
    <t>SYMPTOM ONSET</t>
  </si>
  <si>
    <t>C15220</t>
  </si>
  <si>
    <t>C123583</t>
  </si>
  <si>
    <t>C75539</t>
  </si>
  <si>
    <t>C124138</t>
  </si>
  <si>
    <t>C113680</t>
  </si>
  <si>
    <t>C156813</t>
  </si>
  <si>
    <t>C123399</t>
  </si>
  <si>
    <t>C184685</t>
  </si>
  <si>
    <t>C191305</t>
  </si>
  <si>
    <t>C178004</t>
  </si>
  <si>
    <t>C17747</t>
  </si>
  <si>
    <t>C132008</t>
  </si>
  <si>
    <t>C15608</t>
  </si>
  <si>
    <t>C124353</t>
  </si>
  <si>
    <t>Diagnostic</t>
  </si>
  <si>
    <t>The investigation, analysis and recognition of the presence and nature of disease, condition, or injury from expressed signs and symptoms; also, the scientific determination of any kind; the concise results or summary of such an investigation. (NCI)</t>
  </si>
  <si>
    <t>Diagnosis</t>
  </si>
  <si>
    <t>A conversion from one disease diagnosis to another, which may be considered a progression to a worsening state.</t>
  </si>
  <si>
    <t>Disease Transformation</t>
  </si>
  <si>
    <t>A noteworthy happening that is distinctive in a series of related events.</t>
  </si>
  <si>
    <t>Episode</t>
  </si>
  <si>
    <t>An increase in frequency and/or worsening of a symptom, condition, or disease.</t>
  </si>
  <si>
    <t>Exacerbation</t>
  </si>
  <si>
    <t>Flare Episode</t>
  </si>
  <si>
    <t>A sudden worsening of a disease, condition, or symptom.</t>
  </si>
  <si>
    <t>Flare-up</t>
  </si>
  <si>
    <t>The first diagnosis of the disease.</t>
  </si>
  <si>
    <t>Initial Diagnosis</t>
  </si>
  <si>
    <t>First Recurrence; Initial Recurrence</t>
  </si>
  <si>
    <t>The first relapse of the disease.</t>
  </si>
  <si>
    <t>First Relapse</t>
  </si>
  <si>
    <t>Current Diagnosis</t>
  </si>
  <si>
    <t>The latest diagnosis of the disease.</t>
  </si>
  <si>
    <t>Most Recent Diagnosis</t>
  </si>
  <si>
    <t>The latest occurrence of an episode.</t>
  </si>
  <si>
    <t>Most Recent Episode</t>
  </si>
  <si>
    <t>Diagnosis based on a pathological assessment.</t>
  </si>
  <si>
    <t>Pathological Diagnosis</t>
  </si>
  <si>
    <t>A disease, condition, or injury that is increasing in extent or severity.</t>
  </si>
  <si>
    <t>Disease Progression</t>
  </si>
  <si>
    <t>A disease staging event that happens after the initial staging event.</t>
  </si>
  <si>
    <t>Restaging</t>
  </si>
  <si>
    <t>The determination of the extent of disease within the context of the expected progression of the disease, and in accordance with pre-defined criteria.</t>
  </si>
  <si>
    <t>Staging</t>
  </si>
  <si>
    <t>The point at which the symptoms began or were first noted.</t>
  </si>
  <si>
    <t>Symptom Onset</t>
  </si>
  <si>
    <t>https://www.cdisc.org/system/files/members/standard/foundational/SDTMIG%20v3.4-FINAL_2022-07-21.pdf#page=178</t>
  </si>
  <si>
    <t>DOMAIN="DV"</t>
  </si>
  <si>
    <t>DVSEQ</t>
  </si>
  <si>
    <t>DVREFID</t>
  </si>
  <si>
    <t>DVSPID</t>
  </si>
  <si>
    <t>DVTERM</t>
  </si>
  <si>
    <t>Protocol Deviation Term</t>
  </si>
  <si>
    <t>DVDECOD</t>
  </si>
  <si>
    <t>Protocol Deviation Coded Term</t>
  </si>
  <si>
    <t>DVCAT</t>
  </si>
  <si>
    <t>Category for Protocol Deviation</t>
  </si>
  <si>
    <t>DVSCAT</t>
  </si>
  <si>
    <t>Subcategory for Protocol Deviation</t>
  </si>
  <si>
    <t>DVSTDTC</t>
  </si>
  <si>
    <t>Start Date/Time of Deviation</t>
  </si>
  <si>
    <t>DVENDTC</t>
  </si>
  <si>
    <t>End Date/Time of Deviation</t>
  </si>
  <si>
    <t>DVSTDY</t>
  </si>
  <si>
    <t>Study Day of Start of Deviation Event</t>
  </si>
  <si>
    <t>DVENDY</t>
  </si>
  <si>
    <t>Study Day of End of Deviation Event</t>
  </si>
  <si>
    <t>Verbatim name of the protocol deviation criterion. Example: "IVRS PROCESS DEVIATION - NO DOSE CALL PERFORMED". DVTERM values will map to the controlled terminology in DVDECOD (e.g., "TREATMENT DEVIATION").</t>
  </si>
  <si>
    <t>Controlled terminology for the name of the protocol deviation. Examples: "SUBJECT NOT WITHDRAWN AS PER PROTOCOL", "SELECTION CRITERIA NOT MET", "EXCLUDED CONCOMITANT MEDICATION", "TREATMENT DEVIATION".</t>
  </si>
  <si>
    <t>Category of the protocol deviation criterion.</t>
  </si>
  <si>
    <t>A further categorization of the protocol deviation.</t>
  </si>
  <si>
    <t>Epoch associated with the start date/time of the deviation. Examples: "TREATMENT", "SCREENING", "FOLLOW-UP".</t>
  </si>
  <si>
    <t>Start date/time of deviation represented in ISO 8601 character format.</t>
  </si>
  <si>
    <t>End date/time of deviation represented in ISO 8601 character format.</t>
  </si>
  <si>
    <t>One record per protocol deviation per subject</t>
  </si>
  <si>
    <t>dv.xpt</t>
  </si>
  <si>
    <t>STUDYID, USUBJID, DVTERM, DVSTDTC</t>
  </si>
  <si>
    <t>Death Details</t>
  </si>
  <si>
    <t>Findings</t>
  </si>
  <si>
    <t>One record per finding per subject</t>
  </si>
  <si>
    <t>dd.xpt</t>
  </si>
  <si>
    <t>STUDYID, USUBJID, DDTESTCD, DDDTC</t>
  </si>
  <si>
    <t>https://www.cdisc.org/system/files/members/standard/foundational/SDTMIG%20v3.4-FINAL_2022-07-21.pdf#page=183</t>
  </si>
  <si>
    <t>DDSEQ</t>
  </si>
  <si>
    <t>DDTESTCD</t>
  </si>
  <si>
    <t>Death Detail Assessment Short Name</t>
  </si>
  <si>
    <t>DDTEST</t>
  </si>
  <si>
    <t>Death Detail Assessment Name</t>
  </si>
  <si>
    <t>DDORRES</t>
  </si>
  <si>
    <t>Result or Finding as Collected</t>
  </si>
  <si>
    <t>DDSTRESC</t>
  </si>
  <si>
    <t>Character Result/Finding in Std Format</t>
  </si>
  <si>
    <t>DDRESCAT</t>
  </si>
  <si>
    <t>Result Category</t>
  </si>
  <si>
    <t>DDEVAL</t>
  </si>
  <si>
    <t>DDDTC</t>
  </si>
  <si>
    <t>DDDY</t>
  </si>
  <si>
    <t>Short name of the measurement, test, or examination described in DDTEST. It can be used as a column name when converting a dataset from a vertical to a horizontal format. The value in DDTESTCD cannot be longer than 8 characters, nor can it start with a number (e.g., "1TEST" is not valid). DDTESTCD cannot contain characters other than letters, numbers, or underscores. Examples: "PRCDTH", "SECDTH".</t>
  </si>
  <si>
    <t>Long name for DDTESTCD. The value in DDTEST cannot be longer than 40 characters. Examples: "Primary Cause of Death", "Secondary Cause of Death".</t>
  </si>
  <si>
    <t>Result of the test defined in DDTEST, as originally received or collected.</t>
  </si>
  <si>
    <t>Contains the result or finding copied or derived from DDORRES in a standard format.</t>
  </si>
  <si>
    <t>Used to categorize the result of a finding. Examples: "TREATMENT RELATED", "NONTREATMENT RELATED", "UNDETERMINED", "ACCIDENTAL".</t>
  </si>
  <si>
    <t>Role of the person who provided the evaluation.</t>
  </si>
  <si>
    <t>Date/time of collection of the diagnosis or other death assessment data in ISO 8601 format. This is not necessarily the date of death.</t>
  </si>
  <si>
    <t>Study day of the collection, in integer days. The algorithm for calculations must be relative to the sponsor-defined RFSTDTC variable in the Demographics (DM) domain.</t>
  </si>
  <si>
    <t>DOMAIN="DD"</t>
  </si>
  <si>
    <t>SDTM Death Diagnosis and Details Test Name</t>
  </si>
  <si>
    <t>DTHDX</t>
  </si>
  <si>
    <t>C116107</t>
  </si>
  <si>
    <t>CL.C116107.DTHDX</t>
  </si>
  <si>
    <t>Terminology relevant to the test codes that describe the death diagnosis and related details.</t>
  </si>
  <si>
    <t>CDISC SDTM Death Diagnosis Test Name Terminology</t>
  </si>
  <si>
    <t>Age at Death</t>
  </si>
  <si>
    <t>Autopsy Indicator</t>
  </si>
  <si>
    <t>Death Certificate Obtained Indicator</t>
  </si>
  <si>
    <t>Death Expected Indicator</t>
  </si>
  <si>
    <t>Death Witnessed Indicator</t>
  </si>
  <si>
    <t>Hospital Medical Record Obtained Ind</t>
  </si>
  <si>
    <t>Information Source for Cause of Death</t>
  </si>
  <si>
    <t>Location of Death</t>
  </si>
  <si>
    <t>Primary Cause of Death</t>
  </si>
  <si>
    <t>Secondary Cause of Death</t>
  </si>
  <si>
    <t>Sudden Death Indicator</t>
  </si>
  <si>
    <t>C135383</t>
  </si>
  <si>
    <t>C135384</t>
  </si>
  <si>
    <t>C135385</t>
  </si>
  <si>
    <t>C184505</t>
  </si>
  <si>
    <t>C170571</t>
  </si>
  <si>
    <t>C135386</t>
  </si>
  <si>
    <t>C176287</t>
  </si>
  <si>
    <t>C124331</t>
  </si>
  <si>
    <t>C99531</t>
  </si>
  <si>
    <t>C116142</t>
  </si>
  <si>
    <t>C174284</t>
  </si>
  <si>
    <t>The age at which death occurred. (NCI)</t>
  </si>
  <si>
    <t>An indication as to whether an autopsy was performed. (NCI)</t>
  </si>
  <si>
    <t>An indication as to whether a death certificate was obtained. (NCI)</t>
  </si>
  <si>
    <t>Death Certification Indicator</t>
  </si>
  <si>
    <t>An indication as to whether the death was expected.</t>
  </si>
  <si>
    <t>An indication as to whether the death event was witnessed by another individual.</t>
  </si>
  <si>
    <t>Hospital Medical Record Obtained Ind; Hospital Medical Record Obtained Indicator</t>
  </si>
  <si>
    <t>An indication as to whether a hospital medical record was obtained.</t>
  </si>
  <si>
    <t>Hospital Medical Record Indicator</t>
  </si>
  <si>
    <t>The person or authoritative source that provided the cause of death.</t>
  </si>
  <si>
    <t>The physical location at which the subject ceased to live.</t>
  </si>
  <si>
    <t>The primary significant event which ultimately led to death.</t>
  </si>
  <si>
    <t>The secondary significant event which ultimately led to death.</t>
  </si>
  <si>
    <t>An indication as to whether death was unexpected or occurred without warning.</t>
  </si>
  <si>
    <t>C116108</t>
  </si>
  <si>
    <t>SDTM Death Diagnosis and Details Test Code</t>
  </si>
  <si>
    <t>DTHDXCD</t>
  </si>
  <si>
    <t>CDISC SDTM Death Diagnosis Test Code Terminology</t>
  </si>
  <si>
    <t>AGEDTH</t>
  </si>
  <si>
    <t>AUTOPIND</t>
  </si>
  <si>
    <t>DTHCOIND</t>
  </si>
  <si>
    <t>DTHEXIND</t>
  </si>
  <si>
    <t>DTHWIND</t>
  </si>
  <si>
    <t>HMROIND</t>
  </si>
  <si>
    <t>INFOSCOD</t>
  </si>
  <si>
    <t>LOCDTH</t>
  </si>
  <si>
    <t>PRCDTH</t>
  </si>
  <si>
    <t>SDTHIND</t>
  </si>
  <si>
    <t>SECDTH</t>
  </si>
  <si>
    <t>CL.C116108.DTHDXCD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</si>
</sst>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0"/>
      <color theme="1"/>
      <name val="Helvetica Neue"/>
    </font>
    <font>
      <i/>
      <sz val="10"/>
      <color rgb="FF4472C4"/>
      <name val="Helvetica Neue"/>
    </font>
    <font>
      <i/>
      <sz val="16"/>
      <color rgb="FF4472C4"/>
      <name val="Helvetica Neue"/>
    </font>
    <font>
      <sz val="10"/>
      <color theme="1"/>
      <name val="Helvetica Neue"/>
    </font>
    <font>
      <sz val="11"/>
      <color theme="1"/>
      <name val="Helvetica Neue"/>
    </font>
    <font>
      <b/>
      <sz val="16"/>
      <color theme="1"/>
      <name val="Helvetica Neue"/>
    </font>
    <font>
      <sz val="10"/>
      <name val="Helvetica Neue"/>
    </font>
    <font>
      <b/>
      <sz val="11"/>
      <color theme="0"/>
      <name val="Helvetica Neue"/>
    </font>
    <font>
      <b/>
      <sz val="10"/>
      <color theme="0"/>
      <name val="Helvetica Neue"/>
    </font>
    <font>
      <u/>
      <sz val="10"/>
      <color theme="10"/>
      <name val="Helvetica Neue"/>
    </font>
    <font>
      <u/>
      <sz val="10"/>
      <name val="Helvetica Neue"/>
    </font>
    <font>
      <sz val="10"/>
      <color rgb="FF4472C4"/>
      <name val="Helvetica Neue"/>
    </font>
    <font>
      <i/>
      <sz val="11"/>
      <color rgb="FF4472C4"/>
      <name val="Helvetica Neue"/>
    </font>
  </fonts>
  <fills count="3">
    <fill>
      <patternFill patternType="none"/>
    </fill>
    <fill>
      <patternFill patternType="gray125"/>
    </fill>
    <fill>
      <patternFill patternType="solid">
        <fgColor theme="0" tint="-0.49998474074526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3">
    <xf numFmtId="0" fontId="0" fillId="0" borderId="0" xfId="0"/>
    <xf numFmtId="0" fontId="2"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left" vertical="center" wrapText="1"/>
    </xf>
    <xf numFmtId="0" fontId="4" fillId="0" borderId="0" xfId="0" applyFont="1" applyAlignment="1">
      <alignment wrapText="1"/>
    </xf>
    <xf numFmtId="0" fontId="3" fillId="0" borderId="1" xfId="0" applyFont="1" applyBorder="1" applyAlignment="1">
      <alignment horizontal="center" vertical="center" wrapText="1"/>
    </xf>
    <xf numFmtId="0" fontId="1" fillId="0" borderId="1" xfId="0" applyFont="1" applyBorder="1" applyAlignment="1">
      <alignment horizontal="left" vertical="top" wrapText="1"/>
    </xf>
    <xf numFmtId="0" fontId="3" fillId="0" borderId="0" xfId="0" applyFont="1" applyAlignment="1">
      <alignment horizontal="left" vertical="top" wrapText="1"/>
    </xf>
    <xf numFmtId="0" fontId="4" fillId="0" borderId="0" xfId="0" applyFont="1"/>
    <xf numFmtId="0" fontId="3" fillId="0" borderId="0" xfId="0" applyFont="1" applyAlignment="1">
      <alignment horizontal="left" vertical="top"/>
    </xf>
    <xf numFmtId="0" fontId="3" fillId="0" borderId="0" xfId="0" applyFont="1" applyAlignment="1">
      <alignment horizontal="center" vertical="top" wrapText="1"/>
    </xf>
    <xf numFmtId="0" fontId="8" fillId="2" borderId="1" xfId="0" applyFont="1" applyFill="1" applyBorder="1" applyAlignment="1">
      <alignment horizontal="left" vertical="top" wrapText="1"/>
    </xf>
    <xf numFmtId="0" fontId="3" fillId="0" borderId="1" xfId="0" applyFont="1" applyBorder="1" applyAlignment="1">
      <alignment horizontal="left" vertical="top" wrapText="1"/>
    </xf>
    <xf numFmtId="0" fontId="8" fillId="2" borderId="1" xfId="0" applyFont="1" applyFill="1" applyBorder="1" applyAlignment="1">
      <alignment horizontal="left" vertical="top"/>
    </xf>
    <xf numFmtId="0" fontId="9" fillId="0" borderId="1" xfId="1" applyBorder="1" applyAlignment="1">
      <alignment horizontal="left" vertical="top" wrapText="1"/>
    </xf>
    <xf numFmtId="0" fontId="7" fillId="2" borderId="1" xfId="0" applyFont="1" applyFill="1" applyBorder="1" applyAlignment="1">
      <alignment vertical="top" wrapText="1"/>
    </xf>
    <xf numFmtId="0" fontId="4" fillId="0" borderId="0" xfId="0" applyFont="1" applyAlignment="1">
      <alignment vertical="top" wrapText="1"/>
    </xf>
    <xf numFmtId="0" fontId="4" fillId="0" borderId="1" xfId="0" applyFont="1" applyBorder="1" applyAlignment="1">
      <alignment vertical="top" wrapText="1"/>
    </xf>
    <xf numFmtId="0" fontId="11" fillId="0" borderId="1" xfId="0" applyFont="1" applyBorder="1" applyAlignment="1">
      <alignment horizontal="left" vertical="top" wrapText="1"/>
    </xf>
    <xf numFmtId="0" fontId="3" fillId="0" borderId="0" xfId="0" applyFont="1" applyAlignment="1">
      <alignment vertical="top" wrapText="1"/>
    </xf>
    <xf numFmtId="0" fontId="3" fillId="0" borderId="1" xfId="0" applyFont="1" applyBorder="1" applyAlignment="1">
      <alignment vertical="top" wrapText="1"/>
    </xf>
    <xf numFmtId="0" fontId="0" fillId="0" borderId="1" xfId="0" applyBorder="1" applyAlignment="1">
      <alignment horizontal="left" vertical="top" wrapText="1"/>
    </xf>
    <xf numFmtId="0" fontId="0" fillId="0" borderId="1" xfId="0" applyBorder="1" applyAlignment="1">
      <alignment vertical="top" wrapText="1"/>
    </xf>
    <xf numFmtId="0" fontId="4" fillId="0" borderId="5" xfId="0" applyFont="1" applyBorder="1" applyAlignment="1">
      <alignment horizontal="left" vertical="top" wrapText="1" indent="1"/>
    </xf>
    <xf numFmtId="0" fontId="4" fillId="0" borderId="6" xfId="0" applyFont="1" applyBorder="1" applyAlignment="1">
      <alignment horizontal="left" vertical="top" wrapText="1" indent="1"/>
    </xf>
    <xf numFmtId="0" fontId="4" fillId="0" borderId="7" xfId="0" applyFont="1" applyBorder="1" applyAlignment="1">
      <alignment horizontal="left" vertical="top" wrapText="1" indent="1"/>
    </xf>
    <xf numFmtId="0" fontId="4" fillId="0" borderId="8" xfId="0" applyFont="1" applyBorder="1" applyAlignment="1">
      <alignment horizontal="left" vertical="top" wrapText="1" indent="1"/>
    </xf>
    <xf numFmtId="0" fontId="4" fillId="0" borderId="9" xfId="0" applyFont="1" applyBorder="1" applyAlignment="1">
      <alignment horizontal="left" vertical="top" wrapText="1" indent="1"/>
    </xf>
    <xf numFmtId="0" fontId="4" fillId="0" borderId="10" xfId="0" applyFont="1" applyBorder="1" applyAlignment="1">
      <alignment horizontal="left" vertical="top" wrapText="1" indent="1"/>
    </xf>
    <xf numFmtId="0" fontId="7" fillId="2" borderId="2" xfId="0" applyFont="1" applyFill="1" applyBorder="1" applyAlignment="1">
      <alignment vertical="top" wrapText="1"/>
    </xf>
    <xf numFmtId="0" fontId="7" fillId="2" borderId="3" xfId="0" applyFont="1" applyFill="1" applyBorder="1" applyAlignment="1">
      <alignment vertical="top" wrapText="1"/>
    </xf>
    <xf numFmtId="0" fontId="7" fillId="2" borderId="4" xfId="0" applyFont="1" applyFill="1" applyBorder="1" applyAlignment="1">
      <alignment vertical="top" wrapText="1"/>
    </xf>
    <xf numFmtId="0" fontId="5" fillId="0" borderId="0" xfId="0" applyFont="1" applyAlignment="1">
      <alignment horizontal="center" vertical="top" wrapText="1"/>
    </xf>
    <xf numFmtId="0" fontId="12" fillId="0" borderId="0" xfId="0" applyFont="1" applyAlignment="1">
      <alignment vertical="top" wrapText="1"/>
    </xf>
    <xf numFmtId="0" fontId="1" fillId="0" borderId="1" xfId="0" applyFont="1" applyBorder="1" applyAlignment="1">
      <alignment horizontal="left" vertical="top" wrapText="1"/>
    </xf>
    <xf numFmtId="0" fontId="6" fillId="0" borderId="1" xfId="0" applyFont="1" applyBorder="1" applyAlignment="1">
      <alignment horizontal="left" vertical="top" wrapText="1"/>
    </xf>
    <xf numFmtId="0" fontId="8" fillId="2" borderId="1" xfId="0" applyFont="1" applyFill="1" applyBorder="1" applyAlignment="1">
      <alignment horizontal="center" vertical="top" wrapText="1"/>
    </xf>
    <xf numFmtId="0" fontId="3" fillId="0" borderId="1" xfId="0" applyFont="1" applyBorder="1" applyAlignment="1">
      <alignment vertical="top"/>
    </xf>
    <xf numFmtId="0" fontId="1" fillId="0" borderId="1" xfId="0" applyFont="1" applyBorder="1" applyAlignment="1">
      <alignment vertical="top"/>
    </xf>
    <xf numFmtId="0" fontId="10" fillId="0" borderId="1" xfId="1" applyFont="1" applyBorder="1" applyAlignment="1">
      <alignment vertical="top"/>
    </xf>
    <xf numFmtId="0" fontId="6" fillId="0" borderId="1" xfId="0" applyFont="1" applyBorder="1" applyAlignment="1">
      <alignment vertical="top"/>
    </xf>
    <xf numFmtId="0" fontId="0" fillId="0" borderId="1" xfId="0" applyBorder="1" applyAlignment="1">
      <alignment vertical="top"/>
    </xf>
    <xf numFmtId="0" fontId="9" fillId="0" borderId="1" xfId="1" applyBorder="1" applyAlignment="1">
      <alignment vertical="top"/>
    </xf>
  </cellXfs>
  <cellStyles count="2">
    <cellStyle name="Hyperlink" xfId="1" builtinId="8" customBuiltin="1"/>
    <cellStyle name="Normal" xfId="0" builtinId="0" customBuiltin="1"/>
  </cellStyles>
  <dxfs count="1">
    <dxf>
      <fill>
        <patternFill>
          <bgColor theme="7" tint="0.59996337778862885"/>
        </patternFill>
      </fill>
    </dxf>
  </dxfs>
  <tableStyles count="0" defaultTableStyle="TableStyleMedium2" defaultPivotStyle="PivotStyleLight16"/>
  <colors>
    <mruColors>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cdisc.org/system/files/members/standard/foundational/SDTMIG%20v3.4-FINAL_2022-07-21.pdf"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cdisc.org/system/files/members/standard/foundational/SDTMIG%20v3.4-FINAL_2022-07-21.pdf"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cdisc.org/system/files/members/standard/foundational/SDTMIG%20v3.4-FINAL_2022-07-21.pdf"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cdisc.org/system/files/members/standard/foundational/SDTMIG%20v3.4-FINAL_2022-07-21.pdf"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disc.org/system/files/members/standard/foundational/SDTMIG%20v3.4-FINAL_2022-07-21.pdf"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disc.org/system/files/members/standard/foundational/SDTMIG%20v3.4-FINAL_2022-07-21.pdf"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cdisc.org/system/files/members/standard/foundational/SDTMIG%20v3.4-FINAL_2022-07-21.pdf"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www.cdisc.org/system/files/members/standard/foundational/SDTMIG%20v3.4-FINAL_2022-07-21.pdf"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www.cdisc.org/system/files/members/standard/foundational/SDTMIG%20v3.4-FINAL_2022-07-21.pdf" TargetMode="Externa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cdisc.org/system/files/members/standard/foundational/SDTMIG%20v3.4-FINAL_2022-07-21.pdf" TargetMode="Externa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s://www.cdisc.org/system/files/members/standard/foundational/SDTMIG%20v3.4-FINAL_2022-07-21.pdf"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www.cdisc.org/system/files/members/standard/foundational/SDTMIG%20v3.4-FINAL_2022-07-21.pdf"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www.cdisc.org/system/files/members/standard/foundational/SDTMIG%20v3.4-FINAL_2022-07-21.pdf"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s://www.cdisc.org/system/files/members/standard/foundational/SDTMIG%20v3.4-FINAL_2022-07-21.pdf" TargetMode="Externa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s://www.cdisc.org/system/files/members/standard/foundational/SDTMIG%20v3.4-FINAL_2022-07-21.pdf" TargetMode="Externa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s://www.cdisc.org/system/files/members/standard/foundational/SDTMIG%20v3.4-FINAL_2022-07-21.pdf" TargetMode="Externa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https://www.cdisc.org/system/files/members/standard/foundational/SDTMIG%20v3.4-FINAL_2022-07-21.pdf" TargetMode="Externa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https://www.cdisc.org/system/files/members/standard/foundational/SDTMIG%20v3.4-FINAL_2022-07-21.pdf" TargetMode="Externa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s://www.cdisc.org/system/files/members/standard/foundational/SDTMIG%20v3.4-FINAL_2022-07-21.pdf" TargetMode="Externa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https://www.cdisc.org/system/files/members/standard/foundational/SDTMIG%20v3.4-FINAL_2022-07-21.pdf" TargetMode="Externa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https://www.cdisc.org/system/files/members/standard/foundational/SDTMIG%20v3.4-FINAL_2022-07-21.pdf" TargetMode="Externa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hyperlink" Target="https://www.cdisc.org/system/files/members/standard/foundational/SDTMIG%20v3.4-FINAL_2022-07-21.pdf" TargetMode="Externa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https://www.cdisc.org/system/files/members/standard/foundational/SDTMIG%20v3.4-FINAL_2022-07-21.pdf"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49A5D-EBAB-494B-8DFA-E1E6F8D42B93}">
  <sheetPr codeName="Sheet1"/>
  <dimension ref="A1:A7"/>
  <sheetViews>
    <sheetView showGridLines="0" workbookViewId="0"/>
  </sheetViews>
  <sheetFormatPr defaultRowHeight="13.8"/>
  <cols>
    <col min="1" max="1" width="133.33203125" style="4" customWidth="1"/>
    <col min="2" max="16384" width="8.88671875" style="8"/>
  </cols>
  <sheetData>
    <row r="1" spans="1:1" ht="20.399999999999999">
      <c r="A1" s="1" t="s">
        <v>0</v>
      </c>
    </row>
    <row r="2" spans="1:1">
      <c r="A2" s="2"/>
    </row>
    <row r="3" spans="1:1">
      <c r="A3" s="2" t="s">
        <v>1</v>
      </c>
    </row>
    <row r="4" spans="1:1">
      <c r="A4" s="2"/>
    </row>
    <row r="5" spans="1:1">
      <c r="A5" s="2" t="s">
        <v>1088</v>
      </c>
    </row>
    <row r="6" spans="1:1">
      <c r="A6" s="2"/>
    </row>
    <row r="7" spans="1:1" ht="39.6">
      <c r="A7" s="3" t="s">
        <v>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49FC2-0AB4-4F81-84FE-59DCFC503A18}">
  <sheetPr codeName="Sheet2"/>
  <dimension ref="A1:C40"/>
  <sheetViews>
    <sheetView showGridLines="0" workbookViewId="0"/>
  </sheetViews>
  <sheetFormatPr defaultRowHeight="13.8"/>
  <cols>
    <col min="1" max="3" width="44.44140625" style="16" customWidth="1"/>
    <col min="4" max="16384" width="8.88671875" style="16"/>
  </cols>
  <sheetData>
    <row r="1" spans="1:3" ht="56.4" customHeight="1">
      <c r="B1" s="5" t="s">
        <v>3</v>
      </c>
    </row>
    <row r="2" spans="1:3">
      <c r="B2" s="10"/>
    </row>
    <row r="3" spans="1:3" ht="21">
      <c r="A3" s="32" t="s">
        <v>4</v>
      </c>
      <c r="B3" s="32"/>
      <c r="C3" s="32"/>
    </row>
    <row r="4" spans="1:3">
      <c r="B4" s="10"/>
    </row>
    <row r="5" spans="1:3">
      <c r="A5" s="15" t="s">
        <v>5</v>
      </c>
      <c r="B5" s="34" t="s">
        <v>13</v>
      </c>
      <c r="C5" s="34"/>
    </row>
    <row r="6" spans="1:3">
      <c r="A6" s="15" t="s">
        <v>6</v>
      </c>
      <c r="B6" s="34" t="s">
        <v>14</v>
      </c>
      <c r="C6" s="34"/>
    </row>
    <row r="7" spans="1:3" ht="27.6">
      <c r="A7" s="15" t="s">
        <v>7</v>
      </c>
      <c r="B7" s="34" t="s">
        <v>15</v>
      </c>
      <c r="C7" s="34"/>
    </row>
    <row r="8" spans="1:3">
      <c r="A8" s="15" t="s">
        <v>21</v>
      </c>
      <c r="B8" s="35" t="s">
        <v>22</v>
      </c>
      <c r="C8" s="35"/>
    </row>
    <row r="9" spans="1:3">
      <c r="A9" s="15" t="s">
        <v>8</v>
      </c>
      <c r="B9" s="34" t="s">
        <v>16</v>
      </c>
      <c r="C9" s="34"/>
    </row>
    <row r="10" spans="1:3">
      <c r="A10" s="15" t="s">
        <v>9</v>
      </c>
      <c r="B10" s="34" t="s">
        <v>17</v>
      </c>
      <c r="C10" s="34"/>
    </row>
    <row r="11" spans="1:3">
      <c r="A11" s="15" t="s">
        <v>10</v>
      </c>
      <c r="B11" s="34" t="s">
        <v>18</v>
      </c>
      <c r="C11" s="34"/>
    </row>
    <row r="12" spans="1:3">
      <c r="A12" s="15" t="s">
        <v>11</v>
      </c>
      <c r="B12" s="34" t="s">
        <v>19</v>
      </c>
      <c r="C12" s="34"/>
    </row>
    <row r="13" spans="1:3">
      <c r="A13" s="15" t="s">
        <v>12</v>
      </c>
      <c r="B13" s="34" t="s">
        <v>20</v>
      </c>
      <c r="C13" s="34"/>
    </row>
    <row r="15" spans="1:3" ht="21">
      <c r="A15" s="32" t="s">
        <v>213</v>
      </c>
      <c r="B15" s="32"/>
      <c r="C15" s="32"/>
    </row>
    <row r="16" spans="1:3" ht="14.4">
      <c r="A16" s="33" t="s">
        <v>236</v>
      </c>
      <c r="B16" s="33"/>
      <c r="C16" s="33"/>
    </row>
    <row r="18" spans="1:3">
      <c r="A18" s="29" t="s">
        <v>214</v>
      </c>
      <c r="B18" s="30"/>
      <c r="C18" s="31"/>
    </row>
    <row r="19" spans="1:3" ht="55.2" customHeight="1">
      <c r="A19" s="17"/>
      <c r="B19" s="17"/>
      <c r="C19" s="17"/>
    </row>
    <row r="20" spans="1:3" ht="27.6">
      <c r="A20" s="17" t="s">
        <v>215</v>
      </c>
      <c r="B20" s="17" t="s">
        <v>216</v>
      </c>
      <c r="C20" s="17" t="s">
        <v>213</v>
      </c>
    </row>
    <row r="21" spans="1:3">
      <c r="A21" s="29" t="s">
        <v>217</v>
      </c>
      <c r="B21" s="30"/>
      <c r="C21" s="31"/>
    </row>
    <row r="22" spans="1:3" ht="55.2" customHeight="1">
      <c r="A22" s="17"/>
      <c r="B22" s="17"/>
      <c r="C22" s="17"/>
    </row>
    <row r="23" spans="1:3" ht="27.6">
      <c r="A23" s="17" t="s">
        <v>215</v>
      </c>
      <c r="B23" s="17" t="s">
        <v>216</v>
      </c>
      <c r="C23" s="17" t="s">
        <v>213</v>
      </c>
    </row>
    <row r="24" spans="1:3">
      <c r="A24" s="29" t="s">
        <v>218</v>
      </c>
      <c r="B24" s="30"/>
      <c r="C24" s="31"/>
    </row>
    <row r="25" spans="1:3" ht="55.2" customHeight="1">
      <c r="A25" s="17"/>
      <c r="B25" s="17"/>
      <c r="C25" s="17"/>
    </row>
    <row r="26" spans="1:3" ht="27.6">
      <c r="A26" s="17" t="s">
        <v>215</v>
      </c>
      <c r="B26" s="17" t="s">
        <v>216</v>
      </c>
      <c r="C26" s="17" t="s">
        <v>213</v>
      </c>
    </row>
    <row r="28" spans="1:3" ht="21">
      <c r="A28" s="32" t="s">
        <v>219</v>
      </c>
      <c r="B28" s="32"/>
      <c r="C28" s="32"/>
    </row>
    <row r="29" spans="1:3" ht="27.6" customHeight="1">
      <c r="A29" s="33" t="s">
        <v>235</v>
      </c>
      <c r="B29" s="33"/>
      <c r="C29" s="33"/>
    </row>
    <row r="31" spans="1:3">
      <c r="A31" s="29" t="s">
        <v>220</v>
      </c>
      <c r="B31" s="30"/>
      <c r="C31" s="31"/>
    </row>
    <row r="32" spans="1:3">
      <c r="A32" s="23" t="s">
        <v>221</v>
      </c>
      <c r="B32" s="24"/>
      <c r="C32" s="25"/>
    </row>
    <row r="33" spans="1:3">
      <c r="A33" s="26" t="s">
        <v>222</v>
      </c>
      <c r="B33" s="27"/>
      <c r="C33" s="28"/>
    </row>
    <row r="34" spans="1:3">
      <c r="A34" s="29" t="s">
        <v>224</v>
      </c>
      <c r="B34" s="30"/>
      <c r="C34" s="31"/>
    </row>
    <row r="35" spans="1:3">
      <c r="A35" s="23" t="s">
        <v>221</v>
      </c>
      <c r="B35" s="24"/>
      <c r="C35" s="25"/>
    </row>
    <row r="36" spans="1:3" ht="13.8" customHeight="1">
      <c r="A36" s="26" t="s">
        <v>222</v>
      </c>
      <c r="B36" s="27"/>
      <c r="C36" s="28"/>
    </row>
    <row r="37" spans="1:3">
      <c r="A37" s="29" t="s">
        <v>223</v>
      </c>
      <c r="B37" s="30"/>
      <c r="C37" s="31"/>
    </row>
    <row r="38" spans="1:3">
      <c r="A38" s="23" t="s">
        <v>221</v>
      </c>
      <c r="B38" s="24"/>
      <c r="C38" s="25"/>
    </row>
    <row r="39" spans="1:3" ht="13.8" customHeight="1">
      <c r="A39" s="26" t="s">
        <v>222</v>
      </c>
      <c r="B39" s="27"/>
      <c r="C39" s="28"/>
    </row>
    <row r="40" spans="1:3">
      <c r="A40" s="23"/>
      <c r="B40" s="24"/>
      <c r="C40" s="25"/>
    </row>
  </sheetData>
  <mergeCells count="27">
    <mergeCell ref="B11:C11"/>
    <mergeCell ref="B12:C12"/>
    <mergeCell ref="B13:C13"/>
    <mergeCell ref="B8:C8"/>
    <mergeCell ref="A3:C3"/>
    <mergeCell ref="B5:C5"/>
    <mergeCell ref="B6:C6"/>
    <mergeCell ref="B7:C7"/>
    <mergeCell ref="B9:C9"/>
    <mergeCell ref="B10:C10"/>
    <mergeCell ref="A35:C35"/>
    <mergeCell ref="A15:C15"/>
    <mergeCell ref="A18:C18"/>
    <mergeCell ref="A21:C21"/>
    <mergeCell ref="A24:C24"/>
    <mergeCell ref="A28:C28"/>
    <mergeCell ref="A16:C16"/>
    <mergeCell ref="A29:C29"/>
    <mergeCell ref="A31:C31"/>
    <mergeCell ref="A32:C32"/>
    <mergeCell ref="A33:C33"/>
    <mergeCell ref="A34:C34"/>
    <mergeCell ref="A40:C40"/>
    <mergeCell ref="A36:C36"/>
    <mergeCell ref="A37:C37"/>
    <mergeCell ref="A38:C38"/>
    <mergeCell ref="A39:C3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D02E5-71C1-48BE-B849-D3724D1BC169}">
  <sheetPr codeName="Sheet3"/>
  <dimension ref="A1:J25"/>
  <sheetViews>
    <sheetView showGridLines="0" workbookViewId="0">
      <pane ySplit="1" topLeftCell="A2" activePane="bottomLeft" state="frozen"/>
      <selection pane="bottomLeft" activeCell="B24" sqref="B24"/>
    </sheetView>
  </sheetViews>
  <sheetFormatPr defaultRowHeight="13.2"/>
  <cols>
    <col min="1" max="2" width="8.33203125" style="7" customWidth="1"/>
    <col min="3" max="3" width="33.33203125" style="7" customWidth="1"/>
    <col min="4" max="4" width="16.6640625" style="7" customWidth="1"/>
    <col min="5" max="5" width="33.33203125" style="7" customWidth="1"/>
    <col min="6" max="6" width="16.6640625" style="7" customWidth="1"/>
    <col min="7" max="10" width="33.33203125" style="7" customWidth="1"/>
    <col min="11" max="16384" width="8.88671875" style="7"/>
  </cols>
  <sheetData>
    <row r="1" spans="1:10" ht="26.4">
      <c r="A1" s="11" t="s">
        <v>23</v>
      </c>
      <c r="B1" s="11" t="s">
        <v>33</v>
      </c>
      <c r="C1" s="11" t="s">
        <v>34</v>
      </c>
      <c r="D1" s="11" t="s">
        <v>35</v>
      </c>
      <c r="E1" s="11" t="s">
        <v>36</v>
      </c>
      <c r="F1" s="11" t="s">
        <v>37</v>
      </c>
      <c r="G1" s="11" t="s">
        <v>38</v>
      </c>
      <c r="H1" s="11" t="s">
        <v>39</v>
      </c>
      <c r="I1" s="11" t="s">
        <v>54</v>
      </c>
      <c r="J1" s="11" t="s">
        <v>40</v>
      </c>
    </row>
    <row r="2" spans="1:10" ht="26.4">
      <c r="A2" s="12">
        <v>1</v>
      </c>
      <c r="B2" s="14" t="str">
        <f>HYPERLINK("#TA!A1", "TA")</f>
        <v>TA</v>
      </c>
      <c r="C2" s="12" t="s">
        <v>27</v>
      </c>
      <c r="D2" s="12" t="s">
        <v>24</v>
      </c>
      <c r="E2" s="12" t="s">
        <v>28</v>
      </c>
      <c r="F2" s="12" t="s">
        <v>25</v>
      </c>
      <c r="G2" s="12" t="s">
        <v>30</v>
      </c>
      <c r="H2" s="12" t="s">
        <v>29</v>
      </c>
      <c r="I2" s="6" t="s">
        <v>227</v>
      </c>
      <c r="J2" s="12"/>
    </row>
    <row r="3" spans="1:10">
      <c r="A3" s="12">
        <v>2</v>
      </c>
      <c r="B3" s="14" t="str">
        <f>HYPERLINK("#TE!A1", "TE")</f>
        <v>TE</v>
      </c>
      <c r="C3" s="12" t="s">
        <v>193</v>
      </c>
      <c r="D3" s="12" t="s">
        <v>24</v>
      </c>
      <c r="E3" s="12" t="s">
        <v>194</v>
      </c>
      <c r="F3" s="12" t="s">
        <v>25</v>
      </c>
      <c r="G3" s="12" t="s">
        <v>195</v>
      </c>
      <c r="H3" s="12" t="s">
        <v>196</v>
      </c>
      <c r="I3" s="6" t="s">
        <v>227</v>
      </c>
      <c r="J3" s="12"/>
    </row>
    <row r="4" spans="1:10">
      <c r="A4" s="12">
        <v>3</v>
      </c>
      <c r="B4" s="14" t="str">
        <f>HYPERLINK("#TV!A1", "TV")</f>
        <v>TV</v>
      </c>
      <c r="C4" s="12" t="s">
        <v>249</v>
      </c>
      <c r="D4" s="12" t="s">
        <v>24</v>
      </c>
      <c r="E4" s="12" t="s">
        <v>250</v>
      </c>
      <c r="F4" s="12" t="s">
        <v>25</v>
      </c>
      <c r="G4" s="21" t="s">
        <v>251</v>
      </c>
      <c r="H4" s="21" t="s">
        <v>253</v>
      </c>
      <c r="I4" s="6" t="s">
        <v>227</v>
      </c>
      <c r="J4" s="12"/>
    </row>
    <row r="5" spans="1:10" ht="26.4">
      <c r="A5" s="12">
        <v>4</v>
      </c>
      <c r="B5" s="14" t="str">
        <f>HYPERLINK("#TD!A1", "TD")</f>
        <v>TD</v>
      </c>
      <c r="C5" s="21" t="s">
        <v>283</v>
      </c>
      <c r="D5" s="12" t="s">
        <v>24</v>
      </c>
      <c r="E5" s="21" t="s">
        <v>284</v>
      </c>
      <c r="F5" s="12" t="s">
        <v>25</v>
      </c>
      <c r="G5" s="21" t="s">
        <v>286</v>
      </c>
      <c r="H5" s="21" t="s">
        <v>285</v>
      </c>
      <c r="I5" s="6" t="s">
        <v>227</v>
      </c>
      <c r="J5" s="12"/>
    </row>
    <row r="6" spans="1:10">
      <c r="A6" s="12">
        <v>5</v>
      </c>
      <c r="B6" s="14" t="str">
        <f>HYPERLINK("#TM!A1", "TM")</f>
        <v>TM</v>
      </c>
      <c r="C6" s="21" t="s">
        <v>314</v>
      </c>
      <c r="D6" s="12" t="s">
        <v>24</v>
      </c>
      <c r="E6" s="21" t="s">
        <v>315</v>
      </c>
      <c r="F6" s="12" t="s">
        <v>25</v>
      </c>
      <c r="G6" s="21" t="s">
        <v>317</v>
      </c>
      <c r="H6" s="21" t="s">
        <v>316</v>
      </c>
      <c r="I6" s="6" t="s">
        <v>227</v>
      </c>
      <c r="J6" s="12"/>
    </row>
    <row r="7" spans="1:10">
      <c r="A7" s="12">
        <v>6</v>
      </c>
      <c r="B7" s="14" t="str">
        <f>HYPERLINK("#TI!A1", "TI")</f>
        <v>TI</v>
      </c>
      <c r="C7" s="21" t="s">
        <v>358</v>
      </c>
      <c r="D7" s="12" t="s">
        <v>24</v>
      </c>
      <c r="E7" s="21" t="s">
        <v>359</v>
      </c>
      <c r="F7" s="12" t="s">
        <v>25</v>
      </c>
      <c r="G7" s="21" t="s">
        <v>362</v>
      </c>
      <c r="H7" s="21" t="s">
        <v>247</v>
      </c>
      <c r="I7" s="6" t="s">
        <v>227</v>
      </c>
      <c r="J7" s="12"/>
    </row>
    <row r="8" spans="1:10" ht="26.4">
      <c r="A8" s="12">
        <v>7</v>
      </c>
      <c r="B8" s="14" t="str">
        <f>HYPERLINK("#TS!A1", "TS")</f>
        <v>TS</v>
      </c>
      <c r="C8" s="21" t="s">
        <v>360</v>
      </c>
      <c r="D8" s="12" t="s">
        <v>24</v>
      </c>
      <c r="E8" s="21" t="s">
        <v>361</v>
      </c>
      <c r="F8" s="12" t="s">
        <v>25</v>
      </c>
      <c r="G8" s="21" t="s">
        <v>1092</v>
      </c>
      <c r="H8" s="21" t="s">
        <v>357</v>
      </c>
      <c r="I8" s="6" t="s">
        <v>227</v>
      </c>
      <c r="J8" s="12"/>
    </row>
    <row r="9" spans="1:10" ht="26.4">
      <c r="A9" s="12">
        <v>8</v>
      </c>
      <c r="B9" s="14" t="str">
        <f>HYPERLINK("#CO!A1", "CO")</f>
        <v>CO</v>
      </c>
      <c r="C9" s="21" t="s">
        <v>51</v>
      </c>
      <c r="D9" s="12" t="s">
        <v>1090</v>
      </c>
      <c r="E9" s="21" t="s">
        <v>1091</v>
      </c>
      <c r="F9" s="12" t="s">
        <v>25</v>
      </c>
      <c r="G9" s="21" t="s">
        <v>1093</v>
      </c>
      <c r="H9" s="21" t="s">
        <v>1094</v>
      </c>
      <c r="I9" s="6" t="s">
        <v>227</v>
      </c>
      <c r="J9" s="12"/>
    </row>
    <row r="10" spans="1:10">
      <c r="A10" s="12">
        <v>9</v>
      </c>
      <c r="B10" s="14" t="str">
        <f>HYPERLINK("#DM!A1", "DM")</f>
        <v>DM</v>
      </c>
      <c r="C10" s="21" t="s">
        <v>1270</v>
      </c>
      <c r="D10" s="12" t="s">
        <v>1090</v>
      </c>
      <c r="E10" s="21" t="s">
        <v>1934</v>
      </c>
      <c r="F10" s="12" t="s">
        <v>25</v>
      </c>
      <c r="G10" s="21" t="s">
        <v>1935</v>
      </c>
      <c r="H10" s="21" t="s">
        <v>1936</v>
      </c>
      <c r="I10" s="6" t="s">
        <v>227</v>
      </c>
      <c r="J10" s="12"/>
    </row>
    <row r="11" spans="1:10" ht="26.4">
      <c r="A11" s="12">
        <v>10</v>
      </c>
      <c r="B11" s="14" t="str">
        <f>HYPERLINK("#SE!A1", "SE")</f>
        <v>SE</v>
      </c>
      <c r="C11" s="21" t="s">
        <v>1405</v>
      </c>
      <c r="D11" s="12" t="s">
        <v>1090</v>
      </c>
      <c r="E11" s="21" t="s">
        <v>2139</v>
      </c>
      <c r="F11" s="12" t="s">
        <v>25</v>
      </c>
      <c r="G11" s="21" t="s">
        <v>2140</v>
      </c>
      <c r="H11" s="21" t="s">
        <v>2141</v>
      </c>
      <c r="I11" s="6" t="s">
        <v>227</v>
      </c>
      <c r="J11" s="12"/>
    </row>
    <row r="12" spans="1:10" ht="26.4">
      <c r="A12" s="12">
        <v>11</v>
      </c>
      <c r="B12" s="14" t="str">
        <f>HYPERLINK("#SM!A1", "SM")</f>
        <v>SM</v>
      </c>
      <c r="C12" s="21" t="s">
        <v>1408</v>
      </c>
      <c r="D12" s="12" t="s">
        <v>1090</v>
      </c>
      <c r="E12" s="21" t="s">
        <v>2165</v>
      </c>
      <c r="F12" s="12" t="s">
        <v>25</v>
      </c>
      <c r="G12" s="21" t="s">
        <v>2166</v>
      </c>
      <c r="H12" s="21" t="s">
        <v>2167</v>
      </c>
      <c r="I12" s="6" t="s">
        <v>227</v>
      </c>
      <c r="J12" s="12"/>
    </row>
    <row r="13" spans="1:10" ht="26.4">
      <c r="A13" s="12">
        <v>12</v>
      </c>
      <c r="B13" s="14" t="str">
        <f>HYPERLINK("#SV!A1", "SV")</f>
        <v>SV</v>
      </c>
      <c r="C13" s="21" t="s">
        <v>1420</v>
      </c>
      <c r="D13" s="12" t="s">
        <v>1090</v>
      </c>
      <c r="E13" s="21" t="s">
        <v>2187</v>
      </c>
      <c r="F13" s="12" t="s">
        <v>25</v>
      </c>
      <c r="G13" s="21" t="s">
        <v>2190</v>
      </c>
      <c r="H13" s="21" t="s">
        <v>2188</v>
      </c>
      <c r="I13" s="6" t="s">
        <v>227</v>
      </c>
      <c r="J13" s="12"/>
    </row>
    <row r="14" spans="1:10" ht="39.6">
      <c r="A14" s="12">
        <v>13</v>
      </c>
      <c r="B14" s="14" t="str">
        <f>HYPERLINK("#CM!A1", "CM")</f>
        <v>CM</v>
      </c>
      <c r="C14" s="21" t="s">
        <v>1247</v>
      </c>
      <c r="D14" s="12" t="s">
        <v>2254</v>
      </c>
      <c r="E14" s="21" t="s">
        <v>2255</v>
      </c>
      <c r="F14" s="12" t="s">
        <v>25</v>
      </c>
      <c r="G14" s="21" t="s">
        <v>2257</v>
      </c>
      <c r="H14" s="21" t="s">
        <v>2256</v>
      </c>
      <c r="I14" s="6" t="s">
        <v>227</v>
      </c>
      <c r="J14" s="12"/>
    </row>
    <row r="15" spans="1:10" ht="39.6">
      <c r="A15" s="12">
        <v>14</v>
      </c>
      <c r="B15" s="14" t="str">
        <f>HYPERLINK("#EX!A1", "EX")</f>
        <v>EX</v>
      </c>
      <c r="C15" s="21" t="s">
        <v>1303</v>
      </c>
      <c r="D15" s="12" t="s">
        <v>2254</v>
      </c>
      <c r="E15" s="21" t="s">
        <v>7841</v>
      </c>
      <c r="F15" s="12" t="s">
        <v>25</v>
      </c>
      <c r="G15" s="21" t="s">
        <v>7842</v>
      </c>
      <c r="H15" s="21" t="s">
        <v>7843</v>
      </c>
      <c r="I15" s="6" t="s">
        <v>227</v>
      </c>
      <c r="J15" s="12"/>
    </row>
    <row r="16" spans="1:10" ht="39.6">
      <c r="A16" s="12">
        <v>15</v>
      </c>
      <c r="B16" s="14" t="str">
        <f>HYPERLINK("#EC!A1", "EC")</f>
        <v>EC</v>
      </c>
      <c r="C16" s="21" t="s">
        <v>1294</v>
      </c>
      <c r="D16" s="12" t="s">
        <v>2254</v>
      </c>
      <c r="E16" s="21" t="s">
        <v>13864</v>
      </c>
      <c r="F16" s="12" t="s">
        <v>25</v>
      </c>
      <c r="G16" s="21" t="s">
        <v>13787</v>
      </c>
      <c r="H16" s="21" t="s">
        <v>7843</v>
      </c>
      <c r="I16" s="6" t="s">
        <v>227</v>
      </c>
      <c r="J16" s="12"/>
    </row>
    <row r="17" spans="1:10" ht="26.4">
      <c r="A17" s="12">
        <v>16</v>
      </c>
      <c r="B17" s="14" t="str">
        <f>HYPERLINK("#PR!A1", "PR")</f>
        <v>PR</v>
      </c>
      <c r="C17" s="21" t="s">
        <v>1375</v>
      </c>
      <c r="D17" s="12" t="s">
        <v>2254</v>
      </c>
      <c r="E17" s="21" t="s">
        <v>13913</v>
      </c>
      <c r="F17" s="12" t="s">
        <v>25</v>
      </c>
      <c r="G17" s="21" t="s">
        <v>13914</v>
      </c>
      <c r="H17" s="21" t="s">
        <v>13915</v>
      </c>
      <c r="I17" s="6" t="s">
        <v>227</v>
      </c>
      <c r="J17" s="12"/>
    </row>
    <row r="18" spans="1:10" ht="26.4">
      <c r="A18" s="12">
        <v>17</v>
      </c>
      <c r="B18" s="14" t="str">
        <f>HYPERLINK("#AE!A1", "AE")</f>
        <v>AE</v>
      </c>
      <c r="C18" s="21" t="s">
        <v>1232</v>
      </c>
      <c r="D18" s="12" t="s">
        <v>14608</v>
      </c>
      <c r="E18" s="21" t="s">
        <v>14609</v>
      </c>
      <c r="F18" s="12" t="s">
        <v>25</v>
      </c>
      <c r="G18" s="21" t="s">
        <v>14610</v>
      </c>
      <c r="H18" s="21" t="s">
        <v>14611</v>
      </c>
      <c r="I18" s="6" t="s">
        <v>227</v>
      </c>
      <c r="J18" s="12"/>
    </row>
    <row r="19" spans="1:10" ht="39.6">
      <c r="A19" s="12">
        <v>18</v>
      </c>
      <c r="B19" s="14" t="str">
        <f>HYPERLINK("#BE!A1", "BE")</f>
        <v>BE</v>
      </c>
      <c r="C19" s="21" t="s">
        <v>1238</v>
      </c>
      <c r="D19" s="12" t="s">
        <v>14608</v>
      </c>
      <c r="E19" s="21" t="s">
        <v>14865</v>
      </c>
      <c r="F19" s="12" t="s">
        <v>25</v>
      </c>
      <c r="G19" s="21" t="s">
        <v>15016</v>
      </c>
      <c r="H19" s="21" t="s">
        <v>14866</v>
      </c>
      <c r="I19" s="6" t="s">
        <v>227</v>
      </c>
      <c r="J19" s="12"/>
    </row>
    <row r="20" spans="1:10" ht="26.4">
      <c r="A20" s="12">
        <v>19</v>
      </c>
      <c r="B20" s="14" t="str">
        <f>HYPERLINK("#DS!A1", "DS")</f>
        <v>DS</v>
      </c>
      <c r="C20" s="21" t="s">
        <v>1279</v>
      </c>
      <c r="D20" s="12" t="s">
        <v>14608</v>
      </c>
      <c r="E20" s="21" t="s">
        <v>15015</v>
      </c>
      <c r="F20" s="12" t="s">
        <v>25</v>
      </c>
      <c r="G20" s="21" t="s">
        <v>15017</v>
      </c>
      <c r="H20" s="21" t="s">
        <v>15018</v>
      </c>
      <c r="I20" s="6" t="s">
        <v>227</v>
      </c>
      <c r="J20" s="12"/>
    </row>
    <row r="21" spans="1:10" ht="26.4">
      <c r="A21" s="12">
        <v>20</v>
      </c>
      <c r="B21" s="14" t="str">
        <f>HYPERLINK("#HO!A1", "HO")</f>
        <v>HO</v>
      </c>
      <c r="C21" s="21" t="s">
        <v>1321</v>
      </c>
      <c r="D21" s="12" t="s">
        <v>14608</v>
      </c>
      <c r="E21" s="21" t="s">
        <v>15307</v>
      </c>
      <c r="F21" s="12" t="s">
        <v>25</v>
      </c>
      <c r="G21" s="21" t="s">
        <v>15308</v>
      </c>
      <c r="H21" s="21" t="s">
        <v>15309</v>
      </c>
      <c r="I21" s="6" t="s">
        <v>227</v>
      </c>
      <c r="J21" s="12"/>
    </row>
    <row r="22" spans="1:10" ht="26.4">
      <c r="A22" s="12">
        <v>21</v>
      </c>
      <c r="B22" s="14" t="str">
        <f>HYPERLINK("#MH!A1", "MH")</f>
        <v>MH</v>
      </c>
      <c r="C22" s="21" t="s">
        <v>1339</v>
      </c>
      <c r="D22" s="12" t="s">
        <v>14608</v>
      </c>
      <c r="E22" s="21" t="s">
        <v>15461</v>
      </c>
      <c r="F22" s="12" t="s">
        <v>25</v>
      </c>
      <c r="G22" s="21" t="s">
        <v>15462</v>
      </c>
      <c r="H22" s="21" t="s">
        <v>15463</v>
      </c>
      <c r="I22" s="6" t="s">
        <v>227</v>
      </c>
      <c r="J22" s="12"/>
    </row>
    <row r="23" spans="1:10" ht="26.4">
      <c r="A23" s="12">
        <v>22</v>
      </c>
      <c r="B23" s="14" t="str">
        <f>HYPERLINK("#DV!A1", "DV")</f>
        <v>DV</v>
      </c>
      <c r="C23" s="21" t="s">
        <v>1288</v>
      </c>
      <c r="D23" s="12" t="s">
        <v>14608</v>
      </c>
      <c r="E23" s="21" t="s">
        <v>15612</v>
      </c>
      <c r="F23" s="12" t="s">
        <v>25</v>
      </c>
      <c r="G23" s="21" t="s">
        <v>15614</v>
      </c>
      <c r="H23" s="21" t="s">
        <v>15613</v>
      </c>
      <c r="I23" s="6" t="s">
        <v>227</v>
      </c>
      <c r="J23" s="12"/>
    </row>
    <row r="24" spans="1:10" ht="26.4">
      <c r="A24" s="12">
        <v>23</v>
      </c>
      <c r="B24" s="14" t="str">
        <f>HYPERLINK("#DD!A1", "DD")</f>
        <v>DD</v>
      </c>
      <c r="C24" s="21" t="s">
        <v>15615</v>
      </c>
      <c r="D24" s="12" t="s">
        <v>15616</v>
      </c>
      <c r="E24" s="21" t="s">
        <v>15617</v>
      </c>
      <c r="F24" s="12" t="s">
        <v>25</v>
      </c>
      <c r="G24" s="21" t="s">
        <v>15619</v>
      </c>
      <c r="H24" s="21" t="s">
        <v>15618</v>
      </c>
      <c r="I24" s="6" t="s">
        <v>227</v>
      </c>
      <c r="J24" s="12"/>
    </row>
    <row r="25" spans="1:10" ht="26.4">
      <c r="A25" s="12">
        <v>99</v>
      </c>
      <c r="B25" s="12" t="s">
        <v>225</v>
      </c>
      <c r="C25" s="18" t="s">
        <v>231</v>
      </c>
      <c r="D25" s="6" t="s">
        <v>230</v>
      </c>
      <c r="E25" s="12" t="s">
        <v>229</v>
      </c>
      <c r="F25" s="12" t="s">
        <v>25</v>
      </c>
      <c r="G25" s="6" t="s">
        <v>228</v>
      </c>
      <c r="H25" s="6" t="s">
        <v>226</v>
      </c>
      <c r="I25" s="6" t="s">
        <v>227</v>
      </c>
      <c r="J25"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26A67-EC33-4B60-8C93-4DE7C27A55AF}">
  <sheetPr codeName="Sheet5"/>
  <dimension ref="A1:M3469"/>
  <sheetViews>
    <sheetView showGridLines="0" zoomScaleNormal="100" workbookViewId="0">
      <pane ySplit="2" topLeftCell="A3369" activePane="bottomLeft" state="frozen"/>
      <selection pane="bottomLeft" activeCell="A3372" sqref="A3372:XFD3382"/>
    </sheetView>
  </sheetViews>
  <sheetFormatPr defaultRowHeight="13.2"/>
  <cols>
    <col min="1" max="6" width="16.6640625" style="7" customWidth="1"/>
    <col min="7" max="7" width="50" style="7" customWidth="1"/>
    <col min="8" max="11" width="16.6640625" style="7" customWidth="1"/>
    <col min="12" max="12" width="50" style="7" customWidth="1"/>
    <col min="13" max="13" width="16.6640625" style="7" customWidth="1"/>
    <col min="14" max="16384" width="8.88671875" style="7"/>
  </cols>
  <sheetData>
    <row r="1" spans="1:13" s="10" customFormat="1">
      <c r="A1" s="36" t="s">
        <v>80</v>
      </c>
      <c r="B1" s="36"/>
      <c r="C1" s="36"/>
      <c r="D1" s="36"/>
      <c r="E1" s="36"/>
      <c r="F1" s="36"/>
      <c r="G1" s="36"/>
      <c r="H1" s="36"/>
      <c r="I1" s="36" t="s">
        <v>81</v>
      </c>
      <c r="J1" s="36"/>
      <c r="K1" s="36"/>
      <c r="L1" s="36"/>
      <c r="M1" s="36"/>
    </row>
    <row r="2" spans="1:13" ht="26.4">
      <c r="A2" s="11" t="s">
        <v>65</v>
      </c>
      <c r="B2" s="11" t="s">
        <v>2026</v>
      </c>
      <c r="C2" s="11" t="s">
        <v>2027</v>
      </c>
      <c r="D2" s="11" t="s">
        <v>66</v>
      </c>
      <c r="E2" s="11" t="s">
        <v>67</v>
      </c>
      <c r="F2" s="11" t="s">
        <v>68</v>
      </c>
      <c r="G2" s="11" t="s">
        <v>69</v>
      </c>
      <c r="H2" s="11" t="s">
        <v>70</v>
      </c>
      <c r="I2" s="11" t="s">
        <v>2027</v>
      </c>
      <c r="J2" s="11" t="s">
        <v>67</v>
      </c>
      <c r="K2" s="11" t="s">
        <v>68</v>
      </c>
      <c r="L2" s="11" t="s">
        <v>69</v>
      </c>
      <c r="M2" s="11" t="s">
        <v>70</v>
      </c>
    </row>
    <row r="3" spans="1:13" ht="184.8">
      <c r="A3" s="12" t="s">
        <v>15081</v>
      </c>
      <c r="B3" s="12" t="s">
        <v>15082</v>
      </c>
      <c r="C3" s="21" t="s">
        <v>15083</v>
      </c>
      <c r="D3" s="12" t="s">
        <v>71</v>
      </c>
      <c r="E3" s="21" t="s">
        <v>15084</v>
      </c>
      <c r="F3" s="12" t="s">
        <v>15082</v>
      </c>
      <c r="G3" s="12" t="s">
        <v>15085</v>
      </c>
      <c r="H3" s="12" t="s">
        <v>15086</v>
      </c>
      <c r="I3" s="12" t="s">
        <v>15087</v>
      </c>
      <c r="J3" s="12" t="s">
        <v>15124</v>
      </c>
      <c r="K3" s="12"/>
      <c r="L3" s="12" t="s">
        <v>15161</v>
      </c>
      <c r="M3" s="12" t="s">
        <v>15162</v>
      </c>
    </row>
    <row r="4" spans="1:13" ht="52.8">
      <c r="A4" s="12" t="s">
        <v>15081</v>
      </c>
      <c r="B4" s="12" t="s">
        <v>15082</v>
      </c>
      <c r="C4" s="21" t="s">
        <v>15083</v>
      </c>
      <c r="D4" s="12" t="s">
        <v>71</v>
      </c>
      <c r="E4" s="21" t="s">
        <v>15084</v>
      </c>
      <c r="F4" s="12" t="s">
        <v>15082</v>
      </c>
      <c r="G4" s="12" t="s">
        <v>15085</v>
      </c>
      <c r="H4" s="12" t="s">
        <v>15086</v>
      </c>
      <c r="I4" s="12" t="s">
        <v>15088</v>
      </c>
      <c r="J4" s="12" t="s">
        <v>15125</v>
      </c>
      <c r="K4" s="12"/>
      <c r="L4" s="12" t="s">
        <v>15163</v>
      </c>
      <c r="M4" s="12" t="s">
        <v>15164</v>
      </c>
    </row>
    <row r="5" spans="1:13" ht="52.8">
      <c r="A5" s="12" t="s">
        <v>15081</v>
      </c>
      <c r="B5" s="12" t="s">
        <v>15082</v>
      </c>
      <c r="C5" s="21" t="s">
        <v>15083</v>
      </c>
      <c r="D5" s="12" t="s">
        <v>71</v>
      </c>
      <c r="E5" s="21" t="s">
        <v>15084</v>
      </c>
      <c r="F5" s="12" t="s">
        <v>15082</v>
      </c>
      <c r="G5" s="12" t="s">
        <v>15085</v>
      </c>
      <c r="H5" s="12" t="s">
        <v>15086</v>
      </c>
      <c r="I5" s="12" t="s">
        <v>15089</v>
      </c>
      <c r="J5" s="12" t="s">
        <v>15126</v>
      </c>
      <c r="K5" s="12"/>
      <c r="L5" s="12" t="s">
        <v>15165</v>
      </c>
      <c r="M5" s="12" t="s">
        <v>15166</v>
      </c>
    </row>
    <row r="6" spans="1:13" ht="52.8">
      <c r="A6" s="12" t="s">
        <v>15081</v>
      </c>
      <c r="B6" s="12" t="s">
        <v>15082</v>
      </c>
      <c r="C6" s="21" t="s">
        <v>15083</v>
      </c>
      <c r="D6" s="12" t="s">
        <v>71</v>
      </c>
      <c r="E6" s="21" t="s">
        <v>15084</v>
      </c>
      <c r="F6" s="12" t="s">
        <v>15082</v>
      </c>
      <c r="G6" s="12" t="s">
        <v>15085</v>
      </c>
      <c r="H6" s="12" t="s">
        <v>15086</v>
      </c>
      <c r="I6" s="12" t="s">
        <v>15090</v>
      </c>
      <c r="J6" s="12" t="s">
        <v>15127</v>
      </c>
      <c r="K6" s="12" t="s">
        <v>15167</v>
      </c>
      <c r="L6" s="12" t="s">
        <v>15168</v>
      </c>
      <c r="M6" s="12" t="s">
        <v>15169</v>
      </c>
    </row>
    <row r="7" spans="1:13" ht="52.8">
      <c r="A7" s="12" t="s">
        <v>15081</v>
      </c>
      <c r="B7" s="12" t="s">
        <v>15082</v>
      </c>
      <c r="C7" s="21" t="s">
        <v>15083</v>
      </c>
      <c r="D7" s="12" t="s">
        <v>71</v>
      </c>
      <c r="E7" s="21" t="s">
        <v>15084</v>
      </c>
      <c r="F7" s="12" t="s">
        <v>15082</v>
      </c>
      <c r="G7" s="12" t="s">
        <v>15085</v>
      </c>
      <c r="H7" s="12" t="s">
        <v>15086</v>
      </c>
      <c r="I7" s="12" t="s">
        <v>15091</v>
      </c>
      <c r="J7" s="12" t="s">
        <v>15128</v>
      </c>
      <c r="K7" s="12" t="s">
        <v>15170</v>
      </c>
      <c r="L7" s="12" t="s">
        <v>15171</v>
      </c>
      <c r="M7" s="12" t="s">
        <v>15170</v>
      </c>
    </row>
    <row r="8" spans="1:13" ht="52.8">
      <c r="A8" s="12" t="s">
        <v>15081</v>
      </c>
      <c r="B8" s="12" t="s">
        <v>15082</v>
      </c>
      <c r="C8" s="21" t="s">
        <v>15083</v>
      </c>
      <c r="D8" s="12" t="s">
        <v>71</v>
      </c>
      <c r="E8" s="21" t="s">
        <v>15084</v>
      </c>
      <c r="F8" s="12" t="s">
        <v>15082</v>
      </c>
      <c r="G8" s="12" t="s">
        <v>15085</v>
      </c>
      <c r="H8" s="12" t="s">
        <v>15086</v>
      </c>
      <c r="I8" s="12" t="s">
        <v>15092</v>
      </c>
      <c r="J8" s="12" t="s">
        <v>15129</v>
      </c>
      <c r="K8" s="12"/>
      <c r="L8" s="12" t="s">
        <v>15172</v>
      </c>
      <c r="M8" s="12" t="s">
        <v>15173</v>
      </c>
    </row>
    <row r="9" spans="1:13" ht="52.8">
      <c r="A9" s="12" t="s">
        <v>15081</v>
      </c>
      <c r="B9" s="12" t="s">
        <v>15082</v>
      </c>
      <c r="C9" s="21" t="s">
        <v>15083</v>
      </c>
      <c r="D9" s="12" t="s">
        <v>71</v>
      </c>
      <c r="E9" s="21" t="s">
        <v>15084</v>
      </c>
      <c r="F9" s="12" t="s">
        <v>15082</v>
      </c>
      <c r="G9" s="12" t="s">
        <v>15085</v>
      </c>
      <c r="H9" s="12" t="s">
        <v>15086</v>
      </c>
      <c r="I9" s="12" t="s">
        <v>15093</v>
      </c>
      <c r="J9" s="12" t="s">
        <v>15130</v>
      </c>
      <c r="K9" s="12"/>
      <c r="L9" s="12" t="s">
        <v>15174</v>
      </c>
      <c r="M9" s="12" t="s">
        <v>15175</v>
      </c>
    </row>
    <row r="10" spans="1:13" ht="52.8">
      <c r="A10" s="12" t="s">
        <v>15081</v>
      </c>
      <c r="B10" s="12" t="s">
        <v>15082</v>
      </c>
      <c r="C10" s="21" t="s">
        <v>15083</v>
      </c>
      <c r="D10" s="12" t="s">
        <v>71</v>
      </c>
      <c r="E10" s="21" t="s">
        <v>15084</v>
      </c>
      <c r="F10" s="12" t="s">
        <v>15082</v>
      </c>
      <c r="G10" s="12" t="s">
        <v>15085</v>
      </c>
      <c r="H10" s="12" t="s">
        <v>15086</v>
      </c>
      <c r="I10" s="12" t="s">
        <v>15094</v>
      </c>
      <c r="J10" s="12" t="s">
        <v>15131</v>
      </c>
      <c r="K10" s="12"/>
      <c r="L10" s="12" t="s">
        <v>15176</v>
      </c>
      <c r="M10" s="12" t="s">
        <v>15177</v>
      </c>
    </row>
    <row r="11" spans="1:13" ht="52.8">
      <c r="A11" s="12" t="s">
        <v>15081</v>
      </c>
      <c r="B11" s="12" t="s">
        <v>15082</v>
      </c>
      <c r="C11" s="21" t="s">
        <v>15083</v>
      </c>
      <c r="D11" s="12" t="s">
        <v>71</v>
      </c>
      <c r="E11" s="21" t="s">
        <v>15084</v>
      </c>
      <c r="F11" s="12" t="s">
        <v>15082</v>
      </c>
      <c r="G11" s="12" t="s">
        <v>15085</v>
      </c>
      <c r="H11" s="12" t="s">
        <v>15086</v>
      </c>
      <c r="I11" s="12" t="s">
        <v>15095</v>
      </c>
      <c r="J11" s="12" t="s">
        <v>15132</v>
      </c>
      <c r="K11" s="12"/>
      <c r="L11" s="12" t="s">
        <v>15178</v>
      </c>
      <c r="M11" s="12" t="s">
        <v>15179</v>
      </c>
    </row>
    <row r="12" spans="1:13" ht="52.8">
      <c r="A12" s="12" t="s">
        <v>15081</v>
      </c>
      <c r="B12" s="12" t="s">
        <v>15082</v>
      </c>
      <c r="C12" s="21" t="s">
        <v>15083</v>
      </c>
      <c r="D12" s="12" t="s">
        <v>71</v>
      </c>
      <c r="E12" s="21" t="s">
        <v>15084</v>
      </c>
      <c r="F12" s="12" t="s">
        <v>15082</v>
      </c>
      <c r="G12" s="12" t="s">
        <v>15085</v>
      </c>
      <c r="H12" s="12" t="s">
        <v>15086</v>
      </c>
      <c r="I12" s="12" t="s">
        <v>15096</v>
      </c>
      <c r="J12" s="12" t="s">
        <v>15133</v>
      </c>
      <c r="K12" s="12"/>
      <c r="L12" s="12" t="s">
        <v>15180</v>
      </c>
      <c r="M12" s="12" t="s">
        <v>15181</v>
      </c>
    </row>
    <row r="13" spans="1:13" ht="66">
      <c r="A13" s="12" t="s">
        <v>15081</v>
      </c>
      <c r="B13" s="12" t="s">
        <v>15082</v>
      </c>
      <c r="C13" s="21" t="s">
        <v>15083</v>
      </c>
      <c r="D13" s="12" t="s">
        <v>71</v>
      </c>
      <c r="E13" s="21" t="s">
        <v>15084</v>
      </c>
      <c r="F13" s="12" t="s">
        <v>15082</v>
      </c>
      <c r="G13" s="12" t="s">
        <v>15085</v>
      </c>
      <c r="H13" s="12" t="s">
        <v>15086</v>
      </c>
      <c r="I13" s="12" t="s">
        <v>15097</v>
      </c>
      <c r="J13" s="12" t="s">
        <v>15134</v>
      </c>
      <c r="K13" s="12" t="s">
        <v>15182</v>
      </c>
      <c r="L13" s="12" t="s">
        <v>15183</v>
      </c>
      <c r="M13" s="12" t="s">
        <v>15184</v>
      </c>
    </row>
    <row r="14" spans="1:13" ht="52.8">
      <c r="A14" s="12" t="s">
        <v>15081</v>
      </c>
      <c r="B14" s="12" t="s">
        <v>15082</v>
      </c>
      <c r="C14" s="21" t="s">
        <v>15083</v>
      </c>
      <c r="D14" s="12" t="s">
        <v>71</v>
      </c>
      <c r="E14" s="21" t="s">
        <v>15084</v>
      </c>
      <c r="F14" s="12" t="s">
        <v>15082</v>
      </c>
      <c r="G14" s="12" t="s">
        <v>15085</v>
      </c>
      <c r="H14" s="12" t="s">
        <v>15086</v>
      </c>
      <c r="I14" s="12" t="s">
        <v>15098</v>
      </c>
      <c r="J14" s="12" t="s">
        <v>15135</v>
      </c>
      <c r="K14" s="12"/>
      <c r="L14" s="12" t="s">
        <v>15185</v>
      </c>
      <c r="M14" s="12" t="s">
        <v>15186</v>
      </c>
    </row>
    <row r="15" spans="1:13" ht="132">
      <c r="A15" s="12" t="s">
        <v>15081</v>
      </c>
      <c r="B15" s="12" t="s">
        <v>15082</v>
      </c>
      <c r="C15" s="21" t="s">
        <v>15083</v>
      </c>
      <c r="D15" s="12" t="s">
        <v>71</v>
      </c>
      <c r="E15" s="21" t="s">
        <v>15084</v>
      </c>
      <c r="F15" s="12" t="s">
        <v>15082</v>
      </c>
      <c r="G15" s="12" t="s">
        <v>15085</v>
      </c>
      <c r="H15" s="12" t="s">
        <v>15086</v>
      </c>
      <c r="I15" s="12" t="s">
        <v>15099</v>
      </c>
      <c r="J15" s="12" t="s">
        <v>15136</v>
      </c>
      <c r="K15" s="12" t="s">
        <v>15187</v>
      </c>
      <c r="L15" s="12" t="s">
        <v>15188</v>
      </c>
      <c r="M15" s="12" t="s">
        <v>15189</v>
      </c>
    </row>
    <row r="16" spans="1:13" ht="52.8">
      <c r="A16" s="12" t="s">
        <v>15081</v>
      </c>
      <c r="B16" s="12" t="s">
        <v>15082</v>
      </c>
      <c r="C16" s="21" t="s">
        <v>15083</v>
      </c>
      <c r="D16" s="12" t="s">
        <v>71</v>
      </c>
      <c r="E16" s="21" t="s">
        <v>15084</v>
      </c>
      <c r="F16" s="12" t="s">
        <v>15082</v>
      </c>
      <c r="G16" s="12" t="s">
        <v>15085</v>
      </c>
      <c r="H16" s="12" t="s">
        <v>15086</v>
      </c>
      <c r="I16" s="12" t="s">
        <v>15100</v>
      </c>
      <c r="J16" s="12" t="s">
        <v>15137</v>
      </c>
      <c r="K16" s="12"/>
      <c r="L16" s="12" t="s">
        <v>15190</v>
      </c>
      <c r="M16" s="12" t="s">
        <v>15191</v>
      </c>
    </row>
    <row r="17" spans="1:13" ht="52.8">
      <c r="A17" s="12" t="s">
        <v>15081</v>
      </c>
      <c r="B17" s="12" t="s">
        <v>15082</v>
      </c>
      <c r="C17" s="21" t="s">
        <v>15083</v>
      </c>
      <c r="D17" s="12" t="s">
        <v>71</v>
      </c>
      <c r="E17" s="21" t="s">
        <v>15084</v>
      </c>
      <c r="F17" s="12" t="s">
        <v>15082</v>
      </c>
      <c r="G17" s="12" t="s">
        <v>15085</v>
      </c>
      <c r="H17" s="12" t="s">
        <v>15086</v>
      </c>
      <c r="I17" s="12" t="s">
        <v>15101</v>
      </c>
      <c r="J17" s="12" t="s">
        <v>15138</v>
      </c>
      <c r="K17" s="12"/>
      <c r="L17" s="12" t="s">
        <v>15192</v>
      </c>
      <c r="M17" s="12" t="s">
        <v>15193</v>
      </c>
    </row>
    <row r="18" spans="1:13" ht="52.8">
      <c r="A18" s="12" t="s">
        <v>15081</v>
      </c>
      <c r="B18" s="12" t="s">
        <v>15082</v>
      </c>
      <c r="C18" s="21" t="s">
        <v>15083</v>
      </c>
      <c r="D18" s="12" t="s">
        <v>71</v>
      </c>
      <c r="E18" s="21" t="s">
        <v>15084</v>
      </c>
      <c r="F18" s="12" t="s">
        <v>15082</v>
      </c>
      <c r="G18" s="12" t="s">
        <v>15085</v>
      </c>
      <c r="H18" s="12" t="s">
        <v>15086</v>
      </c>
      <c r="I18" s="12" t="s">
        <v>15102</v>
      </c>
      <c r="J18" s="12" t="s">
        <v>15139</v>
      </c>
      <c r="K18" s="12"/>
      <c r="L18" s="12" t="s">
        <v>15194</v>
      </c>
      <c r="M18" s="12" t="s">
        <v>15195</v>
      </c>
    </row>
    <row r="19" spans="1:13" ht="52.8">
      <c r="A19" s="12" t="s">
        <v>15081</v>
      </c>
      <c r="B19" s="12" t="s">
        <v>15082</v>
      </c>
      <c r="C19" s="21" t="s">
        <v>15083</v>
      </c>
      <c r="D19" s="12" t="s">
        <v>71</v>
      </c>
      <c r="E19" s="21" t="s">
        <v>15084</v>
      </c>
      <c r="F19" s="12" t="s">
        <v>15082</v>
      </c>
      <c r="G19" s="12" t="s">
        <v>15085</v>
      </c>
      <c r="H19" s="12" t="s">
        <v>15086</v>
      </c>
      <c r="I19" s="12" t="s">
        <v>15103</v>
      </c>
      <c r="J19" s="12" t="s">
        <v>15140</v>
      </c>
      <c r="K19" s="12"/>
      <c r="L19" s="12" t="s">
        <v>15196</v>
      </c>
      <c r="M19" s="12" t="s">
        <v>15197</v>
      </c>
    </row>
    <row r="20" spans="1:13" ht="52.8">
      <c r="A20" s="12" t="s">
        <v>15081</v>
      </c>
      <c r="B20" s="12" t="s">
        <v>15082</v>
      </c>
      <c r="C20" s="21" t="s">
        <v>15083</v>
      </c>
      <c r="D20" s="12" t="s">
        <v>71</v>
      </c>
      <c r="E20" s="21" t="s">
        <v>15084</v>
      </c>
      <c r="F20" s="12" t="s">
        <v>15082</v>
      </c>
      <c r="G20" s="12" t="s">
        <v>15085</v>
      </c>
      <c r="H20" s="12" t="s">
        <v>15086</v>
      </c>
      <c r="I20" s="12" t="s">
        <v>2081</v>
      </c>
      <c r="J20" s="12" t="s">
        <v>2074</v>
      </c>
      <c r="K20" s="12" t="s">
        <v>2095</v>
      </c>
      <c r="L20" s="12" t="s">
        <v>2096</v>
      </c>
      <c r="M20" s="12" t="s">
        <v>2095</v>
      </c>
    </row>
    <row r="21" spans="1:13" ht="52.8">
      <c r="A21" s="12" t="s">
        <v>15081</v>
      </c>
      <c r="B21" s="12" t="s">
        <v>15082</v>
      </c>
      <c r="C21" s="21" t="s">
        <v>15083</v>
      </c>
      <c r="D21" s="12" t="s">
        <v>71</v>
      </c>
      <c r="E21" s="21" t="s">
        <v>15084</v>
      </c>
      <c r="F21" s="12" t="s">
        <v>15082</v>
      </c>
      <c r="G21" s="12" t="s">
        <v>15085</v>
      </c>
      <c r="H21" s="12" t="s">
        <v>15086</v>
      </c>
      <c r="I21" s="12" t="s">
        <v>15104</v>
      </c>
      <c r="J21" s="12" t="s">
        <v>15141</v>
      </c>
      <c r="K21" s="12"/>
      <c r="L21" s="12" t="s">
        <v>15198</v>
      </c>
      <c r="M21" s="12" t="s">
        <v>15199</v>
      </c>
    </row>
    <row r="22" spans="1:13" ht="52.8">
      <c r="A22" s="12" t="s">
        <v>15081</v>
      </c>
      <c r="B22" s="12" t="s">
        <v>15082</v>
      </c>
      <c r="C22" s="21" t="s">
        <v>15083</v>
      </c>
      <c r="D22" s="12" t="s">
        <v>71</v>
      </c>
      <c r="E22" s="21" t="s">
        <v>15084</v>
      </c>
      <c r="F22" s="12" t="s">
        <v>15082</v>
      </c>
      <c r="G22" s="12" t="s">
        <v>15085</v>
      </c>
      <c r="H22" s="12" t="s">
        <v>15086</v>
      </c>
      <c r="I22" s="12" t="s">
        <v>15105</v>
      </c>
      <c r="J22" s="12" t="s">
        <v>15142</v>
      </c>
      <c r="K22" s="12"/>
      <c r="L22" s="12" t="s">
        <v>15200</v>
      </c>
      <c r="M22" s="12" t="s">
        <v>15201</v>
      </c>
    </row>
    <row r="23" spans="1:13" ht="52.8">
      <c r="A23" s="12" t="s">
        <v>15081</v>
      </c>
      <c r="B23" s="12" t="s">
        <v>15082</v>
      </c>
      <c r="C23" s="21" t="s">
        <v>15083</v>
      </c>
      <c r="D23" s="12" t="s">
        <v>71</v>
      </c>
      <c r="E23" s="21" t="s">
        <v>15084</v>
      </c>
      <c r="F23" s="12" t="s">
        <v>15082</v>
      </c>
      <c r="G23" s="12" t="s">
        <v>15085</v>
      </c>
      <c r="H23" s="12" t="s">
        <v>15086</v>
      </c>
      <c r="I23" s="12" t="s">
        <v>15106</v>
      </c>
      <c r="J23" s="12" t="s">
        <v>15143</v>
      </c>
      <c r="K23" s="12" t="s">
        <v>15202</v>
      </c>
      <c r="L23" s="12" t="s">
        <v>15203</v>
      </c>
      <c r="M23" s="12" t="s">
        <v>15204</v>
      </c>
    </row>
    <row r="24" spans="1:13" ht="52.8">
      <c r="A24" s="12" t="s">
        <v>15081</v>
      </c>
      <c r="B24" s="12" t="s">
        <v>15082</v>
      </c>
      <c r="C24" s="21" t="s">
        <v>15083</v>
      </c>
      <c r="D24" s="12" t="s">
        <v>71</v>
      </c>
      <c r="E24" s="21" t="s">
        <v>15084</v>
      </c>
      <c r="F24" s="12" t="s">
        <v>15082</v>
      </c>
      <c r="G24" s="12" t="s">
        <v>15085</v>
      </c>
      <c r="H24" s="12" t="s">
        <v>15086</v>
      </c>
      <c r="I24" s="12" t="s">
        <v>15107</v>
      </c>
      <c r="J24" s="12" t="s">
        <v>15144</v>
      </c>
      <c r="K24" s="12" t="s">
        <v>15205</v>
      </c>
      <c r="L24" s="12" t="s">
        <v>15206</v>
      </c>
      <c r="M24" s="12" t="s">
        <v>15207</v>
      </c>
    </row>
    <row r="25" spans="1:13" ht="132">
      <c r="A25" s="12" t="s">
        <v>15081</v>
      </c>
      <c r="B25" s="12" t="s">
        <v>15082</v>
      </c>
      <c r="C25" s="21" t="s">
        <v>15083</v>
      </c>
      <c r="D25" s="12" t="s">
        <v>71</v>
      </c>
      <c r="E25" s="21" t="s">
        <v>15084</v>
      </c>
      <c r="F25" s="12" t="s">
        <v>15082</v>
      </c>
      <c r="G25" s="12" t="s">
        <v>15085</v>
      </c>
      <c r="H25" s="12" t="s">
        <v>15086</v>
      </c>
      <c r="I25" s="12" t="s">
        <v>15108</v>
      </c>
      <c r="J25" s="12" t="s">
        <v>15145</v>
      </c>
      <c r="K25" s="12"/>
      <c r="L25" s="12" t="s">
        <v>15208</v>
      </c>
      <c r="M25" s="12" t="s">
        <v>15209</v>
      </c>
    </row>
    <row r="26" spans="1:13" ht="79.2">
      <c r="A26" s="12" t="s">
        <v>15081</v>
      </c>
      <c r="B26" s="12" t="s">
        <v>15082</v>
      </c>
      <c r="C26" s="21" t="s">
        <v>15083</v>
      </c>
      <c r="D26" s="12" t="s">
        <v>71</v>
      </c>
      <c r="E26" s="21" t="s">
        <v>15084</v>
      </c>
      <c r="F26" s="12" t="s">
        <v>15082</v>
      </c>
      <c r="G26" s="12" t="s">
        <v>15085</v>
      </c>
      <c r="H26" s="12" t="s">
        <v>15086</v>
      </c>
      <c r="I26" s="12" t="s">
        <v>15109</v>
      </c>
      <c r="J26" s="12" t="s">
        <v>15146</v>
      </c>
      <c r="K26" s="12"/>
      <c r="L26" s="12" t="s">
        <v>15210</v>
      </c>
      <c r="M26" s="12" t="s">
        <v>15211</v>
      </c>
    </row>
    <row r="27" spans="1:13" ht="52.8">
      <c r="A27" s="12" t="s">
        <v>15081</v>
      </c>
      <c r="B27" s="12" t="s">
        <v>15082</v>
      </c>
      <c r="C27" s="21" t="s">
        <v>15083</v>
      </c>
      <c r="D27" s="12" t="s">
        <v>71</v>
      </c>
      <c r="E27" s="21" t="s">
        <v>15084</v>
      </c>
      <c r="F27" s="12" t="s">
        <v>15082</v>
      </c>
      <c r="G27" s="12" t="s">
        <v>15085</v>
      </c>
      <c r="H27" s="12" t="s">
        <v>15086</v>
      </c>
      <c r="I27" s="12" t="s">
        <v>15110</v>
      </c>
      <c r="J27" s="12" t="s">
        <v>15147</v>
      </c>
      <c r="K27" s="12"/>
      <c r="L27" s="12" t="s">
        <v>15212</v>
      </c>
      <c r="M27" s="12" t="s">
        <v>15213</v>
      </c>
    </row>
    <row r="28" spans="1:13" ht="52.8">
      <c r="A28" s="12" t="s">
        <v>15081</v>
      </c>
      <c r="B28" s="12" t="s">
        <v>15082</v>
      </c>
      <c r="C28" s="21" t="s">
        <v>15083</v>
      </c>
      <c r="D28" s="12" t="s">
        <v>71</v>
      </c>
      <c r="E28" s="21" t="s">
        <v>15084</v>
      </c>
      <c r="F28" s="12" t="s">
        <v>15082</v>
      </c>
      <c r="G28" s="12" t="s">
        <v>15085</v>
      </c>
      <c r="H28" s="12" t="s">
        <v>15086</v>
      </c>
      <c r="I28" s="12" t="s">
        <v>15111</v>
      </c>
      <c r="J28" s="12" t="s">
        <v>15148</v>
      </c>
      <c r="K28" s="12"/>
      <c r="L28" s="12" t="s">
        <v>15214</v>
      </c>
      <c r="M28" s="12" t="s">
        <v>15215</v>
      </c>
    </row>
    <row r="29" spans="1:13" ht="52.8">
      <c r="A29" s="12" t="s">
        <v>15081</v>
      </c>
      <c r="B29" s="12" t="s">
        <v>15082</v>
      </c>
      <c r="C29" s="21" t="s">
        <v>15083</v>
      </c>
      <c r="D29" s="12" t="s">
        <v>71</v>
      </c>
      <c r="E29" s="21" t="s">
        <v>15084</v>
      </c>
      <c r="F29" s="12" t="s">
        <v>15082</v>
      </c>
      <c r="G29" s="12" t="s">
        <v>15085</v>
      </c>
      <c r="H29" s="12" t="s">
        <v>15086</v>
      </c>
      <c r="I29" s="12" t="s">
        <v>15112</v>
      </c>
      <c r="J29" s="12" t="s">
        <v>15149</v>
      </c>
      <c r="K29" s="12"/>
      <c r="L29" s="12" t="s">
        <v>15216</v>
      </c>
      <c r="M29" s="12" t="s">
        <v>15217</v>
      </c>
    </row>
    <row r="30" spans="1:13" ht="52.8">
      <c r="A30" s="12" t="s">
        <v>15081</v>
      </c>
      <c r="B30" s="12" t="s">
        <v>15082</v>
      </c>
      <c r="C30" s="21" t="s">
        <v>15083</v>
      </c>
      <c r="D30" s="12" t="s">
        <v>71</v>
      </c>
      <c r="E30" s="21" t="s">
        <v>15084</v>
      </c>
      <c r="F30" s="12" t="s">
        <v>15082</v>
      </c>
      <c r="G30" s="12" t="s">
        <v>15085</v>
      </c>
      <c r="H30" s="12" t="s">
        <v>15086</v>
      </c>
      <c r="I30" s="12" t="s">
        <v>15113</v>
      </c>
      <c r="J30" s="12" t="s">
        <v>15150</v>
      </c>
      <c r="K30" s="12"/>
      <c r="L30" s="12" t="s">
        <v>15218</v>
      </c>
      <c r="M30" s="12" t="s">
        <v>15219</v>
      </c>
    </row>
    <row r="31" spans="1:13" ht="52.8">
      <c r="A31" s="12" t="s">
        <v>15081</v>
      </c>
      <c r="B31" s="12" t="s">
        <v>15082</v>
      </c>
      <c r="C31" s="21" t="s">
        <v>15083</v>
      </c>
      <c r="D31" s="12" t="s">
        <v>71</v>
      </c>
      <c r="E31" s="21" t="s">
        <v>15084</v>
      </c>
      <c r="F31" s="12" t="s">
        <v>15082</v>
      </c>
      <c r="G31" s="12" t="s">
        <v>15085</v>
      </c>
      <c r="H31" s="12" t="s">
        <v>15086</v>
      </c>
      <c r="I31" s="12" t="s">
        <v>15114</v>
      </c>
      <c r="J31" s="12" t="s">
        <v>15151</v>
      </c>
      <c r="K31" s="12"/>
      <c r="L31" s="12" t="s">
        <v>15220</v>
      </c>
      <c r="M31" s="12" t="s">
        <v>15221</v>
      </c>
    </row>
    <row r="32" spans="1:13" ht="52.8">
      <c r="A32" s="12" t="s">
        <v>15081</v>
      </c>
      <c r="B32" s="12" t="s">
        <v>15082</v>
      </c>
      <c r="C32" s="21" t="s">
        <v>15083</v>
      </c>
      <c r="D32" s="12" t="s">
        <v>71</v>
      </c>
      <c r="E32" s="21" t="s">
        <v>15084</v>
      </c>
      <c r="F32" s="12" t="s">
        <v>15082</v>
      </c>
      <c r="G32" s="12" t="s">
        <v>15085</v>
      </c>
      <c r="H32" s="12" t="s">
        <v>15086</v>
      </c>
      <c r="I32" s="12" t="s">
        <v>15115</v>
      </c>
      <c r="J32" s="12" t="s">
        <v>15152</v>
      </c>
      <c r="K32" s="12"/>
      <c r="L32" s="12" t="s">
        <v>15222</v>
      </c>
      <c r="M32" s="12" t="s">
        <v>15223</v>
      </c>
    </row>
    <row r="33" spans="1:13" ht="52.8">
      <c r="A33" s="12" t="s">
        <v>15081</v>
      </c>
      <c r="B33" s="12" t="s">
        <v>15082</v>
      </c>
      <c r="C33" s="21" t="s">
        <v>15083</v>
      </c>
      <c r="D33" s="12" t="s">
        <v>71</v>
      </c>
      <c r="E33" s="21" t="s">
        <v>15084</v>
      </c>
      <c r="F33" s="12" t="s">
        <v>15082</v>
      </c>
      <c r="G33" s="12" t="s">
        <v>15085</v>
      </c>
      <c r="H33" s="12" t="s">
        <v>15086</v>
      </c>
      <c r="I33" s="12" t="s">
        <v>2124</v>
      </c>
      <c r="J33" s="12" t="s">
        <v>2120</v>
      </c>
      <c r="K33" s="12"/>
      <c r="L33" s="12" t="s">
        <v>2130</v>
      </c>
      <c r="M33" s="12" t="s">
        <v>2131</v>
      </c>
    </row>
    <row r="34" spans="1:13" ht="52.8">
      <c r="A34" s="12" t="s">
        <v>15081</v>
      </c>
      <c r="B34" s="12" t="s">
        <v>15082</v>
      </c>
      <c r="C34" s="21" t="s">
        <v>15083</v>
      </c>
      <c r="D34" s="12" t="s">
        <v>71</v>
      </c>
      <c r="E34" s="21" t="s">
        <v>15084</v>
      </c>
      <c r="F34" s="12" t="s">
        <v>15082</v>
      </c>
      <c r="G34" s="12" t="s">
        <v>15085</v>
      </c>
      <c r="H34" s="12" t="s">
        <v>15086</v>
      </c>
      <c r="I34" s="12" t="s">
        <v>15116</v>
      </c>
      <c r="J34" s="12" t="s">
        <v>15153</v>
      </c>
      <c r="K34" s="12"/>
      <c r="L34" s="12" t="s">
        <v>15224</v>
      </c>
      <c r="M34" s="12" t="s">
        <v>15225</v>
      </c>
    </row>
    <row r="35" spans="1:13" ht="52.8">
      <c r="A35" s="12" t="s">
        <v>15081</v>
      </c>
      <c r="B35" s="12" t="s">
        <v>15082</v>
      </c>
      <c r="C35" s="21" t="s">
        <v>15083</v>
      </c>
      <c r="D35" s="12" t="s">
        <v>71</v>
      </c>
      <c r="E35" s="21" t="s">
        <v>15084</v>
      </c>
      <c r="F35" s="12" t="s">
        <v>15082</v>
      </c>
      <c r="G35" s="12" t="s">
        <v>15085</v>
      </c>
      <c r="H35" s="12" t="s">
        <v>15086</v>
      </c>
      <c r="I35" s="12" t="s">
        <v>15117</v>
      </c>
      <c r="J35" s="12" t="s">
        <v>15154</v>
      </c>
      <c r="K35" s="12"/>
      <c r="L35" s="12" t="s">
        <v>15226</v>
      </c>
      <c r="M35" s="12" t="s">
        <v>15227</v>
      </c>
    </row>
    <row r="36" spans="1:13" ht="52.8">
      <c r="A36" s="12" t="s">
        <v>15081</v>
      </c>
      <c r="B36" s="12" t="s">
        <v>15082</v>
      </c>
      <c r="C36" s="21" t="s">
        <v>15083</v>
      </c>
      <c r="D36" s="12" t="s">
        <v>71</v>
      </c>
      <c r="E36" s="21" t="s">
        <v>15084</v>
      </c>
      <c r="F36" s="12" t="s">
        <v>15082</v>
      </c>
      <c r="G36" s="12" t="s">
        <v>15085</v>
      </c>
      <c r="H36" s="12" t="s">
        <v>15086</v>
      </c>
      <c r="I36" s="12" t="s">
        <v>15118</v>
      </c>
      <c r="J36" s="12" t="s">
        <v>15155</v>
      </c>
      <c r="K36" s="12"/>
      <c r="L36" s="12" t="s">
        <v>15228</v>
      </c>
      <c r="M36" s="12" t="s">
        <v>15229</v>
      </c>
    </row>
    <row r="37" spans="1:13" ht="52.8">
      <c r="A37" s="12" t="s">
        <v>15081</v>
      </c>
      <c r="B37" s="12" t="s">
        <v>15082</v>
      </c>
      <c r="C37" s="21" t="s">
        <v>15083</v>
      </c>
      <c r="D37" s="12" t="s">
        <v>71</v>
      </c>
      <c r="E37" s="21" t="s">
        <v>15084</v>
      </c>
      <c r="F37" s="12" t="s">
        <v>15082</v>
      </c>
      <c r="G37" s="12" t="s">
        <v>15085</v>
      </c>
      <c r="H37" s="12" t="s">
        <v>15086</v>
      </c>
      <c r="I37" s="12" t="s">
        <v>15119</v>
      </c>
      <c r="J37" s="12" t="s">
        <v>15156</v>
      </c>
      <c r="K37" s="12"/>
      <c r="L37" s="12" t="s">
        <v>15230</v>
      </c>
      <c r="M37" s="12" t="s">
        <v>15231</v>
      </c>
    </row>
    <row r="38" spans="1:13" ht="52.8">
      <c r="A38" s="12" t="s">
        <v>15081</v>
      </c>
      <c r="B38" s="12" t="s">
        <v>15082</v>
      </c>
      <c r="C38" s="21" t="s">
        <v>15083</v>
      </c>
      <c r="D38" s="12" t="s">
        <v>71</v>
      </c>
      <c r="E38" s="21" t="s">
        <v>15084</v>
      </c>
      <c r="F38" s="12" t="s">
        <v>15082</v>
      </c>
      <c r="G38" s="12" t="s">
        <v>15085</v>
      </c>
      <c r="H38" s="12" t="s">
        <v>15086</v>
      </c>
      <c r="I38" s="12" t="s">
        <v>15120</v>
      </c>
      <c r="J38" s="12" t="s">
        <v>15157</v>
      </c>
      <c r="K38" s="12"/>
      <c r="L38" s="12" t="s">
        <v>15232</v>
      </c>
      <c r="M38" s="12" t="s">
        <v>15233</v>
      </c>
    </row>
    <row r="39" spans="1:13" ht="52.8">
      <c r="A39" s="12" t="s">
        <v>15081</v>
      </c>
      <c r="B39" s="12" t="s">
        <v>15082</v>
      </c>
      <c r="C39" s="21" t="s">
        <v>15083</v>
      </c>
      <c r="D39" s="12" t="s">
        <v>71</v>
      </c>
      <c r="E39" s="21" t="s">
        <v>15084</v>
      </c>
      <c r="F39" s="12" t="s">
        <v>15082</v>
      </c>
      <c r="G39" s="12" t="s">
        <v>15085</v>
      </c>
      <c r="H39" s="12" t="s">
        <v>15086</v>
      </c>
      <c r="I39" s="12" t="s">
        <v>15121</v>
      </c>
      <c r="J39" s="12" t="s">
        <v>15158</v>
      </c>
      <c r="K39" s="12"/>
      <c r="L39" s="12" t="s">
        <v>15234</v>
      </c>
      <c r="M39" s="12" t="s">
        <v>15235</v>
      </c>
    </row>
    <row r="40" spans="1:13" ht="52.8">
      <c r="A40" s="12" t="s">
        <v>15081</v>
      </c>
      <c r="B40" s="12" t="s">
        <v>15082</v>
      </c>
      <c r="C40" s="21" t="s">
        <v>15083</v>
      </c>
      <c r="D40" s="12" t="s">
        <v>71</v>
      </c>
      <c r="E40" s="21" t="s">
        <v>15084</v>
      </c>
      <c r="F40" s="12" t="s">
        <v>15082</v>
      </c>
      <c r="G40" s="12" t="s">
        <v>15085</v>
      </c>
      <c r="H40" s="12" t="s">
        <v>15086</v>
      </c>
      <c r="I40" s="12" t="s">
        <v>15122</v>
      </c>
      <c r="J40" s="12" t="s">
        <v>15159</v>
      </c>
      <c r="K40" s="12" t="s">
        <v>15236</v>
      </c>
      <c r="L40" s="12" t="s">
        <v>15237</v>
      </c>
      <c r="M40" s="12" t="s">
        <v>15238</v>
      </c>
    </row>
    <row r="41" spans="1:13" ht="52.8">
      <c r="A41" s="12" t="s">
        <v>15081</v>
      </c>
      <c r="B41" s="12" t="s">
        <v>15082</v>
      </c>
      <c r="C41" s="21" t="s">
        <v>15083</v>
      </c>
      <c r="D41" s="12" t="s">
        <v>71</v>
      </c>
      <c r="E41" s="21" t="s">
        <v>15084</v>
      </c>
      <c r="F41" s="12" t="s">
        <v>15082</v>
      </c>
      <c r="G41" s="12" t="s">
        <v>15085</v>
      </c>
      <c r="H41" s="12" t="s">
        <v>15086</v>
      </c>
      <c r="I41" s="12" t="s">
        <v>15123</v>
      </c>
      <c r="J41" s="12" t="s">
        <v>15160</v>
      </c>
      <c r="K41" s="12" t="s">
        <v>15239</v>
      </c>
      <c r="L41" s="12" t="s">
        <v>15240</v>
      </c>
      <c r="M41" s="12" t="s">
        <v>15241</v>
      </c>
    </row>
    <row r="42" spans="1:13" ht="79.2">
      <c r="A42" s="12" t="s">
        <v>76</v>
      </c>
      <c r="B42" s="12" t="s">
        <v>73</v>
      </c>
      <c r="C42" s="21" t="s">
        <v>63</v>
      </c>
      <c r="D42" s="12" t="s">
        <v>71</v>
      </c>
      <c r="E42" s="21" t="s">
        <v>72</v>
      </c>
      <c r="F42" s="12" t="s">
        <v>73</v>
      </c>
      <c r="G42" s="12" t="s">
        <v>74</v>
      </c>
      <c r="H42" s="12" t="s">
        <v>75</v>
      </c>
      <c r="I42" s="12" t="s">
        <v>1097</v>
      </c>
      <c r="J42" s="12" t="s">
        <v>1164</v>
      </c>
      <c r="K42" s="12" t="s">
        <v>1232</v>
      </c>
      <c r="L42" s="12" t="s">
        <v>1233</v>
      </c>
      <c r="M42" s="12" t="s">
        <v>1234</v>
      </c>
    </row>
    <row r="43" spans="1:13" ht="79.2">
      <c r="A43" s="12" t="s">
        <v>76</v>
      </c>
      <c r="B43" s="12" t="s">
        <v>73</v>
      </c>
      <c r="C43" s="21" t="s">
        <v>63</v>
      </c>
      <c r="D43" s="12" t="s">
        <v>71</v>
      </c>
      <c r="E43" s="21" t="s">
        <v>72</v>
      </c>
      <c r="F43" s="12" t="s">
        <v>73</v>
      </c>
      <c r="G43" s="12" t="s">
        <v>74</v>
      </c>
      <c r="H43" s="12" t="s">
        <v>75</v>
      </c>
      <c r="I43" s="12" t="s">
        <v>1098</v>
      </c>
      <c r="J43" s="12" t="s">
        <v>1165</v>
      </c>
      <c r="K43" s="12" t="s">
        <v>1235</v>
      </c>
      <c r="L43" s="12" t="s">
        <v>1236</v>
      </c>
      <c r="M43" s="12" t="s">
        <v>1237</v>
      </c>
    </row>
    <row r="44" spans="1:13" ht="79.2">
      <c r="A44" s="12" t="s">
        <v>76</v>
      </c>
      <c r="B44" s="12" t="s">
        <v>73</v>
      </c>
      <c r="C44" s="21" t="s">
        <v>63</v>
      </c>
      <c r="D44" s="12" t="s">
        <v>71</v>
      </c>
      <c r="E44" s="21" t="s">
        <v>72</v>
      </c>
      <c r="F44" s="12" t="s">
        <v>73</v>
      </c>
      <c r="G44" s="12" t="s">
        <v>74</v>
      </c>
      <c r="H44" s="12" t="s">
        <v>75</v>
      </c>
      <c r="I44" s="12" t="s">
        <v>1099</v>
      </c>
      <c r="J44" s="12" t="s">
        <v>1166</v>
      </c>
      <c r="K44" s="12" t="s">
        <v>1238</v>
      </c>
      <c r="L44" s="12" t="s">
        <v>1239</v>
      </c>
      <c r="M44" s="12" t="s">
        <v>1240</v>
      </c>
    </row>
    <row r="45" spans="1:13" ht="79.2">
      <c r="A45" s="12" t="s">
        <v>76</v>
      </c>
      <c r="B45" s="12" t="s">
        <v>73</v>
      </c>
      <c r="C45" s="21" t="s">
        <v>63</v>
      </c>
      <c r="D45" s="12" t="s">
        <v>71</v>
      </c>
      <c r="E45" s="21" t="s">
        <v>72</v>
      </c>
      <c r="F45" s="12" t="s">
        <v>73</v>
      </c>
      <c r="G45" s="12" t="s">
        <v>74</v>
      </c>
      <c r="H45" s="12" t="s">
        <v>75</v>
      </c>
      <c r="I45" s="12" t="s">
        <v>1100</v>
      </c>
      <c r="J45" s="12" t="s">
        <v>1167</v>
      </c>
      <c r="K45" s="12" t="s">
        <v>1241</v>
      </c>
      <c r="L45" s="12" t="s">
        <v>1242</v>
      </c>
      <c r="M45" s="12" t="s">
        <v>1243</v>
      </c>
    </row>
    <row r="46" spans="1:13" ht="79.2">
      <c r="A46" s="12" t="s">
        <v>76</v>
      </c>
      <c r="B46" s="12" t="s">
        <v>73</v>
      </c>
      <c r="C46" s="21" t="s">
        <v>63</v>
      </c>
      <c r="D46" s="12" t="s">
        <v>71</v>
      </c>
      <c r="E46" s="21" t="s">
        <v>72</v>
      </c>
      <c r="F46" s="12" t="s">
        <v>73</v>
      </c>
      <c r="G46" s="12" t="s">
        <v>74</v>
      </c>
      <c r="H46" s="12" t="s">
        <v>75</v>
      </c>
      <c r="I46" s="12" t="s">
        <v>1101</v>
      </c>
      <c r="J46" s="12" t="s">
        <v>1168</v>
      </c>
      <c r="K46" s="12" t="s">
        <v>1244</v>
      </c>
      <c r="L46" s="12" t="s">
        <v>1245</v>
      </c>
      <c r="M46" s="12" t="s">
        <v>1246</v>
      </c>
    </row>
    <row r="47" spans="1:13" ht="79.2">
      <c r="A47" s="12" t="s">
        <v>76</v>
      </c>
      <c r="B47" s="12" t="s">
        <v>73</v>
      </c>
      <c r="C47" s="21" t="s">
        <v>63</v>
      </c>
      <c r="D47" s="12" t="s">
        <v>71</v>
      </c>
      <c r="E47" s="21" t="s">
        <v>72</v>
      </c>
      <c r="F47" s="12" t="s">
        <v>73</v>
      </c>
      <c r="G47" s="12" t="s">
        <v>74</v>
      </c>
      <c r="H47" s="12" t="s">
        <v>75</v>
      </c>
      <c r="I47" s="12" t="s">
        <v>1102</v>
      </c>
      <c r="J47" s="12" t="s">
        <v>1169</v>
      </c>
      <c r="K47" s="12" t="s">
        <v>1247</v>
      </c>
      <c r="L47" s="12" t="s">
        <v>1248</v>
      </c>
      <c r="M47" s="12" t="s">
        <v>1249</v>
      </c>
    </row>
    <row r="48" spans="1:13" ht="79.2">
      <c r="A48" s="12" t="s">
        <v>76</v>
      </c>
      <c r="B48" s="12" t="s">
        <v>73</v>
      </c>
      <c r="C48" s="21" t="s">
        <v>63</v>
      </c>
      <c r="D48" s="12" t="s">
        <v>71</v>
      </c>
      <c r="E48" s="21" t="s">
        <v>72</v>
      </c>
      <c r="F48" s="12" t="s">
        <v>73</v>
      </c>
      <c r="G48" s="12" t="s">
        <v>74</v>
      </c>
      <c r="H48" s="12" t="s">
        <v>75</v>
      </c>
      <c r="I48" s="12" t="s">
        <v>1095</v>
      </c>
      <c r="J48" s="12" t="s">
        <v>1170</v>
      </c>
      <c r="K48" s="12" t="s">
        <v>51</v>
      </c>
      <c r="L48" s="12" t="s">
        <v>1250</v>
      </c>
      <c r="M48" s="12" t="s">
        <v>1251</v>
      </c>
    </row>
    <row r="49" spans="1:13" ht="79.2">
      <c r="A49" s="12" t="s">
        <v>76</v>
      </c>
      <c r="B49" s="12" t="s">
        <v>73</v>
      </c>
      <c r="C49" s="21" t="s">
        <v>63</v>
      </c>
      <c r="D49" s="12" t="s">
        <v>71</v>
      </c>
      <c r="E49" s="21" t="s">
        <v>72</v>
      </c>
      <c r="F49" s="12" t="s">
        <v>73</v>
      </c>
      <c r="G49" s="12" t="s">
        <v>74</v>
      </c>
      <c r="H49" s="12" t="s">
        <v>75</v>
      </c>
      <c r="I49" s="12" t="s">
        <v>1103</v>
      </c>
      <c r="J49" s="12" t="s">
        <v>1171</v>
      </c>
      <c r="K49" s="12" t="s">
        <v>1252</v>
      </c>
      <c r="L49" s="12" t="s">
        <v>1253</v>
      </c>
      <c r="M49" s="12" t="s">
        <v>1254</v>
      </c>
    </row>
    <row r="50" spans="1:13" ht="79.2">
      <c r="A50" s="12" t="s">
        <v>76</v>
      </c>
      <c r="B50" s="12" t="s">
        <v>73</v>
      </c>
      <c r="C50" s="21" t="s">
        <v>63</v>
      </c>
      <c r="D50" s="12" t="s">
        <v>71</v>
      </c>
      <c r="E50" s="21" t="s">
        <v>72</v>
      </c>
      <c r="F50" s="12" t="s">
        <v>73</v>
      </c>
      <c r="G50" s="12" t="s">
        <v>74</v>
      </c>
      <c r="H50" s="12" t="s">
        <v>75</v>
      </c>
      <c r="I50" s="12" t="s">
        <v>1104</v>
      </c>
      <c r="J50" s="12" t="s">
        <v>1172</v>
      </c>
      <c r="K50" s="12" t="s">
        <v>1255</v>
      </c>
      <c r="L50" s="12" t="s">
        <v>1256</v>
      </c>
      <c r="M50" s="12" t="s">
        <v>1257</v>
      </c>
    </row>
    <row r="51" spans="1:13" ht="79.2">
      <c r="A51" s="12" t="s">
        <v>76</v>
      </c>
      <c r="B51" s="12" t="s">
        <v>73</v>
      </c>
      <c r="C51" s="21" t="s">
        <v>63</v>
      </c>
      <c r="D51" s="12" t="s">
        <v>71</v>
      </c>
      <c r="E51" s="21" t="s">
        <v>72</v>
      </c>
      <c r="F51" s="12" t="s">
        <v>73</v>
      </c>
      <c r="G51" s="12" t="s">
        <v>74</v>
      </c>
      <c r="H51" s="12" t="s">
        <v>75</v>
      </c>
      <c r="I51" s="12" t="s">
        <v>1105</v>
      </c>
      <c r="J51" s="12" t="s">
        <v>1173</v>
      </c>
      <c r="K51" s="12" t="s">
        <v>1258</v>
      </c>
      <c r="L51" s="12" t="s">
        <v>1259</v>
      </c>
      <c r="M51" s="12" t="s">
        <v>1260</v>
      </c>
    </row>
    <row r="52" spans="1:13" ht="79.2">
      <c r="A52" s="12" t="s">
        <v>76</v>
      </c>
      <c r="B52" s="12" t="s">
        <v>73</v>
      </c>
      <c r="C52" s="21" t="s">
        <v>63</v>
      </c>
      <c r="D52" s="12" t="s">
        <v>71</v>
      </c>
      <c r="E52" s="21" t="s">
        <v>72</v>
      </c>
      <c r="F52" s="12" t="s">
        <v>73</v>
      </c>
      <c r="G52" s="12" t="s">
        <v>74</v>
      </c>
      <c r="H52" s="12" t="s">
        <v>75</v>
      </c>
      <c r="I52" s="12" t="s">
        <v>1106</v>
      </c>
      <c r="J52" s="12" t="s">
        <v>1174</v>
      </c>
      <c r="K52" s="12" t="s">
        <v>1261</v>
      </c>
      <c r="L52" s="12" t="s">
        <v>1262</v>
      </c>
      <c r="M52" s="12" t="s">
        <v>1263</v>
      </c>
    </row>
    <row r="53" spans="1:13" ht="79.2">
      <c r="A53" s="12" t="s">
        <v>76</v>
      </c>
      <c r="B53" s="12" t="s">
        <v>73</v>
      </c>
      <c r="C53" s="21" t="s">
        <v>63</v>
      </c>
      <c r="D53" s="12" t="s">
        <v>71</v>
      </c>
      <c r="E53" s="21" t="s">
        <v>72</v>
      </c>
      <c r="F53" s="12" t="s">
        <v>73</v>
      </c>
      <c r="G53" s="12" t="s">
        <v>74</v>
      </c>
      <c r="H53" s="12" t="s">
        <v>75</v>
      </c>
      <c r="I53" s="12" t="s">
        <v>1107</v>
      </c>
      <c r="J53" s="12" t="s">
        <v>1175</v>
      </c>
      <c r="K53" s="12" t="s">
        <v>1264</v>
      </c>
      <c r="L53" s="12" t="s">
        <v>1265</v>
      </c>
      <c r="M53" s="12" t="s">
        <v>1266</v>
      </c>
    </row>
    <row r="54" spans="1:13" ht="79.2">
      <c r="A54" s="12" t="s">
        <v>76</v>
      </c>
      <c r="B54" s="12" t="s">
        <v>73</v>
      </c>
      <c r="C54" s="21" t="s">
        <v>63</v>
      </c>
      <c r="D54" s="12" t="s">
        <v>71</v>
      </c>
      <c r="E54" s="21" t="s">
        <v>72</v>
      </c>
      <c r="F54" s="12" t="s">
        <v>73</v>
      </c>
      <c r="G54" s="12" t="s">
        <v>74</v>
      </c>
      <c r="H54" s="12" t="s">
        <v>75</v>
      </c>
      <c r="I54" s="12" t="s">
        <v>1108</v>
      </c>
      <c r="J54" s="12" t="s">
        <v>1176</v>
      </c>
      <c r="K54" s="12" t="s">
        <v>1267</v>
      </c>
      <c r="L54" s="12" t="s">
        <v>1268</v>
      </c>
      <c r="M54" s="12" t="s">
        <v>1269</v>
      </c>
    </row>
    <row r="55" spans="1:13" ht="79.2">
      <c r="A55" s="12" t="s">
        <v>76</v>
      </c>
      <c r="B55" s="12" t="s">
        <v>73</v>
      </c>
      <c r="C55" s="21" t="s">
        <v>63</v>
      </c>
      <c r="D55" s="12" t="s">
        <v>71</v>
      </c>
      <c r="E55" s="21" t="s">
        <v>72</v>
      </c>
      <c r="F55" s="12" t="s">
        <v>73</v>
      </c>
      <c r="G55" s="12" t="s">
        <v>74</v>
      </c>
      <c r="H55" s="12" t="s">
        <v>75</v>
      </c>
      <c r="I55" s="12" t="s">
        <v>1109</v>
      </c>
      <c r="J55" s="12" t="s">
        <v>1177</v>
      </c>
      <c r="K55" s="12" t="s">
        <v>1270</v>
      </c>
      <c r="L55" s="12" t="s">
        <v>1271</v>
      </c>
      <c r="M55" s="12" t="s">
        <v>1272</v>
      </c>
    </row>
    <row r="56" spans="1:13" ht="79.2">
      <c r="A56" s="12" t="s">
        <v>76</v>
      </c>
      <c r="B56" s="12" t="s">
        <v>73</v>
      </c>
      <c r="C56" s="21" t="s">
        <v>63</v>
      </c>
      <c r="D56" s="12" t="s">
        <v>71</v>
      </c>
      <c r="E56" s="21" t="s">
        <v>72</v>
      </c>
      <c r="F56" s="12" t="s">
        <v>73</v>
      </c>
      <c r="G56" s="12" t="s">
        <v>74</v>
      </c>
      <c r="H56" s="12" t="s">
        <v>75</v>
      </c>
      <c r="I56" s="12" t="s">
        <v>1110</v>
      </c>
      <c r="J56" s="12" t="s">
        <v>1178</v>
      </c>
      <c r="K56" s="12" t="s">
        <v>1273</v>
      </c>
      <c r="L56" s="12" t="s">
        <v>1274</v>
      </c>
      <c r="M56" s="12" t="s">
        <v>1275</v>
      </c>
    </row>
    <row r="57" spans="1:13" ht="79.2">
      <c r="A57" s="12" t="s">
        <v>76</v>
      </c>
      <c r="B57" s="12" t="s">
        <v>73</v>
      </c>
      <c r="C57" s="21" t="s">
        <v>63</v>
      </c>
      <c r="D57" s="12" t="s">
        <v>71</v>
      </c>
      <c r="E57" s="21" t="s">
        <v>72</v>
      </c>
      <c r="F57" s="12" t="s">
        <v>73</v>
      </c>
      <c r="G57" s="12" t="s">
        <v>74</v>
      </c>
      <c r="H57" s="12" t="s">
        <v>75</v>
      </c>
      <c r="I57" s="12" t="s">
        <v>1111</v>
      </c>
      <c r="J57" s="12" t="s">
        <v>1179</v>
      </c>
      <c r="K57" s="12" t="s">
        <v>1276</v>
      </c>
      <c r="L57" s="12" t="s">
        <v>1277</v>
      </c>
      <c r="M57" s="12" t="s">
        <v>1278</v>
      </c>
    </row>
    <row r="58" spans="1:13" ht="79.2">
      <c r="A58" s="12" t="s">
        <v>76</v>
      </c>
      <c r="B58" s="12" t="s">
        <v>73</v>
      </c>
      <c r="C58" s="21" t="s">
        <v>63</v>
      </c>
      <c r="D58" s="12" t="s">
        <v>71</v>
      </c>
      <c r="E58" s="21" t="s">
        <v>72</v>
      </c>
      <c r="F58" s="12" t="s">
        <v>73</v>
      </c>
      <c r="G58" s="12" t="s">
        <v>74</v>
      </c>
      <c r="H58" s="12" t="s">
        <v>75</v>
      </c>
      <c r="I58" s="12" t="s">
        <v>1112</v>
      </c>
      <c r="J58" s="12" t="s">
        <v>1180</v>
      </c>
      <c r="K58" s="12" t="s">
        <v>1279</v>
      </c>
      <c r="L58" s="12" t="s">
        <v>1280</v>
      </c>
      <c r="M58" s="12" t="s">
        <v>1281</v>
      </c>
    </row>
    <row r="59" spans="1:13" ht="79.2">
      <c r="A59" s="12" t="s">
        <v>76</v>
      </c>
      <c r="B59" s="12" t="s">
        <v>73</v>
      </c>
      <c r="C59" s="21" t="s">
        <v>63</v>
      </c>
      <c r="D59" s="12" t="s">
        <v>71</v>
      </c>
      <c r="E59" s="21" t="s">
        <v>72</v>
      </c>
      <c r="F59" s="12" t="s">
        <v>73</v>
      </c>
      <c r="G59" s="12" t="s">
        <v>74</v>
      </c>
      <c r="H59" s="12" t="s">
        <v>75</v>
      </c>
      <c r="I59" s="12" t="s">
        <v>1113</v>
      </c>
      <c r="J59" s="12" t="s">
        <v>1181</v>
      </c>
      <c r="K59" s="12" t="s">
        <v>1282</v>
      </c>
      <c r="L59" s="12" t="s">
        <v>1283</v>
      </c>
      <c r="M59" s="12" t="s">
        <v>1284</v>
      </c>
    </row>
    <row r="60" spans="1:13" ht="79.2">
      <c r="A60" s="12" t="s">
        <v>76</v>
      </c>
      <c r="B60" s="12" t="s">
        <v>73</v>
      </c>
      <c r="C60" s="21" t="s">
        <v>63</v>
      </c>
      <c r="D60" s="12" t="s">
        <v>71</v>
      </c>
      <c r="E60" s="21" t="s">
        <v>72</v>
      </c>
      <c r="F60" s="12" t="s">
        <v>73</v>
      </c>
      <c r="G60" s="12" t="s">
        <v>74</v>
      </c>
      <c r="H60" s="12" t="s">
        <v>75</v>
      </c>
      <c r="I60" s="12" t="s">
        <v>1114</v>
      </c>
      <c r="J60" s="12" t="s">
        <v>1182</v>
      </c>
      <c r="K60" s="12" t="s">
        <v>1285</v>
      </c>
      <c r="L60" s="12" t="s">
        <v>1286</v>
      </c>
      <c r="M60" s="12" t="s">
        <v>1287</v>
      </c>
    </row>
    <row r="61" spans="1:13" ht="79.2">
      <c r="A61" s="12" t="s">
        <v>76</v>
      </c>
      <c r="B61" s="12" t="s">
        <v>73</v>
      </c>
      <c r="C61" s="21" t="s">
        <v>63</v>
      </c>
      <c r="D61" s="12" t="s">
        <v>71</v>
      </c>
      <c r="E61" s="21" t="s">
        <v>72</v>
      </c>
      <c r="F61" s="12" t="s">
        <v>73</v>
      </c>
      <c r="G61" s="12" t="s">
        <v>74</v>
      </c>
      <c r="H61" s="12" t="s">
        <v>75</v>
      </c>
      <c r="I61" s="12" t="s">
        <v>1115</v>
      </c>
      <c r="J61" s="12" t="s">
        <v>1183</v>
      </c>
      <c r="K61" s="12" t="s">
        <v>1288</v>
      </c>
      <c r="L61" s="12" t="s">
        <v>1289</v>
      </c>
      <c r="M61" s="12" t="s">
        <v>1290</v>
      </c>
    </row>
    <row r="62" spans="1:13" ht="79.2">
      <c r="A62" s="12" t="s">
        <v>76</v>
      </c>
      <c r="B62" s="12" t="s">
        <v>73</v>
      </c>
      <c r="C62" s="21" t="s">
        <v>63</v>
      </c>
      <c r="D62" s="12" t="s">
        <v>71</v>
      </c>
      <c r="E62" s="21" t="s">
        <v>72</v>
      </c>
      <c r="F62" s="12" t="s">
        <v>73</v>
      </c>
      <c r="G62" s="12" t="s">
        <v>74</v>
      </c>
      <c r="H62" s="12" t="s">
        <v>75</v>
      </c>
      <c r="I62" s="12" t="s">
        <v>1116</v>
      </c>
      <c r="J62" s="12" t="s">
        <v>1184</v>
      </c>
      <c r="K62" s="12" t="s">
        <v>1291</v>
      </c>
      <c r="L62" s="12" t="s">
        <v>1292</v>
      </c>
      <c r="M62" s="12" t="s">
        <v>1293</v>
      </c>
    </row>
    <row r="63" spans="1:13" ht="79.2">
      <c r="A63" s="12" t="s">
        <v>76</v>
      </c>
      <c r="B63" s="12" t="s">
        <v>73</v>
      </c>
      <c r="C63" s="21" t="s">
        <v>63</v>
      </c>
      <c r="D63" s="12" t="s">
        <v>71</v>
      </c>
      <c r="E63" s="21" t="s">
        <v>72</v>
      </c>
      <c r="F63" s="12" t="s">
        <v>73</v>
      </c>
      <c r="G63" s="12" t="s">
        <v>74</v>
      </c>
      <c r="H63" s="12" t="s">
        <v>75</v>
      </c>
      <c r="I63" s="12" t="s">
        <v>1117</v>
      </c>
      <c r="J63" s="12" t="s">
        <v>1185</v>
      </c>
      <c r="K63" s="12" t="s">
        <v>1294</v>
      </c>
      <c r="L63" s="12" t="s">
        <v>1295</v>
      </c>
      <c r="M63" s="12" t="s">
        <v>1296</v>
      </c>
    </row>
    <row r="64" spans="1:13" ht="79.2">
      <c r="A64" s="12" t="s">
        <v>76</v>
      </c>
      <c r="B64" s="12" t="s">
        <v>73</v>
      </c>
      <c r="C64" s="21" t="s">
        <v>63</v>
      </c>
      <c r="D64" s="12" t="s">
        <v>71</v>
      </c>
      <c r="E64" s="21" t="s">
        <v>72</v>
      </c>
      <c r="F64" s="12" t="s">
        <v>73</v>
      </c>
      <c r="G64" s="12" t="s">
        <v>74</v>
      </c>
      <c r="H64" s="12" t="s">
        <v>75</v>
      </c>
      <c r="I64" s="12" t="s">
        <v>1118</v>
      </c>
      <c r="J64" s="12" t="s">
        <v>1186</v>
      </c>
      <c r="K64" s="12" t="s">
        <v>1297</v>
      </c>
      <c r="L64" s="12" t="s">
        <v>1298</v>
      </c>
      <c r="M64" s="12" t="s">
        <v>1299</v>
      </c>
    </row>
    <row r="65" spans="1:13" ht="79.2">
      <c r="A65" s="12" t="s">
        <v>76</v>
      </c>
      <c r="B65" s="12" t="s">
        <v>73</v>
      </c>
      <c r="C65" s="21" t="s">
        <v>63</v>
      </c>
      <c r="D65" s="12" t="s">
        <v>71</v>
      </c>
      <c r="E65" s="21" t="s">
        <v>72</v>
      </c>
      <c r="F65" s="12" t="s">
        <v>73</v>
      </c>
      <c r="G65" s="12" t="s">
        <v>74</v>
      </c>
      <c r="H65" s="12" t="s">
        <v>75</v>
      </c>
      <c r="I65" s="12" t="s">
        <v>1119</v>
      </c>
      <c r="J65" s="12" t="s">
        <v>1187</v>
      </c>
      <c r="K65" s="12" t="s">
        <v>1300</v>
      </c>
      <c r="L65" s="12" t="s">
        <v>1301</v>
      </c>
      <c r="M65" s="12" t="s">
        <v>1302</v>
      </c>
    </row>
    <row r="66" spans="1:13" ht="79.2">
      <c r="A66" s="12" t="s">
        <v>76</v>
      </c>
      <c r="B66" s="12" t="s">
        <v>73</v>
      </c>
      <c r="C66" s="21" t="s">
        <v>63</v>
      </c>
      <c r="D66" s="12" t="s">
        <v>71</v>
      </c>
      <c r="E66" s="21" t="s">
        <v>72</v>
      </c>
      <c r="F66" s="12" t="s">
        <v>73</v>
      </c>
      <c r="G66" s="12" t="s">
        <v>74</v>
      </c>
      <c r="H66" s="12" t="s">
        <v>75</v>
      </c>
      <c r="I66" s="12" t="s">
        <v>1120</v>
      </c>
      <c r="J66" s="12" t="s">
        <v>1188</v>
      </c>
      <c r="K66" s="12" t="s">
        <v>1303</v>
      </c>
      <c r="L66" s="12" t="s">
        <v>1304</v>
      </c>
      <c r="M66" s="12" t="s">
        <v>1305</v>
      </c>
    </row>
    <row r="67" spans="1:13" ht="79.2">
      <c r="A67" s="12" t="s">
        <v>76</v>
      </c>
      <c r="B67" s="12" t="s">
        <v>73</v>
      </c>
      <c r="C67" s="21" t="s">
        <v>63</v>
      </c>
      <c r="D67" s="12" t="s">
        <v>71</v>
      </c>
      <c r="E67" s="21" t="s">
        <v>72</v>
      </c>
      <c r="F67" s="12" t="s">
        <v>73</v>
      </c>
      <c r="G67" s="12" t="s">
        <v>74</v>
      </c>
      <c r="H67" s="12" t="s">
        <v>75</v>
      </c>
      <c r="I67" s="12" t="s">
        <v>1121</v>
      </c>
      <c r="J67" s="12" t="s">
        <v>1189</v>
      </c>
      <c r="K67" s="12" t="s">
        <v>1306</v>
      </c>
      <c r="L67" s="12" t="s">
        <v>1307</v>
      </c>
      <c r="M67" s="12" t="s">
        <v>1308</v>
      </c>
    </row>
    <row r="68" spans="1:13" ht="79.2">
      <c r="A68" s="12" t="s">
        <v>76</v>
      </c>
      <c r="B68" s="12" t="s">
        <v>73</v>
      </c>
      <c r="C68" s="21" t="s">
        <v>63</v>
      </c>
      <c r="D68" s="12" t="s">
        <v>71</v>
      </c>
      <c r="E68" s="21" t="s">
        <v>72</v>
      </c>
      <c r="F68" s="12" t="s">
        <v>73</v>
      </c>
      <c r="G68" s="12" t="s">
        <v>74</v>
      </c>
      <c r="H68" s="12" t="s">
        <v>75</v>
      </c>
      <c r="I68" s="12" t="s">
        <v>1122</v>
      </c>
      <c r="J68" s="12" t="s">
        <v>1190</v>
      </c>
      <c r="K68" s="12" t="s">
        <v>1309</v>
      </c>
      <c r="L68" s="12" t="s">
        <v>1310</v>
      </c>
      <c r="M68" s="12" t="s">
        <v>1311</v>
      </c>
    </row>
    <row r="69" spans="1:13" ht="132">
      <c r="A69" s="12" t="s">
        <v>76</v>
      </c>
      <c r="B69" s="12" t="s">
        <v>73</v>
      </c>
      <c r="C69" s="21" t="s">
        <v>63</v>
      </c>
      <c r="D69" s="12" t="s">
        <v>71</v>
      </c>
      <c r="E69" s="21" t="s">
        <v>72</v>
      </c>
      <c r="F69" s="12" t="s">
        <v>73</v>
      </c>
      <c r="G69" s="12" t="s">
        <v>74</v>
      </c>
      <c r="H69" s="12" t="s">
        <v>75</v>
      </c>
      <c r="I69" s="12" t="s">
        <v>1123</v>
      </c>
      <c r="J69" s="12" t="s">
        <v>1191</v>
      </c>
      <c r="K69" s="12" t="s">
        <v>1312</v>
      </c>
      <c r="L69" s="12" t="s">
        <v>1313</v>
      </c>
      <c r="M69" s="12" t="s">
        <v>1314</v>
      </c>
    </row>
    <row r="70" spans="1:13" ht="79.2">
      <c r="A70" s="12" t="s">
        <v>76</v>
      </c>
      <c r="B70" s="12" t="s">
        <v>73</v>
      </c>
      <c r="C70" s="21" t="s">
        <v>63</v>
      </c>
      <c r="D70" s="12" t="s">
        <v>71</v>
      </c>
      <c r="E70" s="21" t="s">
        <v>72</v>
      </c>
      <c r="F70" s="12" t="s">
        <v>73</v>
      </c>
      <c r="G70" s="12" t="s">
        <v>74</v>
      </c>
      <c r="H70" s="12" t="s">
        <v>75</v>
      </c>
      <c r="I70" s="12" t="s">
        <v>1124</v>
      </c>
      <c r="J70" s="12" t="s">
        <v>1192</v>
      </c>
      <c r="K70" s="12" t="s">
        <v>1315</v>
      </c>
      <c r="L70" s="12" t="s">
        <v>1316</v>
      </c>
      <c r="M70" s="12" t="s">
        <v>1317</v>
      </c>
    </row>
    <row r="71" spans="1:13" ht="79.2">
      <c r="A71" s="12" t="s">
        <v>76</v>
      </c>
      <c r="B71" s="12" t="s">
        <v>73</v>
      </c>
      <c r="C71" s="21" t="s">
        <v>63</v>
      </c>
      <c r="D71" s="12" t="s">
        <v>71</v>
      </c>
      <c r="E71" s="21" t="s">
        <v>72</v>
      </c>
      <c r="F71" s="12" t="s">
        <v>73</v>
      </c>
      <c r="G71" s="12" t="s">
        <v>74</v>
      </c>
      <c r="H71" s="12" t="s">
        <v>75</v>
      </c>
      <c r="I71" s="12" t="s">
        <v>1125</v>
      </c>
      <c r="J71" s="12" t="s">
        <v>1193</v>
      </c>
      <c r="K71" s="12" t="s">
        <v>1318</v>
      </c>
      <c r="L71" s="12" t="s">
        <v>1319</v>
      </c>
      <c r="M71" s="12" t="s">
        <v>1320</v>
      </c>
    </row>
    <row r="72" spans="1:13" ht="79.2">
      <c r="A72" s="12" t="s">
        <v>76</v>
      </c>
      <c r="B72" s="12" t="s">
        <v>73</v>
      </c>
      <c r="C72" s="21" t="s">
        <v>63</v>
      </c>
      <c r="D72" s="12" t="s">
        <v>71</v>
      </c>
      <c r="E72" s="21" t="s">
        <v>72</v>
      </c>
      <c r="F72" s="12" t="s">
        <v>73</v>
      </c>
      <c r="G72" s="12" t="s">
        <v>74</v>
      </c>
      <c r="H72" s="12" t="s">
        <v>75</v>
      </c>
      <c r="I72" s="12" t="s">
        <v>1126</v>
      </c>
      <c r="J72" s="12" t="s">
        <v>1194</v>
      </c>
      <c r="K72" s="12" t="s">
        <v>1321</v>
      </c>
      <c r="L72" s="12" t="s">
        <v>1322</v>
      </c>
      <c r="M72" s="12" t="s">
        <v>1323</v>
      </c>
    </row>
    <row r="73" spans="1:13" ht="79.2">
      <c r="A73" s="12" t="s">
        <v>76</v>
      </c>
      <c r="B73" s="12" t="s">
        <v>73</v>
      </c>
      <c r="C73" s="21" t="s">
        <v>63</v>
      </c>
      <c r="D73" s="12" t="s">
        <v>71</v>
      </c>
      <c r="E73" s="21" t="s">
        <v>72</v>
      </c>
      <c r="F73" s="12" t="s">
        <v>73</v>
      </c>
      <c r="G73" s="12" t="s">
        <v>74</v>
      </c>
      <c r="H73" s="12" t="s">
        <v>75</v>
      </c>
      <c r="I73" s="12" t="s">
        <v>1127</v>
      </c>
      <c r="J73" s="12" t="s">
        <v>1195</v>
      </c>
      <c r="K73" s="12" t="s">
        <v>1324</v>
      </c>
      <c r="L73" s="12" t="s">
        <v>1325</v>
      </c>
      <c r="M73" s="12" t="s">
        <v>1326</v>
      </c>
    </row>
    <row r="74" spans="1:13" ht="79.2">
      <c r="A74" s="12" t="s">
        <v>76</v>
      </c>
      <c r="B74" s="12" t="s">
        <v>73</v>
      </c>
      <c r="C74" s="21" t="s">
        <v>63</v>
      </c>
      <c r="D74" s="12" t="s">
        <v>71</v>
      </c>
      <c r="E74" s="21" t="s">
        <v>72</v>
      </c>
      <c r="F74" s="12" t="s">
        <v>73</v>
      </c>
      <c r="G74" s="12" t="s">
        <v>74</v>
      </c>
      <c r="H74" s="12" t="s">
        <v>75</v>
      </c>
      <c r="I74" s="12" t="s">
        <v>1128</v>
      </c>
      <c r="J74" s="12" t="s">
        <v>1196</v>
      </c>
      <c r="K74" s="12" t="s">
        <v>1327</v>
      </c>
      <c r="L74" s="12" t="s">
        <v>1328</v>
      </c>
      <c r="M74" s="12" t="s">
        <v>1329</v>
      </c>
    </row>
    <row r="75" spans="1:13" ht="79.2">
      <c r="A75" s="12" t="s">
        <v>76</v>
      </c>
      <c r="B75" s="12" t="s">
        <v>73</v>
      </c>
      <c r="C75" s="21" t="s">
        <v>63</v>
      </c>
      <c r="D75" s="12" t="s">
        <v>71</v>
      </c>
      <c r="E75" s="21" t="s">
        <v>72</v>
      </c>
      <c r="F75" s="12" t="s">
        <v>73</v>
      </c>
      <c r="G75" s="12" t="s">
        <v>74</v>
      </c>
      <c r="H75" s="12" t="s">
        <v>75</v>
      </c>
      <c r="I75" s="12" t="s">
        <v>1129</v>
      </c>
      <c r="J75" s="12" t="s">
        <v>1197</v>
      </c>
      <c r="K75" s="12" t="s">
        <v>1330</v>
      </c>
      <c r="L75" s="12" t="s">
        <v>1331</v>
      </c>
      <c r="M75" s="12" t="s">
        <v>1332</v>
      </c>
    </row>
    <row r="76" spans="1:13" ht="79.2">
      <c r="A76" s="12" t="s">
        <v>76</v>
      </c>
      <c r="B76" s="12" t="s">
        <v>73</v>
      </c>
      <c r="C76" s="21" t="s">
        <v>63</v>
      </c>
      <c r="D76" s="12" t="s">
        <v>71</v>
      </c>
      <c r="E76" s="21" t="s">
        <v>72</v>
      </c>
      <c r="F76" s="12" t="s">
        <v>73</v>
      </c>
      <c r="G76" s="12" t="s">
        <v>74</v>
      </c>
      <c r="H76" s="12" t="s">
        <v>75</v>
      </c>
      <c r="I76" s="12" t="s">
        <v>1130</v>
      </c>
      <c r="J76" s="12" t="s">
        <v>1198</v>
      </c>
      <c r="K76" s="12" t="s">
        <v>1333</v>
      </c>
      <c r="L76" s="12" t="s">
        <v>1334</v>
      </c>
      <c r="M76" s="12" t="s">
        <v>1335</v>
      </c>
    </row>
    <row r="77" spans="1:13" ht="79.2">
      <c r="A77" s="12" t="s">
        <v>76</v>
      </c>
      <c r="B77" s="12" t="s">
        <v>73</v>
      </c>
      <c r="C77" s="21" t="s">
        <v>63</v>
      </c>
      <c r="D77" s="12" t="s">
        <v>71</v>
      </c>
      <c r="E77" s="21" t="s">
        <v>72</v>
      </c>
      <c r="F77" s="12" t="s">
        <v>73</v>
      </c>
      <c r="G77" s="12" t="s">
        <v>74</v>
      </c>
      <c r="H77" s="12" t="s">
        <v>75</v>
      </c>
      <c r="I77" s="12" t="s">
        <v>1131</v>
      </c>
      <c r="J77" s="12" t="s">
        <v>1199</v>
      </c>
      <c r="K77" s="12" t="s">
        <v>1336</v>
      </c>
      <c r="L77" s="12" t="s">
        <v>1337</v>
      </c>
      <c r="M77" s="12" t="s">
        <v>1338</v>
      </c>
    </row>
    <row r="78" spans="1:13" ht="79.2">
      <c r="A78" s="12" t="s">
        <v>76</v>
      </c>
      <c r="B78" s="12" t="s">
        <v>73</v>
      </c>
      <c r="C78" s="21" t="s">
        <v>63</v>
      </c>
      <c r="D78" s="12" t="s">
        <v>71</v>
      </c>
      <c r="E78" s="21" t="s">
        <v>72</v>
      </c>
      <c r="F78" s="12" t="s">
        <v>73</v>
      </c>
      <c r="G78" s="12" t="s">
        <v>74</v>
      </c>
      <c r="H78" s="12" t="s">
        <v>75</v>
      </c>
      <c r="I78" s="12" t="s">
        <v>1132</v>
      </c>
      <c r="J78" s="12" t="s">
        <v>1200</v>
      </c>
      <c r="K78" s="12" t="s">
        <v>1339</v>
      </c>
      <c r="L78" s="12" t="s">
        <v>1340</v>
      </c>
      <c r="M78" s="12" t="s">
        <v>1341</v>
      </c>
    </row>
    <row r="79" spans="1:13" ht="79.2">
      <c r="A79" s="12" t="s">
        <v>76</v>
      </c>
      <c r="B79" s="12" t="s">
        <v>73</v>
      </c>
      <c r="C79" s="21" t="s">
        <v>63</v>
      </c>
      <c r="D79" s="12" t="s">
        <v>71</v>
      </c>
      <c r="E79" s="21" t="s">
        <v>72</v>
      </c>
      <c r="F79" s="12" t="s">
        <v>73</v>
      </c>
      <c r="G79" s="12" t="s">
        <v>74</v>
      </c>
      <c r="H79" s="12" t="s">
        <v>75</v>
      </c>
      <c r="I79" s="12" t="s">
        <v>1133</v>
      </c>
      <c r="J79" s="12" t="s">
        <v>1201</v>
      </c>
      <c r="K79" s="12" t="s">
        <v>1342</v>
      </c>
      <c r="L79" s="12" t="s">
        <v>1343</v>
      </c>
      <c r="M79" s="12" t="s">
        <v>1344</v>
      </c>
    </row>
    <row r="80" spans="1:13" ht="79.2">
      <c r="A80" s="12" t="s">
        <v>76</v>
      </c>
      <c r="B80" s="12" t="s">
        <v>73</v>
      </c>
      <c r="C80" s="21" t="s">
        <v>63</v>
      </c>
      <c r="D80" s="12" t="s">
        <v>71</v>
      </c>
      <c r="E80" s="21" t="s">
        <v>72</v>
      </c>
      <c r="F80" s="12" t="s">
        <v>73</v>
      </c>
      <c r="G80" s="12" t="s">
        <v>74</v>
      </c>
      <c r="H80" s="12" t="s">
        <v>75</v>
      </c>
      <c r="I80" s="12" t="s">
        <v>1134</v>
      </c>
      <c r="J80" s="12" t="s">
        <v>1202</v>
      </c>
      <c r="K80" s="12" t="s">
        <v>1345</v>
      </c>
      <c r="L80" s="12" t="s">
        <v>1346</v>
      </c>
      <c r="M80" s="12" t="s">
        <v>1347</v>
      </c>
    </row>
    <row r="81" spans="1:13" ht="79.2">
      <c r="A81" s="12" t="s">
        <v>76</v>
      </c>
      <c r="B81" s="12" t="s">
        <v>73</v>
      </c>
      <c r="C81" s="21" t="s">
        <v>63</v>
      </c>
      <c r="D81" s="12" t="s">
        <v>71</v>
      </c>
      <c r="E81" s="21" t="s">
        <v>72</v>
      </c>
      <c r="F81" s="12" t="s">
        <v>73</v>
      </c>
      <c r="G81" s="12" t="s">
        <v>74</v>
      </c>
      <c r="H81" s="12" t="s">
        <v>75</v>
      </c>
      <c r="I81" s="12" t="s">
        <v>1135</v>
      </c>
      <c r="J81" s="12" t="s">
        <v>1203</v>
      </c>
      <c r="K81" s="12" t="s">
        <v>1348</v>
      </c>
      <c r="L81" s="12" t="s">
        <v>1349</v>
      </c>
      <c r="M81" s="12" t="s">
        <v>1350</v>
      </c>
    </row>
    <row r="82" spans="1:13" ht="92.4">
      <c r="A82" s="12" t="s">
        <v>76</v>
      </c>
      <c r="B82" s="12" t="s">
        <v>73</v>
      </c>
      <c r="C82" s="21" t="s">
        <v>63</v>
      </c>
      <c r="D82" s="12" t="s">
        <v>71</v>
      </c>
      <c r="E82" s="21" t="s">
        <v>72</v>
      </c>
      <c r="F82" s="12" t="s">
        <v>73</v>
      </c>
      <c r="G82" s="12" t="s">
        <v>74</v>
      </c>
      <c r="H82" s="12" t="s">
        <v>75</v>
      </c>
      <c r="I82" s="12" t="s">
        <v>1136</v>
      </c>
      <c r="J82" s="12" t="s">
        <v>1204</v>
      </c>
      <c r="K82" s="12" t="s">
        <v>1351</v>
      </c>
      <c r="L82" s="12" t="s">
        <v>1352</v>
      </c>
      <c r="M82" s="12" t="s">
        <v>1353</v>
      </c>
    </row>
    <row r="83" spans="1:13" ht="79.2">
      <c r="A83" s="12" t="s">
        <v>76</v>
      </c>
      <c r="B83" s="12" t="s">
        <v>73</v>
      </c>
      <c r="C83" s="21" t="s">
        <v>63</v>
      </c>
      <c r="D83" s="12" t="s">
        <v>71</v>
      </c>
      <c r="E83" s="21" t="s">
        <v>72</v>
      </c>
      <c r="F83" s="12" t="s">
        <v>73</v>
      </c>
      <c r="G83" s="12" t="s">
        <v>74</v>
      </c>
      <c r="H83" s="12" t="s">
        <v>75</v>
      </c>
      <c r="I83" s="12" t="s">
        <v>1137</v>
      </c>
      <c r="J83" s="12" t="s">
        <v>1205</v>
      </c>
      <c r="K83" s="12" t="s">
        <v>1354</v>
      </c>
      <c r="L83" s="12" t="s">
        <v>1355</v>
      </c>
      <c r="M83" s="12" t="s">
        <v>1356</v>
      </c>
    </row>
    <row r="84" spans="1:13" ht="79.2">
      <c r="A84" s="12" t="s">
        <v>76</v>
      </c>
      <c r="B84" s="12" t="s">
        <v>73</v>
      </c>
      <c r="C84" s="21" t="s">
        <v>63</v>
      </c>
      <c r="D84" s="12" t="s">
        <v>71</v>
      </c>
      <c r="E84" s="21" t="s">
        <v>72</v>
      </c>
      <c r="F84" s="12" t="s">
        <v>73</v>
      </c>
      <c r="G84" s="12" t="s">
        <v>74</v>
      </c>
      <c r="H84" s="12" t="s">
        <v>75</v>
      </c>
      <c r="I84" s="12" t="s">
        <v>1138</v>
      </c>
      <c r="J84" s="12" t="s">
        <v>1206</v>
      </c>
      <c r="K84" s="12" t="s">
        <v>1357</v>
      </c>
      <c r="L84" s="12" t="s">
        <v>1358</v>
      </c>
      <c r="M84" s="12" t="s">
        <v>1359</v>
      </c>
    </row>
    <row r="85" spans="1:13" ht="79.2">
      <c r="A85" s="12" t="s">
        <v>76</v>
      </c>
      <c r="B85" s="12" t="s">
        <v>73</v>
      </c>
      <c r="C85" s="21" t="s">
        <v>63</v>
      </c>
      <c r="D85" s="12" t="s">
        <v>71</v>
      </c>
      <c r="E85" s="21" t="s">
        <v>72</v>
      </c>
      <c r="F85" s="12" t="s">
        <v>73</v>
      </c>
      <c r="G85" s="12" t="s">
        <v>74</v>
      </c>
      <c r="H85" s="12" t="s">
        <v>75</v>
      </c>
      <c r="I85" s="12" t="s">
        <v>1139</v>
      </c>
      <c r="J85" s="12" t="s">
        <v>1207</v>
      </c>
      <c r="K85" s="12" t="s">
        <v>1360</v>
      </c>
      <c r="L85" s="12" t="s">
        <v>1361</v>
      </c>
      <c r="M85" s="12" t="s">
        <v>1362</v>
      </c>
    </row>
    <row r="86" spans="1:13" ht="79.2">
      <c r="A86" s="12" t="s">
        <v>76</v>
      </c>
      <c r="B86" s="12" t="s">
        <v>73</v>
      </c>
      <c r="C86" s="21" t="s">
        <v>63</v>
      </c>
      <c r="D86" s="12" t="s">
        <v>71</v>
      </c>
      <c r="E86" s="21" t="s">
        <v>72</v>
      </c>
      <c r="F86" s="12" t="s">
        <v>73</v>
      </c>
      <c r="G86" s="12" t="s">
        <v>74</v>
      </c>
      <c r="H86" s="12" t="s">
        <v>75</v>
      </c>
      <c r="I86" s="12" t="s">
        <v>1140</v>
      </c>
      <c r="J86" s="12" t="s">
        <v>1208</v>
      </c>
      <c r="K86" s="12" t="s">
        <v>1363</v>
      </c>
      <c r="L86" s="12" t="s">
        <v>1364</v>
      </c>
      <c r="M86" s="12" t="s">
        <v>1365</v>
      </c>
    </row>
    <row r="87" spans="1:13" ht="79.2">
      <c r="A87" s="12" t="s">
        <v>76</v>
      </c>
      <c r="B87" s="12" t="s">
        <v>73</v>
      </c>
      <c r="C87" s="21" t="s">
        <v>63</v>
      </c>
      <c r="D87" s="12" t="s">
        <v>71</v>
      </c>
      <c r="E87" s="21" t="s">
        <v>72</v>
      </c>
      <c r="F87" s="12" t="s">
        <v>73</v>
      </c>
      <c r="G87" s="12" t="s">
        <v>74</v>
      </c>
      <c r="H87" s="12" t="s">
        <v>75</v>
      </c>
      <c r="I87" s="12" t="s">
        <v>1141</v>
      </c>
      <c r="J87" s="12" t="s">
        <v>1209</v>
      </c>
      <c r="K87" s="12" t="s">
        <v>1366</v>
      </c>
      <c r="L87" s="12" t="s">
        <v>1367</v>
      </c>
      <c r="M87" s="12" t="s">
        <v>1368</v>
      </c>
    </row>
    <row r="88" spans="1:13" ht="79.2">
      <c r="A88" s="12" t="s">
        <v>76</v>
      </c>
      <c r="B88" s="12" t="s">
        <v>73</v>
      </c>
      <c r="C88" s="21" t="s">
        <v>63</v>
      </c>
      <c r="D88" s="12" t="s">
        <v>71</v>
      </c>
      <c r="E88" s="21" t="s">
        <v>72</v>
      </c>
      <c r="F88" s="12" t="s">
        <v>73</v>
      </c>
      <c r="G88" s="12" t="s">
        <v>74</v>
      </c>
      <c r="H88" s="12" t="s">
        <v>75</v>
      </c>
      <c r="I88" s="12" t="s">
        <v>1142</v>
      </c>
      <c r="J88" s="12" t="s">
        <v>1210</v>
      </c>
      <c r="K88" s="12" t="s">
        <v>1369</v>
      </c>
      <c r="L88" s="12" t="s">
        <v>1370</v>
      </c>
      <c r="M88" s="12" t="s">
        <v>1371</v>
      </c>
    </row>
    <row r="89" spans="1:13" ht="79.2">
      <c r="A89" s="12" t="s">
        <v>76</v>
      </c>
      <c r="B89" s="12" t="s">
        <v>73</v>
      </c>
      <c r="C89" s="21" t="s">
        <v>63</v>
      </c>
      <c r="D89" s="12" t="s">
        <v>71</v>
      </c>
      <c r="E89" s="21" t="s">
        <v>72</v>
      </c>
      <c r="F89" s="12" t="s">
        <v>73</v>
      </c>
      <c r="G89" s="12" t="s">
        <v>74</v>
      </c>
      <c r="H89" s="12" t="s">
        <v>75</v>
      </c>
      <c r="I89" s="12" t="s">
        <v>1143</v>
      </c>
      <c r="J89" s="12" t="s">
        <v>1211</v>
      </c>
      <c r="K89" s="12" t="s">
        <v>1372</v>
      </c>
      <c r="L89" s="12" t="s">
        <v>1373</v>
      </c>
      <c r="M89" s="12" t="s">
        <v>1374</v>
      </c>
    </row>
    <row r="90" spans="1:13" ht="79.2">
      <c r="A90" s="12" t="s">
        <v>76</v>
      </c>
      <c r="B90" s="12" t="s">
        <v>73</v>
      </c>
      <c r="C90" s="21" t="s">
        <v>63</v>
      </c>
      <c r="D90" s="12" t="s">
        <v>71</v>
      </c>
      <c r="E90" s="21" t="s">
        <v>72</v>
      </c>
      <c r="F90" s="12" t="s">
        <v>73</v>
      </c>
      <c r="G90" s="12" t="s">
        <v>74</v>
      </c>
      <c r="H90" s="12" t="s">
        <v>75</v>
      </c>
      <c r="I90" s="12" t="s">
        <v>1144</v>
      </c>
      <c r="J90" s="12" t="s">
        <v>1212</v>
      </c>
      <c r="K90" s="12" t="s">
        <v>1375</v>
      </c>
      <c r="L90" s="12" t="s">
        <v>1376</v>
      </c>
      <c r="M90" s="12" t="s">
        <v>1377</v>
      </c>
    </row>
    <row r="91" spans="1:13" ht="79.2">
      <c r="A91" s="12" t="s">
        <v>76</v>
      </c>
      <c r="B91" s="12" t="s">
        <v>73</v>
      </c>
      <c r="C91" s="21" t="s">
        <v>63</v>
      </c>
      <c r="D91" s="12" t="s">
        <v>71</v>
      </c>
      <c r="E91" s="21" t="s">
        <v>72</v>
      </c>
      <c r="F91" s="12" t="s">
        <v>73</v>
      </c>
      <c r="G91" s="12" t="s">
        <v>74</v>
      </c>
      <c r="H91" s="12" t="s">
        <v>75</v>
      </c>
      <c r="I91" s="12" t="s">
        <v>1145</v>
      </c>
      <c r="J91" s="12" t="s">
        <v>1213</v>
      </c>
      <c r="K91" s="12" t="s">
        <v>1378</v>
      </c>
      <c r="L91" s="12" t="s">
        <v>1379</v>
      </c>
      <c r="M91" s="12" t="s">
        <v>1380</v>
      </c>
    </row>
    <row r="92" spans="1:13" ht="79.2">
      <c r="A92" s="12" t="s">
        <v>76</v>
      </c>
      <c r="B92" s="12" t="s">
        <v>73</v>
      </c>
      <c r="C92" s="21" t="s">
        <v>63</v>
      </c>
      <c r="D92" s="12" t="s">
        <v>71</v>
      </c>
      <c r="E92" s="21" t="s">
        <v>72</v>
      </c>
      <c r="F92" s="12" t="s">
        <v>73</v>
      </c>
      <c r="G92" s="12" t="s">
        <v>74</v>
      </c>
      <c r="H92" s="12" t="s">
        <v>75</v>
      </c>
      <c r="I92" s="12" t="s">
        <v>1146</v>
      </c>
      <c r="J92" s="12" t="s">
        <v>1214</v>
      </c>
      <c r="K92" s="12" t="s">
        <v>1381</v>
      </c>
      <c r="L92" s="12" t="s">
        <v>1382</v>
      </c>
      <c r="M92" s="12" t="s">
        <v>1383</v>
      </c>
    </row>
    <row r="93" spans="1:13" ht="79.2">
      <c r="A93" s="12" t="s">
        <v>76</v>
      </c>
      <c r="B93" s="12" t="s">
        <v>73</v>
      </c>
      <c r="C93" s="21" t="s">
        <v>63</v>
      </c>
      <c r="D93" s="12" t="s">
        <v>71</v>
      </c>
      <c r="E93" s="21" t="s">
        <v>72</v>
      </c>
      <c r="F93" s="12" t="s">
        <v>73</v>
      </c>
      <c r="G93" s="12" t="s">
        <v>74</v>
      </c>
      <c r="H93" s="12" t="s">
        <v>75</v>
      </c>
      <c r="I93" s="12" t="s">
        <v>1147</v>
      </c>
      <c r="J93" s="12" t="s">
        <v>1215</v>
      </c>
      <c r="K93" s="12" t="s">
        <v>1384</v>
      </c>
      <c r="L93" s="12" t="s">
        <v>1385</v>
      </c>
      <c r="M93" s="12" t="s">
        <v>1386</v>
      </c>
    </row>
    <row r="94" spans="1:13" ht="79.2">
      <c r="A94" s="12" t="s">
        <v>76</v>
      </c>
      <c r="B94" s="12" t="s">
        <v>73</v>
      </c>
      <c r="C94" s="21" t="s">
        <v>63</v>
      </c>
      <c r="D94" s="12" t="s">
        <v>71</v>
      </c>
      <c r="E94" s="21" t="s">
        <v>72</v>
      </c>
      <c r="F94" s="12" t="s">
        <v>73</v>
      </c>
      <c r="G94" s="12" t="s">
        <v>74</v>
      </c>
      <c r="H94" s="12" t="s">
        <v>75</v>
      </c>
      <c r="I94" s="12" t="s">
        <v>1148</v>
      </c>
      <c r="J94" s="12" t="s">
        <v>1216</v>
      </c>
      <c r="K94" s="12" t="s">
        <v>1387</v>
      </c>
      <c r="L94" s="12" t="s">
        <v>1388</v>
      </c>
      <c r="M94" s="12" t="s">
        <v>1389</v>
      </c>
    </row>
    <row r="95" spans="1:13" ht="79.2">
      <c r="A95" s="12" t="s">
        <v>76</v>
      </c>
      <c r="B95" s="12" t="s">
        <v>73</v>
      </c>
      <c r="C95" s="21" t="s">
        <v>63</v>
      </c>
      <c r="D95" s="12" t="s">
        <v>71</v>
      </c>
      <c r="E95" s="21" t="s">
        <v>72</v>
      </c>
      <c r="F95" s="12" t="s">
        <v>73</v>
      </c>
      <c r="G95" s="12" t="s">
        <v>74</v>
      </c>
      <c r="H95" s="12" t="s">
        <v>75</v>
      </c>
      <c r="I95" s="12" t="s">
        <v>1149</v>
      </c>
      <c r="J95" s="12" t="s">
        <v>1217</v>
      </c>
      <c r="K95" s="12" t="s">
        <v>1390</v>
      </c>
      <c r="L95" s="12" t="s">
        <v>1391</v>
      </c>
      <c r="M95" s="12" t="s">
        <v>1392</v>
      </c>
    </row>
    <row r="96" spans="1:13" ht="79.2">
      <c r="A96" s="12" t="s">
        <v>76</v>
      </c>
      <c r="B96" s="12" t="s">
        <v>73</v>
      </c>
      <c r="C96" s="21" t="s">
        <v>63</v>
      </c>
      <c r="D96" s="12" t="s">
        <v>71</v>
      </c>
      <c r="E96" s="21" t="s">
        <v>72</v>
      </c>
      <c r="F96" s="12" t="s">
        <v>73</v>
      </c>
      <c r="G96" s="12" t="s">
        <v>74</v>
      </c>
      <c r="H96" s="12" t="s">
        <v>75</v>
      </c>
      <c r="I96" s="12" t="s">
        <v>1150</v>
      </c>
      <c r="J96" s="12" t="s">
        <v>1218</v>
      </c>
      <c r="K96" s="12" t="s">
        <v>1393</v>
      </c>
      <c r="L96" s="12" t="s">
        <v>1394</v>
      </c>
      <c r="M96" s="12" t="s">
        <v>1395</v>
      </c>
    </row>
    <row r="97" spans="1:13" ht="79.2">
      <c r="A97" s="12" t="s">
        <v>76</v>
      </c>
      <c r="B97" s="12" t="s">
        <v>73</v>
      </c>
      <c r="C97" s="21" t="s">
        <v>63</v>
      </c>
      <c r="D97" s="12" t="s">
        <v>71</v>
      </c>
      <c r="E97" s="21" t="s">
        <v>72</v>
      </c>
      <c r="F97" s="12" t="s">
        <v>73</v>
      </c>
      <c r="G97" s="12" t="s">
        <v>74</v>
      </c>
      <c r="H97" s="12" t="s">
        <v>75</v>
      </c>
      <c r="I97" s="12" t="s">
        <v>1151</v>
      </c>
      <c r="J97" s="12" t="s">
        <v>1219</v>
      </c>
      <c r="K97" s="12" t="s">
        <v>1396</v>
      </c>
      <c r="L97" s="12" t="s">
        <v>1397</v>
      </c>
      <c r="M97" s="12" t="s">
        <v>1398</v>
      </c>
    </row>
    <row r="98" spans="1:13" ht="79.2">
      <c r="A98" s="12" t="s">
        <v>76</v>
      </c>
      <c r="B98" s="12" t="s">
        <v>73</v>
      </c>
      <c r="C98" s="21" t="s">
        <v>63</v>
      </c>
      <c r="D98" s="12" t="s">
        <v>71</v>
      </c>
      <c r="E98" s="21" t="s">
        <v>72</v>
      </c>
      <c r="F98" s="12" t="s">
        <v>73</v>
      </c>
      <c r="G98" s="12" t="s">
        <v>74</v>
      </c>
      <c r="H98" s="12" t="s">
        <v>75</v>
      </c>
      <c r="I98" s="12" t="s">
        <v>1152</v>
      </c>
      <c r="J98" s="12" t="s">
        <v>1220</v>
      </c>
      <c r="K98" s="12" t="s">
        <v>1399</v>
      </c>
      <c r="L98" s="12" t="s">
        <v>1400</v>
      </c>
      <c r="M98" s="12" t="s">
        <v>1401</v>
      </c>
    </row>
    <row r="99" spans="1:13" ht="79.2">
      <c r="A99" s="12" t="s">
        <v>76</v>
      </c>
      <c r="B99" s="12" t="s">
        <v>73</v>
      </c>
      <c r="C99" s="21" t="s">
        <v>63</v>
      </c>
      <c r="D99" s="12" t="s">
        <v>71</v>
      </c>
      <c r="E99" s="21" t="s">
        <v>72</v>
      </c>
      <c r="F99" s="12" t="s">
        <v>73</v>
      </c>
      <c r="G99" s="12" t="s">
        <v>74</v>
      </c>
      <c r="H99" s="12" t="s">
        <v>75</v>
      </c>
      <c r="I99" s="12" t="s">
        <v>1153</v>
      </c>
      <c r="J99" s="12" t="s">
        <v>1221</v>
      </c>
      <c r="K99" s="12" t="s">
        <v>1402</v>
      </c>
      <c r="L99" s="12" t="s">
        <v>1403</v>
      </c>
      <c r="M99" s="12" t="s">
        <v>1404</v>
      </c>
    </row>
    <row r="100" spans="1:13" ht="79.2">
      <c r="A100" s="12" t="s">
        <v>76</v>
      </c>
      <c r="B100" s="12" t="s">
        <v>73</v>
      </c>
      <c r="C100" s="21" t="s">
        <v>63</v>
      </c>
      <c r="D100" s="12" t="s">
        <v>71</v>
      </c>
      <c r="E100" s="21" t="s">
        <v>72</v>
      </c>
      <c r="F100" s="12" t="s">
        <v>73</v>
      </c>
      <c r="G100" s="12" t="s">
        <v>74</v>
      </c>
      <c r="H100" s="12" t="s">
        <v>75</v>
      </c>
      <c r="I100" s="12" t="s">
        <v>1154</v>
      </c>
      <c r="J100" s="12" t="s">
        <v>1222</v>
      </c>
      <c r="K100" s="12" t="s">
        <v>1405</v>
      </c>
      <c r="L100" s="12" t="s">
        <v>1406</v>
      </c>
      <c r="M100" s="12" t="s">
        <v>1407</v>
      </c>
    </row>
    <row r="101" spans="1:13" ht="79.2">
      <c r="A101" s="12" t="s">
        <v>76</v>
      </c>
      <c r="B101" s="12" t="s">
        <v>73</v>
      </c>
      <c r="C101" s="21" t="s">
        <v>63</v>
      </c>
      <c r="D101" s="12" t="s">
        <v>71</v>
      </c>
      <c r="E101" s="21" t="s">
        <v>72</v>
      </c>
      <c r="F101" s="12" t="s">
        <v>73</v>
      </c>
      <c r="G101" s="12" t="s">
        <v>74</v>
      </c>
      <c r="H101" s="12" t="s">
        <v>75</v>
      </c>
      <c r="I101" s="12" t="s">
        <v>1155</v>
      </c>
      <c r="J101" s="12" t="s">
        <v>1223</v>
      </c>
      <c r="K101" s="12" t="s">
        <v>1408</v>
      </c>
      <c r="L101" s="12" t="s">
        <v>1409</v>
      </c>
      <c r="M101" s="12" t="s">
        <v>1410</v>
      </c>
    </row>
    <row r="102" spans="1:13" ht="79.2">
      <c r="A102" s="12" t="s">
        <v>76</v>
      </c>
      <c r="B102" s="12" t="s">
        <v>73</v>
      </c>
      <c r="C102" s="21" t="s">
        <v>63</v>
      </c>
      <c r="D102" s="12" t="s">
        <v>71</v>
      </c>
      <c r="E102" s="21" t="s">
        <v>72</v>
      </c>
      <c r="F102" s="12" t="s">
        <v>73</v>
      </c>
      <c r="G102" s="12" t="s">
        <v>74</v>
      </c>
      <c r="H102" s="12" t="s">
        <v>75</v>
      </c>
      <c r="I102" s="12" t="s">
        <v>1156</v>
      </c>
      <c r="J102" s="12" t="s">
        <v>1224</v>
      </c>
      <c r="K102" s="12" t="s">
        <v>1411</v>
      </c>
      <c r="L102" s="12" t="s">
        <v>1412</v>
      </c>
      <c r="M102" s="12" t="s">
        <v>1413</v>
      </c>
    </row>
    <row r="103" spans="1:13" ht="79.2">
      <c r="A103" s="12" t="s">
        <v>76</v>
      </c>
      <c r="B103" s="12" t="s">
        <v>73</v>
      </c>
      <c r="C103" s="21" t="s">
        <v>63</v>
      </c>
      <c r="D103" s="12" t="s">
        <v>71</v>
      </c>
      <c r="E103" s="21" t="s">
        <v>72</v>
      </c>
      <c r="F103" s="12" t="s">
        <v>73</v>
      </c>
      <c r="G103" s="12" t="s">
        <v>74</v>
      </c>
      <c r="H103" s="12" t="s">
        <v>75</v>
      </c>
      <c r="I103" s="12" t="s">
        <v>1157</v>
      </c>
      <c r="J103" s="12" t="s">
        <v>1225</v>
      </c>
      <c r="K103" s="12" t="s">
        <v>1414</v>
      </c>
      <c r="L103" s="12" t="s">
        <v>1415</v>
      </c>
      <c r="M103" s="12" t="s">
        <v>1416</v>
      </c>
    </row>
    <row r="104" spans="1:13" ht="79.2">
      <c r="A104" s="12" t="s">
        <v>76</v>
      </c>
      <c r="B104" s="12" t="s">
        <v>73</v>
      </c>
      <c r="C104" s="21" t="s">
        <v>63</v>
      </c>
      <c r="D104" s="12" t="s">
        <v>71</v>
      </c>
      <c r="E104" s="21" t="s">
        <v>72</v>
      </c>
      <c r="F104" s="12" t="s">
        <v>73</v>
      </c>
      <c r="G104" s="12" t="s">
        <v>74</v>
      </c>
      <c r="H104" s="12" t="s">
        <v>75</v>
      </c>
      <c r="I104" s="12" t="s">
        <v>1158</v>
      </c>
      <c r="J104" s="12" t="s">
        <v>1226</v>
      </c>
      <c r="K104" s="12" t="s">
        <v>1417</v>
      </c>
      <c r="L104" s="12" t="s">
        <v>1418</v>
      </c>
      <c r="M104" s="12" t="s">
        <v>1419</v>
      </c>
    </row>
    <row r="105" spans="1:13" ht="79.2">
      <c r="A105" s="12" t="s">
        <v>76</v>
      </c>
      <c r="B105" s="12" t="s">
        <v>73</v>
      </c>
      <c r="C105" s="21" t="s">
        <v>63</v>
      </c>
      <c r="D105" s="12" t="s">
        <v>71</v>
      </c>
      <c r="E105" s="21" t="s">
        <v>72</v>
      </c>
      <c r="F105" s="12" t="s">
        <v>73</v>
      </c>
      <c r="G105" s="12" t="s">
        <v>74</v>
      </c>
      <c r="H105" s="12" t="s">
        <v>75</v>
      </c>
      <c r="I105" s="12" t="s">
        <v>1159</v>
      </c>
      <c r="J105" s="12" t="s">
        <v>1227</v>
      </c>
      <c r="K105" s="12" t="s">
        <v>1420</v>
      </c>
      <c r="L105" s="12" t="s">
        <v>1421</v>
      </c>
      <c r="M105" s="12" t="s">
        <v>1422</v>
      </c>
    </row>
    <row r="106" spans="1:13" ht="79.2">
      <c r="A106" s="12" t="s">
        <v>76</v>
      </c>
      <c r="B106" s="12" t="s">
        <v>73</v>
      </c>
      <c r="C106" s="21" t="s">
        <v>63</v>
      </c>
      <c r="D106" s="12" t="s">
        <v>71</v>
      </c>
      <c r="E106" s="21" t="s">
        <v>72</v>
      </c>
      <c r="F106" s="12" t="s">
        <v>73</v>
      </c>
      <c r="G106" s="12" t="s">
        <v>74</v>
      </c>
      <c r="H106" s="12" t="s">
        <v>75</v>
      </c>
      <c r="I106" s="12" t="s">
        <v>26</v>
      </c>
      <c r="J106" s="12" t="s">
        <v>77</v>
      </c>
      <c r="K106" s="12" t="s">
        <v>27</v>
      </c>
      <c r="L106" s="12" t="s">
        <v>78</v>
      </c>
      <c r="M106" s="12" t="s">
        <v>79</v>
      </c>
    </row>
    <row r="107" spans="1:13" ht="79.2">
      <c r="A107" s="12" t="s">
        <v>76</v>
      </c>
      <c r="B107" s="12" t="s">
        <v>73</v>
      </c>
      <c r="C107" s="21" t="s">
        <v>63</v>
      </c>
      <c r="D107" s="12" t="s">
        <v>71</v>
      </c>
      <c r="E107" s="21" t="s">
        <v>72</v>
      </c>
      <c r="F107" s="12" t="s">
        <v>73</v>
      </c>
      <c r="G107" s="12" t="s">
        <v>74</v>
      </c>
      <c r="H107" s="12" t="s">
        <v>75</v>
      </c>
      <c r="I107" s="12" t="s">
        <v>282</v>
      </c>
      <c r="J107" s="12" t="s">
        <v>287</v>
      </c>
      <c r="K107" s="12" t="s">
        <v>283</v>
      </c>
      <c r="L107" s="12" t="s">
        <v>288</v>
      </c>
      <c r="M107" s="12" t="s">
        <v>289</v>
      </c>
    </row>
    <row r="108" spans="1:13" ht="79.2">
      <c r="A108" s="12" t="s">
        <v>76</v>
      </c>
      <c r="B108" s="12" t="s">
        <v>73</v>
      </c>
      <c r="C108" s="21" t="s">
        <v>63</v>
      </c>
      <c r="D108" s="12" t="s">
        <v>71</v>
      </c>
      <c r="E108" s="21" t="s">
        <v>72</v>
      </c>
      <c r="F108" s="12" t="s">
        <v>73</v>
      </c>
      <c r="G108" s="12" t="s">
        <v>74</v>
      </c>
      <c r="H108" s="12" t="s">
        <v>75</v>
      </c>
      <c r="I108" s="12" t="s">
        <v>192</v>
      </c>
      <c r="J108" s="12" t="s">
        <v>212</v>
      </c>
      <c r="K108" s="12" t="s">
        <v>193</v>
      </c>
      <c r="L108" s="12" t="s">
        <v>210</v>
      </c>
      <c r="M108" s="12" t="s">
        <v>211</v>
      </c>
    </row>
    <row r="109" spans="1:13" ht="79.2">
      <c r="A109" s="12" t="s">
        <v>76</v>
      </c>
      <c r="B109" s="12" t="s">
        <v>73</v>
      </c>
      <c r="C109" s="21" t="s">
        <v>63</v>
      </c>
      <c r="D109" s="12" t="s">
        <v>71</v>
      </c>
      <c r="E109" s="21" t="s">
        <v>72</v>
      </c>
      <c r="F109" s="12" t="s">
        <v>73</v>
      </c>
      <c r="G109" s="12" t="s">
        <v>74</v>
      </c>
      <c r="H109" s="12" t="s">
        <v>75</v>
      </c>
      <c r="I109" s="12" t="s">
        <v>246</v>
      </c>
      <c r="J109" s="12" t="s">
        <v>363</v>
      </c>
      <c r="K109" s="12" t="s">
        <v>358</v>
      </c>
      <c r="L109" s="12" t="s">
        <v>367</v>
      </c>
      <c r="M109" s="12" t="s">
        <v>368</v>
      </c>
    </row>
    <row r="110" spans="1:13" ht="79.2">
      <c r="A110" s="12" t="s">
        <v>76</v>
      </c>
      <c r="B110" s="12" t="s">
        <v>73</v>
      </c>
      <c r="C110" s="21" t="s">
        <v>63</v>
      </c>
      <c r="D110" s="12" t="s">
        <v>71</v>
      </c>
      <c r="E110" s="21" t="s">
        <v>72</v>
      </c>
      <c r="F110" s="12" t="s">
        <v>73</v>
      </c>
      <c r="G110" s="12" t="s">
        <v>74</v>
      </c>
      <c r="H110" s="12" t="s">
        <v>75</v>
      </c>
      <c r="I110" s="12" t="s">
        <v>313</v>
      </c>
      <c r="J110" s="12" t="s">
        <v>320</v>
      </c>
      <c r="K110" s="12" t="s">
        <v>314</v>
      </c>
      <c r="L110" s="12" t="s">
        <v>318</v>
      </c>
      <c r="M110" s="12" t="s">
        <v>319</v>
      </c>
    </row>
    <row r="111" spans="1:13" ht="79.2">
      <c r="A111" s="12" t="s">
        <v>76</v>
      </c>
      <c r="B111" s="12" t="s">
        <v>73</v>
      </c>
      <c r="C111" s="21" t="s">
        <v>63</v>
      </c>
      <c r="D111" s="12" t="s">
        <v>71</v>
      </c>
      <c r="E111" s="21" t="s">
        <v>72</v>
      </c>
      <c r="F111" s="12" t="s">
        <v>73</v>
      </c>
      <c r="G111" s="12" t="s">
        <v>74</v>
      </c>
      <c r="H111" s="12" t="s">
        <v>75</v>
      </c>
      <c r="I111" s="12" t="s">
        <v>1160</v>
      </c>
      <c r="J111" s="12" t="s">
        <v>1228</v>
      </c>
      <c r="K111" s="12" t="s">
        <v>1423</v>
      </c>
      <c r="L111" s="12" t="s">
        <v>1424</v>
      </c>
      <c r="M111" s="12" t="s">
        <v>1425</v>
      </c>
    </row>
    <row r="112" spans="1:13" ht="79.2">
      <c r="A112" s="12" t="s">
        <v>76</v>
      </c>
      <c r="B112" s="12" t="s">
        <v>73</v>
      </c>
      <c r="C112" s="21" t="s">
        <v>63</v>
      </c>
      <c r="D112" s="12" t="s">
        <v>71</v>
      </c>
      <c r="E112" s="21" t="s">
        <v>72</v>
      </c>
      <c r="F112" s="12" t="s">
        <v>73</v>
      </c>
      <c r="G112" s="12" t="s">
        <v>74</v>
      </c>
      <c r="H112" s="12" t="s">
        <v>75</v>
      </c>
      <c r="I112" s="12" t="s">
        <v>356</v>
      </c>
      <c r="J112" s="12" t="s">
        <v>364</v>
      </c>
      <c r="K112" s="12" t="s">
        <v>360</v>
      </c>
      <c r="L112" s="12" t="s">
        <v>365</v>
      </c>
      <c r="M112" s="12" t="s">
        <v>366</v>
      </c>
    </row>
    <row r="113" spans="1:13" ht="79.2">
      <c r="A113" s="12" t="s">
        <v>76</v>
      </c>
      <c r="B113" s="12" t="s">
        <v>73</v>
      </c>
      <c r="C113" s="21" t="s">
        <v>63</v>
      </c>
      <c r="D113" s="12" t="s">
        <v>71</v>
      </c>
      <c r="E113" s="21" t="s">
        <v>72</v>
      </c>
      <c r="F113" s="12" t="s">
        <v>73</v>
      </c>
      <c r="G113" s="12" t="s">
        <v>74</v>
      </c>
      <c r="H113" s="12" t="s">
        <v>75</v>
      </c>
      <c r="I113" s="12" t="s">
        <v>1161</v>
      </c>
      <c r="J113" s="12" t="s">
        <v>1229</v>
      </c>
      <c r="K113" s="12" t="s">
        <v>1426</v>
      </c>
      <c r="L113" s="12" t="s">
        <v>1427</v>
      </c>
      <c r="M113" s="12" t="s">
        <v>1428</v>
      </c>
    </row>
    <row r="114" spans="1:13" ht="79.2">
      <c r="A114" s="12" t="s">
        <v>76</v>
      </c>
      <c r="B114" s="12" t="s">
        <v>73</v>
      </c>
      <c r="C114" s="21" t="s">
        <v>63</v>
      </c>
      <c r="D114" s="12" t="s">
        <v>71</v>
      </c>
      <c r="E114" s="21" t="s">
        <v>72</v>
      </c>
      <c r="F114" s="12" t="s">
        <v>73</v>
      </c>
      <c r="G114" s="12" t="s">
        <v>74</v>
      </c>
      <c r="H114" s="12" t="s">
        <v>75</v>
      </c>
      <c r="I114" s="12" t="s">
        <v>248</v>
      </c>
      <c r="J114" s="12" t="s">
        <v>254</v>
      </c>
      <c r="K114" s="12" t="s">
        <v>249</v>
      </c>
      <c r="L114" s="12" t="s">
        <v>255</v>
      </c>
      <c r="M114" s="12" t="s">
        <v>256</v>
      </c>
    </row>
    <row r="115" spans="1:13" ht="79.2">
      <c r="A115" s="12" t="s">
        <v>76</v>
      </c>
      <c r="B115" s="12" t="s">
        <v>73</v>
      </c>
      <c r="C115" s="21" t="s">
        <v>63</v>
      </c>
      <c r="D115" s="12" t="s">
        <v>71</v>
      </c>
      <c r="E115" s="21" t="s">
        <v>72</v>
      </c>
      <c r="F115" s="12" t="s">
        <v>73</v>
      </c>
      <c r="G115" s="12" t="s">
        <v>74</v>
      </c>
      <c r="H115" s="12" t="s">
        <v>75</v>
      </c>
      <c r="I115" s="12" t="s">
        <v>1162</v>
      </c>
      <c r="J115" s="12" t="s">
        <v>1230</v>
      </c>
      <c r="K115" s="12" t="s">
        <v>1429</v>
      </c>
      <c r="L115" s="12" t="s">
        <v>1430</v>
      </c>
      <c r="M115" s="12" t="s">
        <v>1431</v>
      </c>
    </row>
    <row r="116" spans="1:13" ht="79.2">
      <c r="A116" s="12" t="s">
        <v>76</v>
      </c>
      <c r="B116" s="12" t="s">
        <v>73</v>
      </c>
      <c r="C116" s="21" t="s">
        <v>63</v>
      </c>
      <c r="D116" s="12" t="s">
        <v>71</v>
      </c>
      <c r="E116" s="21" t="s">
        <v>72</v>
      </c>
      <c r="F116" s="12" t="s">
        <v>73</v>
      </c>
      <c r="G116" s="12" t="s">
        <v>74</v>
      </c>
      <c r="H116" s="12" t="s">
        <v>75</v>
      </c>
      <c r="I116" s="12" t="s">
        <v>1163</v>
      </c>
      <c r="J116" s="12" t="s">
        <v>1231</v>
      </c>
      <c r="K116" s="12" t="s">
        <v>1432</v>
      </c>
      <c r="L116" s="12" t="s">
        <v>1433</v>
      </c>
      <c r="M116" s="12" t="s">
        <v>1434</v>
      </c>
    </row>
    <row r="117" spans="1:13" ht="52.8">
      <c r="A117" s="21" t="s">
        <v>436</v>
      </c>
      <c r="B117" s="21" t="s">
        <v>433</v>
      </c>
      <c r="C117" s="21" t="s">
        <v>406</v>
      </c>
      <c r="D117" s="21" t="s">
        <v>71</v>
      </c>
      <c r="E117" s="21" t="s">
        <v>432</v>
      </c>
      <c r="F117" s="12" t="s">
        <v>433</v>
      </c>
      <c r="G117" s="12" t="s">
        <v>434</v>
      </c>
      <c r="H117" s="12" t="s">
        <v>435</v>
      </c>
      <c r="I117" s="12" t="s">
        <v>437</v>
      </c>
      <c r="J117" s="12" t="s">
        <v>560</v>
      </c>
      <c r="K117" s="12" t="s">
        <v>683</v>
      </c>
      <c r="L117" s="12" t="s">
        <v>684</v>
      </c>
      <c r="M117" s="12" t="s">
        <v>685</v>
      </c>
    </row>
    <row r="118" spans="1:13" ht="66">
      <c r="A118" s="21" t="s">
        <v>436</v>
      </c>
      <c r="B118" s="21" t="s">
        <v>433</v>
      </c>
      <c r="C118" s="21" t="s">
        <v>406</v>
      </c>
      <c r="D118" s="21" t="s">
        <v>71</v>
      </c>
      <c r="E118" s="21" t="s">
        <v>432</v>
      </c>
      <c r="F118" s="12" t="s">
        <v>433</v>
      </c>
      <c r="G118" s="12" t="s">
        <v>434</v>
      </c>
      <c r="H118" s="12" t="s">
        <v>435</v>
      </c>
      <c r="I118" s="12" t="s">
        <v>438</v>
      </c>
      <c r="J118" s="12" t="s">
        <v>561</v>
      </c>
      <c r="K118" s="12" t="s">
        <v>686</v>
      </c>
      <c r="L118" s="12" t="s">
        <v>687</v>
      </c>
      <c r="M118" s="12" t="s">
        <v>688</v>
      </c>
    </row>
    <row r="119" spans="1:13" ht="52.8">
      <c r="A119" s="21" t="s">
        <v>436</v>
      </c>
      <c r="B119" s="21" t="s">
        <v>433</v>
      </c>
      <c r="C119" s="21" t="s">
        <v>406</v>
      </c>
      <c r="D119" s="21" t="s">
        <v>71</v>
      </c>
      <c r="E119" s="21" t="s">
        <v>432</v>
      </c>
      <c r="F119" s="12" t="s">
        <v>433</v>
      </c>
      <c r="G119" s="12" t="s">
        <v>434</v>
      </c>
      <c r="H119" s="12" t="s">
        <v>435</v>
      </c>
      <c r="I119" s="12" t="s">
        <v>439</v>
      </c>
      <c r="J119" s="12" t="s">
        <v>562</v>
      </c>
      <c r="K119" s="12" t="s">
        <v>689</v>
      </c>
      <c r="L119" s="12" t="s">
        <v>690</v>
      </c>
      <c r="M119" s="12" t="s">
        <v>691</v>
      </c>
    </row>
    <row r="120" spans="1:13" ht="52.8">
      <c r="A120" s="21" t="s">
        <v>436</v>
      </c>
      <c r="B120" s="21" t="s">
        <v>433</v>
      </c>
      <c r="C120" s="21" t="s">
        <v>406</v>
      </c>
      <c r="D120" s="21" t="s">
        <v>71</v>
      </c>
      <c r="E120" s="21" t="s">
        <v>432</v>
      </c>
      <c r="F120" s="12" t="s">
        <v>433</v>
      </c>
      <c r="G120" s="12" t="s">
        <v>434</v>
      </c>
      <c r="H120" s="12" t="s">
        <v>435</v>
      </c>
      <c r="I120" s="12" t="s">
        <v>440</v>
      </c>
      <c r="J120" s="12" t="s">
        <v>563</v>
      </c>
      <c r="K120" s="12" t="s">
        <v>692</v>
      </c>
      <c r="L120" s="12" t="s">
        <v>693</v>
      </c>
      <c r="M120" s="12" t="s">
        <v>692</v>
      </c>
    </row>
    <row r="121" spans="1:13" ht="52.8">
      <c r="A121" s="21" t="s">
        <v>436</v>
      </c>
      <c r="B121" s="21" t="s">
        <v>433</v>
      </c>
      <c r="C121" s="21" t="s">
        <v>406</v>
      </c>
      <c r="D121" s="21" t="s">
        <v>71</v>
      </c>
      <c r="E121" s="21" t="s">
        <v>432</v>
      </c>
      <c r="F121" s="12" t="s">
        <v>433</v>
      </c>
      <c r="G121" s="12" t="s">
        <v>434</v>
      </c>
      <c r="H121" s="12" t="s">
        <v>435</v>
      </c>
      <c r="I121" s="12" t="s">
        <v>441</v>
      </c>
      <c r="J121" s="12" t="s">
        <v>564</v>
      </c>
      <c r="K121" s="12" t="s">
        <v>694</v>
      </c>
      <c r="L121" s="12" t="s">
        <v>695</v>
      </c>
      <c r="M121" s="12" t="s">
        <v>694</v>
      </c>
    </row>
    <row r="122" spans="1:13" ht="52.8">
      <c r="A122" s="21" t="s">
        <v>436</v>
      </c>
      <c r="B122" s="21" t="s">
        <v>433</v>
      </c>
      <c r="C122" s="21" t="s">
        <v>406</v>
      </c>
      <c r="D122" s="21" t="s">
        <v>71</v>
      </c>
      <c r="E122" s="21" t="s">
        <v>432</v>
      </c>
      <c r="F122" s="12" t="s">
        <v>433</v>
      </c>
      <c r="G122" s="12" t="s">
        <v>434</v>
      </c>
      <c r="H122" s="12" t="s">
        <v>435</v>
      </c>
      <c r="I122" s="12" t="s">
        <v>442</v>
      </c>
      <c r="J122" s="12" t="s">
        <v>565</v>
      </c>
      <c r="K122" s="12" t="s">
        <v>696</v>
      </c>
      <c r="L122" s="12" t="s">
        <v>697</v>
      </c>
      <c r="M122" s="12" t="s">
        <v>698</v>
      </c>
    </row>
    <row r="123" spans="1:13" ht="52.8">
      <c r="A123" s="21" t="s">
        <v>436</v>
      </c>
      <c r="B123" s="21" t="s">
        <v>433</v>
      </c>
      <c r="C123" s="21" t="s">
        <v>406</v>
      </c>
      <c r="D123" s="21" t="s">
        <v>71</v>
      </c>
      <c r="E123" s="21" t="s">
        <v>432</v>
      </c>
      <c r="F123" s="12" t="s">
        <v>433</v>
      </c>
      <c r="G123" s="12" t="s">
        <v>434</v>
      </c>
      <c r="H123" s="12" t="s">
        <v>435</v>
      </c>
      <c r="I123" s="12" t="s">
        <v>443</v>
      </c>
      <c r="J123" s="12" t="s">
        <v>566</v>
      </c>
      <c r="K123" s="12" t="s">
        <v>699</v>
      </c>
      <c r="L123" s="12" t="s">
        <v>700</v>
      </c>
      <c r="M123" s="12" t="s">
        <v>701</v>
      </c>
    </row>
    <row r="124" spans="1:13" ht="52.8">
      <c r="A124" s="21" t="s">
        <v>436</v>
      </c>
      <c r="B124" s="21" t="s">
        <v>433</v>
      </c>
      <c r="C124" s="21" t="s">
        <v>406</v>
      </c>
      <c r="D124" s="21" t="s">
        <v>71</v>
      </c>
      <c r="E124" s="21" t="s">
        <v>432</v>
      </c>
      <c r="F124" s="12" t="s">
        <v>433</v>
      </c>
      <c r="G124" s="12" t="s">
        <v>434</v>
      </c>
      <c r="H124" s="12" t="s">
        <v>435</v>
      </c>
      <c r="I124" s="12" t="s">
        <v>444</v>
      </c>
      <c r="J124" s="12" t="s">
        <v>567</v>
      </c>
      <c r="K124" s="12" t="s">
        <v>702</v>
      </c>
      <c r="L124" s="12" t="s">
        <v>703</v>
      </c>
      <c r="M124" s="12" t="s">
        <v>704</v>
      </c>
    </row>
    <row r="125" spans="1:13" ht="52.8">
      <c r="A125" s="21" t="s">
        <v>436</v>
      </c>
      <c r="B125" s="21" t="s">
        <v>433</v>
      </c>
      <c r="C125" s="21" t="s">
        <v>406</v>
      </c>
      <c r="D125" s="21" t="s">
        <v>71</v>
      </c>
      <c r="E125" s="21" t="s">
        <v>432</v>
      </c>
      <c r="F125" s="12" t="s">
        <v>433</v>
      </c>
      <c r="G125" s="12" t="s">
        <v>434</v>
      </c>
      <c r="H125" s="12" t="s">
        <v>435</v>
      </c>
      <c r="I125" s="12" t="s">
        <v>445</v>
      </c>
      <c r="J125" s="12" t="s">
        <v>568</v>
      </c>
      <c r="K125" s="12" t="s">
        <v>705</v>
      </c>
      <c r="L125" s="12" t="s">
        <v>706</v>
      </c>
      <c r="M125" s="12" t="s">
        <v>707</v>
      </c>
    </row>
    <row r="126" spans="1:13" ht="52.8">
      <c r="A126" s="21" t="s">
        <v>436</v>
      </c>
      <c r="B126" s="21" t="s">
        <v>433</v>
      </c>
      <c r="C126" s="21" t="s">
        <v>406</v>
      </c>
      <c r="D126" s="21" t="s">
        <v>71</v>
      </c>
      <c r="E126" s="21" t="s">
        <v>432</v>
      </c>
      <c r="F126" s="12" t="s">
        <v>433</v>
      </c>
      <c r="G126" s="12" t="s">
        <v>434</v>
      </c>
      <c r="H126" s="12" t="s">
        <v>435</v>
      </c>
      <c r="I126" s="12" t="s">
        <v>446</v>
      </c>
      <c r="J126" s="12" t="s">
        <v>569</v>
      </c>
      <c r="K126" s="12" t="s">
        <v>708</v>
      </c>
      <c r="L126" s="12" t="s">
        <v>709</v>
      </c>
      <c r="M126" s="12" t="s">
        <v>710</v>
      </c>
    </row>
    <row r="127" spans="1:13" ht="52.8">
      <c r="A127" s="21" t="s">
        <v>436</v>
      </c>
      <c r="B127" s="21" t="s">
        <v>433</v>
      </c>
      <c r="C127" s="21" t="s">
        <v>406</v>
      </c>
      <c r="D127" s="21" t="s">
        <v>71</v>
      </c>
      <c r="E127" s="21" t="s">
        <v>432</v>
      </c>
      <c r="F127" s="12" t="s">
        <v>433</v>
      </c>
      <c r="G127" s="12" t="s">
        <v>434</v>
      </c>
      <c r="H127" s="12" t="s">
        <v>435</v>
      </c>
      <c r="I127" s="12" t="s">
        <v>447</v>
      </c>
      <c r="J127" s="12" t="s">
        <v>570</v>
      </c>
      <c r="K127" s="12" t="s">
        <v>711</v>
      </c>
      <c r="L127" s="12" t="s">
        <v>712</v>
      </c>
      <c r="M127" s="12" t="s">
        <v>713</v>
      </c>
    </row>
    <row r="128" spans="1:13" ht="52.8">
      <c r="A128" s="21" t="s">
        <v>436</v>
      </c>
      <c r="B128" s="21" t="s">
        <v>433</v>
      </c>
      <c r="C128" s="21" t="s">
        <v>406</v>
      </c>
      <c r="D128" s="21" t="s">
        <v>71</v>
      </c>
      <c r="E128" s="21" t="s">
        <v>432</v>
      </c>
      <c r="F128" s="12" t="s">
        <v>433</v>
      </c>
      <c r="G128" s="12" t="s">
        <v>434</v>
      </c>
      <c r="H128" s="12" t="s">
        <v>435</v>
      </c>
      <c r="I128" s="12" t="s">
        <v>448</v>
      </c>
      <c r="J128" s="12" t="s">
        <v>571</v>
      </c>
      <c r="K128" s="12" t="s">
        <v>714</v>
      </c>
      <c r="L128" s="12" t="s">
        <v>715</v>
      </c>
      <c r="M128" s="12" t="s">
        <v>716</v>
      </c>
    </row>
    <row r="129" spans="1:13" ht="52.8">
      <c r="A129" s="21" t="s">
        <v>436</v>
      </c>
      <c r="B129" s="21" t="s">
        <v>433</v>
      </c>
      <c r="C129" s="21" t="s">
        <v>406</v>
      </c>
      <c r="D129" s="21" t="s">
        <v>71</v>
      </c>
      <c r="E129" s="21" t="s">
        <v>432</v>
      </c>
      <c r="F129" s="12" t="s">
        <v>433</v>
      </c>
      <c r="G129" s="12" t="s">
        <v>434</v>
      </c>
      <c r="H129" s="12" t="s">
        <v>435</v>
      </c>
      <c r="I129" s="12" t="s">
        <v>449</v>
      </c>
      <c r="J129" s="12" t="s">
        <v>572</v>
      </c>
      <c r="K129" s="12" t="s">
        <v>717</v>
      </c>
      <c r="L129" s="12" t="s">
        <v>718</v>
      </c>
      <c r="M129" s="12" t="s">
        <v>719</v>
      </c>
    </row>
    <row r="130" spans="1:13" ht="52.8">
      <c r="A130" s="21" t="s">
        <v>436</v>
      </c>
      <c r="B130" s="21" t="s">
        <v>433</v>
      </c>
      <c r="C130" s="21" t="s">
        <v>406</v>
      </c>
      <c r="D130" s="21" t="s">
        <v>71</v>
      </c>
      <c r="E130" s="21" t="s">
        <v>432</v>
      </c>
      <c r="F130" s="12" t="s">
        <v>433</v>
      </c>
      <c r="G130" s="12" t="s">
        <v>434</v>
      </c>
      <c r="H130" s="12" t="s">
        <v>435</v>
      </c>
      <c r="I130" s="12" t="s">
        <v>450</v>
      </c>
      <c r="J130" s="12" t="s">
        <v>573</v>
      </c>
      <c r="K130" s="12" t="s">
        <v>720</v>
      </c>
      <c r="L130" s="12" t="s">
        <v>721</v>
      </c>
      <c r="M130" s="12" t="s">
        <v>722</v>
      </c>
    </row>
    <row r="131" spans="1:13" ht="52.8">
      <c r="A131" s="21" t="s">
        <v>436</v>
      </c>
      <c r="B131" s="21" t="s">
        <v>433</v>
      </c>
      <c r="C131" s="21" t="s">
        <v>406</v>
      </c>
      <c r="D131" s="21" t="s">
        <v>71</v>
      </c>
      <c r="E131" s="21" t="s">
        <v>432</v>
      </c>
      <c r="F131" s="12" t="s">
        <v>433</v>
      </c>
      <c r="G131" s="12" t="s">
        <v>434</v>
      </c>
      <c r="H131" s="12" t="s">
        <v>435</v>
      </c>
      <c r="I131" s="12" t="s">
        <v>451</v>
      </c>
      <c r="J131" s="12" t="s">
        <v>574</v>
      </c>
      <c r="K131" s="12" t="s">
        <v>723</v>
      </c>
      <c r="L131" s="12" t="s">
        <v>724</v>
      </c>
      <c r="M131" s="12" t="s">
        <v>723</v>
      </c>
    </row>
    <row r="132" spans="1:13" ht="52.8">
      <c r="A132" s="21" t="s">
        <v>436</v>
      </c>
      <c r="B132" s="21" t="s">
        <v>433</v>
      </c>
      <c r="C132" s="21" t="s">
        <v>406</v>
      </c>
      <c r="D132" s="21" t="s">
        <v>71</v>
      </c>
      <c r="E132" s="21" t="s">
        <v>432</v>
      </c>
      <c r="F132" s="12" t="s">
        <v>433</v>
      </c>
      <c r="G132" s="12" t="s">
        <v>434</v>
      </c>
      <c r="H132" s="12" t="s">
        <v>435</v>
      </c>
      <c r="I132" s="12" t="s">
        <v>452</v>
      </c>
      <c r="J132" s="12" t="s">
        <v>575</v>
      </c>
      <c r="K132" s="12" t="s">
        <v>725</v>
      </c>
      <c r="L132" s="12" t="s">
        <v>726</v>
      </c>
      <c r="M132" s="12" t="s">
        <v>725</v>
      </c>
    </row>
    <row r="133" spans="1:13" ht="52.8">
      <c r="A133" s="21" t="s">
        <v>436</v>
      </c>
      <c r="B133" s="21" t="s">
        <v>433</v>
      </c>
      <c r="C133" s="21" t="s">
        <v>406</v>
      </c>
      <c r="D133" s="21" t="s">
        <v>71</v>
      </c>
      <c r="E133" s="21" t="s">
        <v>432</v>
      </c>
      <c r="F133" s="12" t="s">
        <v>433</v>
      </c>
      <c r="G133" s="12" t="s">
        <v>434</v>
      </c>
      <c r="H133" s="12" t="s">
        <v>435</v>
      </c>
      <c r="I133" s="12" t="s">
        <v>453</v>
      </c>
      <c r="J133" s="12" t="s">
        <v>576</v>
      </c>
      <c r="K133" s="12" t="s">
        <v>727</v>
      </c>
      <c r="L133" s="12" t="s">
        <v>728</v>
      </c>
      <c r="M133" s="12" t="s">
        <v>729</v>
      </c>
    </row>
    <row r="134" spans="1:13" ht="52.8">
      <c r="A134" s="21" t="s">
        <v>436</v>
      </c>
      <c r="B134" s="21" t="s">
        <v>433</v>
      </c>
      <c r="C134" s="21" t="s">
        <v>406</v>
      </c>
      <c r="D134" s="21" t="s">
        <v>71</v>
      </c>
      <c r="E134" s="21" t="s">
        <v>432</v>
      </c>
      <c r="F134" s="12" t="s">
        <v>433</v>
      </c>
      <c r="G134" s="12" t="s">
        <v>434</v>
      </c>
      <c r="H134" s="12" t="s">
        <v>435</v>
      </c>
      <c r="I134" s="12" t="s">
        <v>454</v>
      </c>
      <c r="J134" s="12" t="s">
        <v>577</v>
      </c>
      <c r="K134" s="12" t="s">
        <v>730</v>
      </c>
      <c r="L134" s="12" t="s">
        <v>731</v>
      </c>
      <c r="M134" s="12" t="s">
        <v>732</v>
      </c>
    </row>
    <row r="135" spans="1:13" ht="52.8">
      <c r="A135" s="21" t="s">
        <v>436</v>
      </c>
      <c r="B135" s="21" t="s">
        <v>433</v>
      </c>
      <c r="C135" s="21" t="s">
        <v>406</v>
      </c>
      <c r="D135" s="21" t="s">
        <v>71</v>
      </c>
      <c r="E135" s="21" t="s">
        <v>432</v>
      </c>
      <c r="F135" s="12" t="s">
        <v>433</v>
      </c>
      <c r="G135" s="12" t="s">
        <v>434</v>
      </c>
      <c r="H135" s="12" t="s">
        <v>435</v>
      </c>
      <c r="I135" s="12" t="s">
        <v>455</v>
      </c>
      <c r="J135" s="12" t="s">
        <v>578</v>
      </c>
      <c r="K135" s="12" t="s">
        <v>733</v>
      </c>
      <c r="L135" s="12" t="s">
        <v>734</v>
      </c>
      <c r="M135" s="12" t="s">
        <v>735</v>
      </c>
    </row>
    <row r="136" spans="1:13" ht="52.8">
      <c r="A136" s="21" t="s">
        <v>436</v>
      </c>
      <c r="B136" s="21" t="s">
        <v>433</v>
      </c>
      <c r="C136" s="21" t="s">
        <v>406</v>
      </c>
      <c r="D136" s="21" t="s">
        <v>71</v>
      </c>
      <c r="E136" s="21" t="s">
        <v>432</v>
      </c>
      <c r="F136" s="12" t="s">
        <v>433</v>
      </c>
      <c r="G136" s="12" t="s">
        <v>434</v>
      </c>
      <c r="H136" s="12" t="s">
        <v>435</v>
      </c>
      <c r="I136" s="12" t="s">
        <v>456</v>
      </c>
      <c r="J136" s="12" t="s">
        <v>579</v>
      </c>
      <c r="K136" s="12" t="s">
        <v>736</v>
      </c>
      <c r="L136" s="12" t="s">
        <v>737</v>
      </c>
      <c r="M136" s="12" t="s">
        <v>736</v>
      </c>
    </row>
    <row r="137" spans="1:13" ht="79.2">
      <c r="A137" s="21" t="s">
        <v>436</v>
      </c>
      <c r="B137" s="21" t="s">
        <v>433</v>
      </c>
      <c r="C137" s="21" t="s">
        <v>406</v>
      </c>
      <c r="D137" s="21" t="s">
        <v>71</v>
      </c>
      <c r="E137" s="21" t="s">
        <v>432</v>
      </c>
      <c r="F137" s="12" t="s">
        <v>433</v>
      </c>
      <c r="G137" s="12" t="s">
        <v>434</v>
      </c>
      <c r="H137" s="12" t="s">
        <v>435</v>
      </c>
      <c r="I137" s="12" t="s">
        <v>457</v>
      </c>
      <c r="J137" s="12" t="s">
        <v>580</v>
      </c>
      <c r="K137" s="12" t="s">
        <v>738</v>
      </c>
      <c r="L137" s="12" t="s">
        <v>739</v>
      </c>
      <c r="M137" s="12" t="s">
        <v>740</v>
      </c>
    </row>
    <row r="138" spans="1:13" ht="52.8">
      <c r="A138" s="21" t="s">
        <v>436</v>
      </c>
      <c r="B138" s="21" t="s">
        <v>433</v>
      </c>
      <c r="C138" s="21" t="s">
        <v>406</v>
      </c>
      <c r="D138" s="21" t="s">
        <v>71</v>
      </c>
      <c r="E138" s="21" t="s">
        <v>432</v>
      </c>
      <c r="F138" s="12" t="s">
        <v>433</v>
      </c>
      <c r="G138" s="12" t="s">
        <v>434</v>
      </c>
      <c r="H138" s="12" t="s">
        <v>435</v>
      </c>
      <c r="I138" s="12" t="s">
        <v>458</v>
      </c>
      <c r="J138" s="12" t="s">
        <v>581</v>
      </c>
      <c r="K138" s="12" t="s">
        <v>741</v>
      </c>
      <c r="L138" s="12" t="s">
        <v>742</v>
      </c>
      <c r="M138" s="12" t="s">
        <v>741</v>
      </c>
    </row>
    <row r="139" spans="1:13" ht="52.8">
      <c r="A139" s="21" t="s">
        <v>436</v>
      </c>
      <c r="B139" s="21" t="s">
        <v>433</v>
      </c>
      <c r="C139" s="21" t="s">
        <v>406</v>
      </c>
      <c r="D139" s="21" t="s">
        <v>71</v>
      </c>
      <c r="E139" s="21" t="s">
        <v>432</v>
      </c>
      <c r="F139" s="12" t="s">
        <v>433</v>
      </c>
      <c r="G139" s="12" t="s">
        <v>434</v>
      </c>
      <c r="H139" s="12" t="s">
        <v>435</v>
      </c>
      <c r="I139" s="12" t="s">
        <v>459</v>
      </c>
      <c r="J139" s="12" t="s">
        <v>582</v>
      </c>
      <c r="K139" s="12" t="s">
        <v>743</v>
      </c>
      <c r="L139" s="12" t="s">
        <v>744</v>
      </c>
      <c r="M139" s="12" t="s">
        <v>745</v>
      </c>
    </row>
    <row r="140" spans="1:13" ht="52.8">
      <c r="A140" s="21" t="s">
        <v>436</v>
      </c>
      <c r="B140" s="21" t="s">
        <v>433</v>
      </c>
      <c r="C140" s="21" t="s">
        <v>406</v>
      </c>
      <c r="D140" s="21" t="s">
        <v>71</v>
      </c>
      <c r="E140" s="21" t="s">
        <v>432</v>
      </c>
      <c r="F140" s="12" t="s">
        <v>433</v>
      </c>
      <c r="G140" s="12" t="s">
        <v>434</v>
      </c>
      <c r="H140" s="12" t="s">
        <v>435</v>
      </c>
      <c r="I140" s="12" t="s">
        <v>460</v>
      </c>
      <c r="J140" s="12" t="s">
        <v>583</v>
      </c>
      <c r="K140" s="12" t="s">
        <v>746</v>
      </c>
      <c r="L140" s="12" t="s">
        <v>747</v>
      </c>
      <c r="M140" s="12" t="s">
        <v>748</v>
      </c>
    </row>
    <row r="141" spans="1:13" ht="52.8">
      <c r="A141" s="21" t="s">
        <v>436</v>
      </c>
      <c r="B141" s="21" t="s">
        <v>433</v>
      </c>
      <c r="C141" s="21" t="s">
        <v>406</v>
      </c>
      <c r="D141" s="21" t="s">
        <v>71</v>
      </c>
      <c r="E141" s="21" t="s">
        <v>432</v>
      </c>
      <c r="F141" s="12" t="s">
        <v>433</v>
      </c>
      <c r="G141" s="12" t="s">
        <v>434</v>
      </c>
      <c r="H141" s="12" t="s">
        <v>435</v>
      </c>
      <c r="I141" s="12" t="s">
        <v>461</v>
      </c>
      <c r="J141" s="12" t="s">
        <v>584</v>
      </c>
      <c r="K141" s="12" t="s">
        <v>749</v>
      </c>
      <c r="L141" s="12" t="s">
        <v>750</v>
      </c>
      <c r="M141" s="12" t="s">
        <v>751</v>
      </c>
    </row>
    <row r="142" spans="1:13" ht="52.8">
      <c r="A142" s="21" t="s">
        <v>436</v>
      </c>
      <c r="B142" s="21" t="s">
        <v>433</v>
      </c>
      <c r="C142" s="21" t="s">
        <v>406</v>
      </c>
      <c r="D142" s="21" t="s">
        <v>71</v>
      </c>
      <c r="E142" s="21" t="s">
        <v>432</v>
      </c>
      <c r="F142" s="12" t="s">
        <v>433</v>
      </c>
      <c r="G142" s="12" t="s">
        <v>434</v>
      </c>
      <c r="H142" s="12" t="s">
        <v>435</v>
      </c>
      <c r="I142" s="12" t="s">
        <v>462</v>
      </c>
      <c r="J142" s="12" t="s">
        <v>585</v>
      </c>
      <c r="K142" s="12" t="s">
        <v>752</v>
      </c>
      <c r="L142" s="12" t="s">
        <v>753</v>
      </c>
      <c r="M142" s="12" t="s">
        <v>752</v>
      </c>
    </row>
    <row r="143" spans="1:13" ht="52.8">
      <c r="A143" s="21" t="s">
        <v>436</v>
      </c>
      <c r="B143" s="21" t="s">
        <v>433</v>
      </c>
      <c r="C143" s="21" t="s">
        <v>406</v>
      </c>
      <c r="D143" s="21" t="s">
        <v>71</v>
      </c>
      <c r="E143" s="21" t="s">
        <v>432</v>
      </c>
      <c r="F143" s="12" t="s">
        <v>433</v>
      </c>
      <c r="G143" s="12" t="s">
        <v>434</v>
      </c>
      <c r="H143" s="12" t="s">
        <v>435</v>
      </c>
      <c r="I143" s="12" t="s">
        <v>463</v>
      </c>
      <c r="J143" s="12" t="s">
        <v>586</v>
      </c>
      <c r="K143" s="12" t="s">
        <v>754</v>
      </c>
      <c r="L143" s="12" t="s">
        <v>755</v>
      </c>
      <c r="M143" s="12" t="s">
        <v>756</v>
      </c>
    </row>
    <row r="144" spans="1:13" ht="52.8">
      <c r="A144" s="21" t="s">
        <v>436</v>
      </c>
      <c r="B144" s="21" t="s">
        <v>433</v>
      </c>
      <c r="C144" s="21" t="s">
        <v>406</v>
      </c>
      <c r="D144" s="21" t="s">
        <v>71</v>
      </c>
      <c r="E144" s="21" t="s">
        <v>432</v>
      </c>
      <c r="F144" s="12" t="s">
        <v>433</v>
      </c>
      <c r="G144" s="12" t="s">
        <v>434</v>
      </c>
      <c r="H144" s="12" t="s">
        <v>435</v>
      </c>
      <c r="I144" s="12" t="s">
        <v>464</v>
      </c>
      <c r="J144" s="12" t="s">
        <v>587</v>
      </c>
      <c r="K144" s="12" t="s">
        <v>757</v>
      </c>
      <c r="L144" s="12" t="s">
        <v>758</v>
      </c>
      <c r="M144" s="12" t="s">
        <v>757</v>
      </c>
    </row>
    <row r="145" spans="1:13" ht="52.8">
      <c r="A145" s="21" t="s">
        <v>436</v>
      </c>
      <c r="B145" s="21" t="s">
        <v>433</v>
      </c>
      <c r="C145" s="21" t="s">
        <v>406</v>
      </c>
      <c r="D145" s="21" t="s">
        <v>71</v>
      </c>
      <c r="E145" s="21" t="s">
        <v>432</v>
      </c>
      <c r="F145" s="12" t="s">
        <v>433</v>
      </c>
      <c r="G145" s="12" t="s">
        <v>434</v>
      </c>
      <c r="H145" s="12" t="s">
        <v>435</v>
      </c>
      <c r="I145" s="12" t="s">
        <v>465</v>
      </c>
      <c r="J145" s="12" t="s">
        <v>588</v>
      </c>
      <c r="K145" s="12" t="s">
        <v>759</v>
      </c>
      <c r="L145" s="12" t="s">
        <v>760</v>
      </c>
      <c r="M145" s="12" t="s">
        <v>761</v>
      </c>
    </row>
    <row r="146" spans="1:13" ht="52.8">
      <c r="A146" s="21" t="s">
        <v>436</v>
      </c>
      <c r="B146" s="21" t="s">
        <v>433</v>
      </c>
      <c r="C146" s="21" t="s">
        <v>406</v>
      </c>
      <c r="D146" s="21" t="s">
        <v>71</v>
      </c>
      <c r="E146" s="21" t="s">
        <v>432</v>
      </c>
      <c r="F146" s="12" t="s">
        <v>433</v>
      </c>
      <c r="G146" s="12" t="s">
        <v>434</v>
      </c>
      <c r="H146" s="12" t="s">
        <v>435</v>
      </c>
      <c r="I146" s="12" t="s">
        <v>466</v>
      </c>
      <c r="J146" s="12" t="s">
        <v>589</v>
      </c>
      <c r="K146" s="12" t="s">
        <v>762</v>
      </c>
      <c r="L146" s="12" t="s">
        <v>763</v>
      </c>
      <c r="M146" s="12" t="s">
        <v>764</v>
      </c>
    </row>
    <row r="147" spans="1:13" ht="52.8">
      <c r="A147" s="21" t="s">
        <v>436</v>
      </c>
      <c r="B147" s="21" t="s">
        <v>433</v>
      </c>
      <c r="C147" s="21" t="s">
        <v>406</v>
      </c>
      <c r="D147" s="21" t="s">
        <v>71</v>
      </c>
      <c r="E147" s="21" t="s">
        <v>432</v>
      </c>
      <c r="F147" s="12" t="s">
        <v>433</v>
      </c>
      <c r="G147" s="12" t="s">
        <v>434</v>
      </c>
      <c r="H147" s="12" t="s">
        <v>435</v>
      </c>
      <c r="I147" s="12" t="s">
        <v>467</v>
      </c>
      <c r="J147" s="12" t="s">
        <v>590</v>
      </c>
      <c r="K147" s="12" t="s">
        <v>765</v>
      </c>
      <c r="L147" s="12" t="s">
        <v>766</v>
      </c>
      <c r="M147" s="12" t="s">
        <v>767</v>
      </c>
    </row>
    <row r="148" spans="1:13" ht="52.8">
      <c r="A148" s="21" t="s">
        <v>436</v>
      </c>
      <c r="B148" s="21" t="s">
        <v>433</v>
      </c>
      <c r="C148" s="21" t="s">
        <v>406</v>
      </c>
      <c r="D148" s="21" t="s">
        <v>71</v>
      </c>
      <c r="E148" s="21" t="s">
        <v>432</v>
      </c>
      <c r="F148" s="12" t="s">
        <v>433</v>
      </c>
      <c r="G148" s="12" t="s">
        <v>434</v>
      </c>
      <c r="H148" s="12" t="s">
        <v>435</v>
      </c>
      <c r="I148" s="12" t="s">
        <v>468</v>
      </c>
      <c r="J148" s="12" t="s">
        <v>591</v>
      </c>
      <c r="K148" s="12" t="s">
        <v>768</v>
      </c>
      <c r="L148" s="12" t="s">
        <v>769</v>
      </c>
      <c r="M148" s="12" t="s">
        <v>770</v>
      </c>
    </row>
    <row r="149" spans="1:13" ht="52.8">
      <c r="A149" s="21" t="s">
        <v>436</v>
      </c>
      <c r="B149" s="21" t="s">
        <v>433</v>
      </c>
      <c r="C149" s="21" t="s">
        <v>406</v>
      </c>
      <c r="D149" s="21" t="s">
        <v>71</v>
      </c>
      <c r="E149" s="21" t="s">
        <v>432</v>
      </c>
      <c r="F149" s="12" t="s">
        <v>433</v>
      </c>
      <c r="G149" s="12" t="s">
        <v>434</v>
      </c>
      <c r="H149" s="12" t="s">
        <v>435</v>
      </c>
      <c r="I149" s="12" t="s">
        <v>469</v>
      </c>
      <c r="J149" s="12" t="s">
        <v>592</v>
      </c>
      <c r="K149" s="12" t="s">
        <v>771</v>
      </c>
      <c r="L149" s="12" t="s">
        <v>772</v>
      </c>
      <c r="M149" s="12" t="s">
        <v>773</v>
      </c>
    </row>
    <row r="150" spans="1:13" ht="52.8">
      <c r="A150" s="21" t="s">
        <v>436</v>
      </c>
      <c r="B150" s="21" t="s">
        <v>433</v>
      </c>
      <c r="C150" s="21" t="s">
        <v>406</v>
      </c>
      <c r="D150" s="21" t="s">
        <v>71</v>
      </c>
      <c r="E150" s="21" t="s">
        <v>432</v>
      </c>
      <c r="F150" s="12" t="s">
        <v>433</v>
      </c>
      <c r="G150" s="12" t="s">
        <v>434</v>
      </c>
      <c r="H150" s="12" t="s">
        <v>435</v>
      </c>
      <c r="I150" s="12" t="s">
        <v>470</v>
      </c>
      <c r="J150" s="12" t="s">
        <v>593</v>
      </c>
      <c r="K150" s="12" t="s">
        <v>774</v>
      </c>
      <c r="L150" s="12" t="s">
        <v>775</v>
      </c>
      <c r="M150" s="12" t="s">
        <v>776</v>
      </c>
    </row>
    <row r="151" spans="1:13" ht="52.8">
      <c r="A151" s="21" t="s">
        <v>436</v>
      </c>
      <c r="B151" s="21" t="s">
        <v>433</v>
      </c>
      <c r="C151" s="21" t="s">
        <v>406</v>
      </c>
      <c r="D151" s="21" t="s">
        <v>71</v>
      </c>
      <c r="E151" s="21" t="s">
        <v>432</v>
      </c>
      <c r="F151" s="12" t="s">
        <v>433</v>
      </c>
      <c r="G151" s="12" t="s">
        <v>434</v>
      </c>
      <c r="H151" s="12" t="s">
        <v>435</v>
      </c>
      <c r="I151" s="12" t="s">
        <v>471</v>
      </c>
      <c r="J151" s="12" t="s">
        <v>594</v>
      </c>
      <c r="K151" s="12" t="s">
        <v>777</v>
      </c>
      <c r="L151" s="12" t="s">
        <v>778</v>
      </c>
      <c r="M151" s="12" t="s">
        <v>779</v>
      </c>
    </row>
    <row r="152" spans="1:13" ht="52.8">
      <c r="A152" s="21" t="s">
        <v>436</v>
      </c>
      <c r="B152" s="21" t="s">
        <v>433</v>
      </c>
      <c r="C152" s="21" t="s">
        <v>406</v>
      </c>
      <c r="D152" s="21" t="s">
        <v>71</v>
      </c>
      <c r="E152" s="21" t="s">
        <v>432</v>
      </c>
      <c r="F152" s="12" t="s">
        <v>433</v>
      </c>
      <c r="G152" s="12" t="s">
        <v>434</v>
      </c>
      <c r="H152" s="12" t="s">
        <v>435</v>
      </c>
      <c r="I152" s="12" t="s">
        <v>472</v>
      </c>
      <c r="J152" s="12" t="s">
        <v>595</v>
      </c>
      <c r="K152" s="12" t="s">
        <v>780</v>
      </c>
      <c r="L152" s="12" t="s">
        <v>781</v>
      </c>
      <c r="M152" s="12" t="s">
        <v>782</v>
      </c>
    </row>
    <row r="153" spans="1:13" ht="52.8">
      <c r="A153" s="21" t="s">
        <v>436</v>
      </c>
      <c r="B153" s="21" t="s">
        <v>433</v>
      </c>
      <c r="C153" s="21" t="s">
        <v>406</v>
      </c>
      <c r="D153" s="21" t="s">
        <v>71</v>
      </c>
      <c r="E153" s="21" t="s">
        <v>432</v>
      </c>
      <c r="F153" s="12" t="s">
        <v>433</v>
      </c>
      <c r="G153" s="12" t="s">
        <v>434</v>
      </c>
      <c r="H153" s="12" t="s">
        <v>435</v>
      </c>
      <c r="I153" s="12" t="s">
        <v>473</v>
      </c>
      <c r="J153" s="12" t="s">
        <v>596</v>
      </c>
      <c r="K153" s="12" t="s">
        <v>783</v>
      </c>
      <c r="L153" s="12" t="s">
        <v>784</v>
      </c>
      <c r="M153" s="12" t="s">
        <v>785</v>
      </c>
    </row>
    <row r="154" spans="1:13" ht="52.8">
      <c r="A154" s="21" t="s">
        <v>436</v>
      </c>
      <c r="B154" s="21" t="s">
        <v>433</v>
      </c>
      <c r="C154" s="21" t="s">
        <v>406</v>
      </c>
      <c r="D154" s="21" t="s">
        <v>71</v>
      </c>
      <c r="E154" s="21" t="s">
        <v>432</v>
      </c>
      <c r="F154" s="12" t="s">
        <v>433</v>
      </c>
      <c r="G154" s="12" t="s">
        <v>434</v>
      </c>
      <c r="H154" s="12" t="s">
        <v>435</v>
      </c>
      <c r="I154" s="12" t="s">
        <v>474</v>
      </c>
      <c r="J154" s="12" t="s">
        <v>597</v>
      </c>
      <c r="K154" s="12" t="s">
        <v>786</v>
      </c>
      <c r="L154" s="12" t="s">
        <v>787</v>
      </c>
      <c r="M154" s="12" t="s">
        <v>788</v>
      </c>
    </row>
    <row r="155" spans="1:13" ht="66">
      <c r="A155" s="21" t="s">
        <v>436</v>
      </c>
      <c r="B155" s="21" t="s">
        <v>433</v>
      </c>
      <c r="C155" s="21" t="s">
        <v>406</v>
      </c>
      <c r="D155" s="21" t="s">
        <v>71</v>
      </c>
      <c r="E155" s="21" t="s">
        <v>432</v>
      </c>
      <c r="F155" s="12" t="s">
        <v>433</v>
      </c>
      <c r="G155" s="12" t="s">
        <v>434</v>
      </c>
      <c r="H155" s="12" t="s">
        <v>435</v>
      </c>
      <c r="I155" s="12" t="s">
        <v>475</v>
      </c>
      <c r="J155" s="12" t="s">
        <v>598</v>
      </c>
      <c r="K155" s="12" t="s">
        <v>789</v>
      </c>
      <c r="L155" s="12" t="s">
        <v>790</v>
      </c>
      <c r="M155" s="12" t="s">
        <v>791</v>
      </c>
    </row>
    <row r="156" spans="1:13" ht="52.8">
      <c r="A156" s="21" t="s">
        <v>436</v>
      </c>
      <c r="B156" s="21" t="s">
        <v>433</v>
      </c>
      <c r="C156" s="21" t="s">
        <v>406</v>
      </c>
      <c r="D156" s="21" t="s">
        <v>71</v>
      </c>
      <c r="E156" s="21" t="s">
        <v>432</v>
      </c>
      <c r="F156" s="12" t="s">
        <v>433</v>
      </c>
      <c r="G156" s="12" t="s">
        <v>434</v>
      </c>
      <c r="H156" s="12" t="s">
        <v>435</v>
      </c>
      <c r="I156" s="12" t="s">
        <v>476</v>
      </c>
      <c r="J156" s="12" t="s">
        <v>599</v>
      </c>
      <c r="K156" s="12" t="s">
        <v>792</v>
      </c>
      <c r="L156" s="12" t="s">
        <v>793</v>
      </c>
      <c r="M156" s="12" t="s">
        <v>794</v>
      </c>
    </row>
    <row r="157" spans="1:13" ht="52.8">
      <c r="A157" s="21" t="s">
        <v>436</v>
      </c>
      <c r="B157" s="21" t="s">
        <v>433</v>
      </c>
      <c r="C157" s="21" t="s">
        <v>406</v>
      </c>
      <c r="D157" s="21" t="s">
        <v>71</v>
      </c>
      <c r="E157" s="21" t="s">
        <v>432</v>
      </c>
      <c r="F157" s="12" t="s">
        <v>433</v>
      </c>
      <c r="G157" s="12" t="s">
        <v>434</v>
      </c>
      <c r="H157" s="12" t="s">
        <v>435</v>
      </c>
      <c r="I157" s="12" t="s">
        <v>477</v>
      </c>
      <c r="J157" s="12" t="s">
        <v>600</v>
      </c>
      <c r="K157" s="12" t="s">
        <v>795</v>
      </c>
      <c r="L157" s="12" t="s">
        <v>796</v>
      </c>
      <c r="M157" s="12" t="s">
        <v>795</v>
      </c>
    </row>
    <row r="158" spans="1:13" ht="52.8">
      <c r="A158" s="21" t="s">
        <v>436</v>
      </c>
      <c r="B158" s="21" t="s">
        <v>433</v>
      </c>
      <c r="C158" s="21" t="s">
        <v>406</v>
      </c>
      <c r="D158" s="21" t="s">
        <v>71</v>
      </c>
      <c r="E158" s="21" t="s">
        <v>432</v>
      </c>
      <c r="F158" s="12" t="s">
        <v>433</v>
      </c>
      <c r="G158" s="12" t="s">
        <v>434</v>
      </c>
      <c r="H158" s="12" t="s">
        <v>435</v>
      </c>
      <c r="I158" s="12" t="s">
        <v>478</v>
      </c>
      <c r="J158" s="12" t="s">
        <v>601</v>
      </c>
      <c r="K158" s="12" t="s">
        <v>797</v>
      </c>
      <c r="L158" s="12" t="s">
        <v>798</v>
      </c>
      <c r="M158" s="12" t="s">
        <v>799</v>
      </c>
    </row>
    <row r="159" spans="1:13" ht="52.8">
      <c r="A159" s="21" t="s">
        <v>436</v>
      </c>
      <c r="B159" s="21" t="s">
        <v>433</v>
      </c>
      <c r="C159" s="21" t="s">
        <v>406</v>
      </c>
      <c r="D159" s="21" t="s">
        <v>71</v>
      </c>
      <c r="E159" s="21" t="s">
        <v>432</v>
      </c>
      <c r="F159" s="12" t="s">
        <v>433</v>
      </c>
      <c r="G159" s="12" t="s">
        <v>434</v>
      </c>
      <c r="H159" s="12" t="s">
        <v>435</v>
      </c>
      <c r="I159" s="12" t="s">
        <v>479</v>
      </c>
      <c r="J159" s="12" t="s">
        <v>602</v>
      </c>
      <c r="K159" s="12" t="s">
        <v>800</v>
      </c>
      <c r="L159" s="12" t="s">
        <v>801</v>
      </c>
      <c r="M159" s="12" t="s">
        <v>800</v>
      </c>
    </row>
    <row r="160" spans="1:13" ht="52.8">
      <c r="A160" s="21" t="s">
        <v>436</v>
      </c>
      <c r="B160" s="21" t="s">
        <v>433</v>
      </c>
      <c r="C160" s="21" t="s">
        <v>406</v>
      </c>
      <c r="D160" s="21" t="s">
        <v>71</v>
      </c>
      <c r="E160" s="21" t="s">
        <v>432</v>
      </c>
      <c r="F160" s="12" t="s">
        <v>433</v>
      </c>
      <c r="G160" s="12" t="s">
        <v>434</v>
      </c>
      <c r="H160" s="12" t="s">
        <v>435</v>
      </c>
      <c r="I160" s="12" t="s">
        <v>480</v>
      </c>
      <c r="J160" s="12" t="s">
        <v>603</v>
      </c>
      <c r="K160" s="12" t="s">
        <v>802</v>
      </c>
      <c r="L160" s="12" t="s">
        <v>803</v>
      </c>
      <c r="M160" s="12" t="s">
        <v>804</v>
      </c>
    </row>
    <row r="161" spans="1:13" ht="52.8">
      <c r="A161" s="21" t="s">
        <v>436</v>
      </c>
      <c r="B161" s="21" t="s">
        <v>433</v>
      </c>
      <c r="C161" s="21" t="s">
        <v>406</v>
      </c>
      <c r="D161" s="21" t="s">
        <v>71</v>
      </c>
      <c r="E161" s="21" t="s">
        <v>432</v>
      </c>
      <c r="F161" s="12" t="s">
        <v>433</v>
      </c>
      <c r="G161" s="12" t="s">
        <v>434</v>
      </c>
      <c r="H161" s="12" t="s">
        <v>435</v>
      </c>
      <c r="I161" s="12" t="s">
        <v>481</v>
      </c>
      <c r="J161" s="12" t="s">
        <v>604</v>
      </c>
      <c r="K161" s="12" t="s">
        <v>805</v>
      </c>
      <c r="L161" s="12" t="s">
        <v>806</v>
      </c>
      <c r="M161" s="12" t="s">
        <v>807</v>
      </c>
    </row>
    <row r="162" spans="1:13" ht="52.8">
      <c r="A162" s="21" t="s">
        <v>436</v>
      </c>
      <c r="B162" s="21" t="s">
        <v>433</v>
      </c>
      <c r="C162" s="21" t="s">
        <v>406</v>
      </c>
      <c r="D162" s="21" t="s">
        <v>71</v>
      </c>
      <c r="E162" s="21" t="s">
        <v>432</v>
      </c>
      <c r="F162" s="12" t="s">
        <v>433</v>
      </c>
      <c r="G162" s="12" t="s">
        <v>434</v>
      </c>
      <c r="H162" s="12" t="s">
        <v>435</v>
      </c>
      <c r="I162" s="12" t="s">
        <v>482</v>
      </c>
      <c r="J162" s="12" t="s">
        <v>605</v>
      </c>
      <c r="K162" s="12" t="s">
        <v>808</v>
      </c>
      <c r="L162" s="12" t="s">
        <v>809</v>
      </c>
      <c r="M162" s="12" t="s">
        <v>808</v>
      </c>
    </row>
    <row r="163" spans="1:13" ht="52.8">
      <c r="A163" s="21" t="s">
        <v>436</v>
      </c>
      <c r="B163" s="21" t="s">
        <v>433</v>
      </c>
      <c r="C163" s="21" t="s">
        <v>406</v>
      </c>
      <c r="D163" s="21" t="s">
        <v>71</v>
      </c>
      <c r="E163" s="21" t="s">
        <v>432</v>
      </c>
      <c r="F163" s="12" t="s">
        <v>433</v>
      </c>
      <c r="G163" s="12" t="s">
        <v>434</v>
      </c>
      <c r="H163" s="12" t="s">
        <v>435</v>
      </c>
      <c r="I163" s="12" t="s">
        <v>483</v>
      </c>
      <c r="J163" s="12" t="s">
        <v>606</v>
      </c>
      <c r="K163" s="12" t="s">
        <v>810</v>
      </c>
      <c r="L163" s="12" t="s">
        <v>811</v>
      </c>
      <c r="M163" s="12" t="s">
        <v>812</v>
      </c>
    </row>
    <row r="164" spans="1:13" ht="52.8">
      <c r="A164" s="21" t="s">
        <v>436</v>
      </c>
      <c r="B164" s="21" t="s">
        <v>433</v>
      </c>
      <c r="C164" s="21" t="s">
        <v>406</v>
      </c>
      <c r="D164" s="21" t="s">
        <v>71</v>
      </c>
      <c r="E164" s="21" t="s">
        <v>432</v>
      </c>
      <c r="F164" s="12" t="s">
        <v>433</v>
      </c>
      <c r="G164" s="12" t="s">
        <v>434</v>
      </c>
      <c r="H164" s="12" t="s">
        <v>435</v>
      </c>
      <c r="I164" s="12" t="s">
        <v>484</v>
      </c>
      <c r="J164" s="12" t="s">
        <v>607</v>
      </c>
      <c r="K164" s="12" t="s">
        <v>813</v>
      </c>
      <c r="L164" s="12" t="s">
        <v>814</v>
      </c>
      <c r="M164" s="12" t="s">
        <v>813</v>
      </c>
    </row>
    <row r="165" spans="1:13" ht="52.8">
      <c r="A165" s="21" t="s">
        <v>436</v>
      </c>
      <c r="B165" s="21" t="s">
        <v>433</v>
      </c>
      <c r="C165" s="21" t="s">
        <v>406</v>
      </c>
      <c r="D165" s="21" t="s">
        <v>71</v>
      </c>
      <c r="E165" s="21" t="s">
        <v>432</v>
      </c>
      <c r="F165" s="12" t="s">
        <v>433</v>
      </c>
      <c r="G165" s="12" t="s">
        <v>434</v>
      </c>
      <c r="H165" s="12" t="s">
        <v>435</v>
      </c>
      <c r="I165" s="12" t="s">
        <v>485</v>
      </c>
      <c r="J165" s="12" t="s">
        <v>608</v>
      </c>
      <c r="K165" s="12" t="s">
        <v>815</v>
      </c>
      <c r="L165" s="12" t="s">
        <v>816</v>
      </c>
      <c r="M165" s="12" t="s">
        <v>815</v>
      </c>
    </row>
    <row r="166" spans="1:13" ht="52.8">
      <c r="A166" s="21" t="s">
        <v>436</v>
      </c>
      <c r="B166" s="21" t="s">
        <v>433</v>
      </c>
      <c r="C166" s="21" t="s">
        <v>406</v>
      </c>
      <c r="D166" s="21" t="s">
        <v>71</v>
      </c>
      <c r="E166" s="21" t="s">
        <v>432</v>
      </c>
      <c r="F166" s="12" t="s">
        <v>433</v>
      </c>
      <c r="G166" s="12" t="s">
        <v>434</v>
      </c>
      <c r="H166" s="12" t="s">
        <v>435</v>
      </c>
      <c r="I166" s="12" t="s">
        <v>486</v>
      </c>
      <c r="J166" s="12" t="s">
        <v>609</v>
      </c>
      <c r="K166" s="12" t="s">
        <v>817</v>
      </c>
      <c r="L166" s="12" t="s">
        <v>818</v>
      </c>
      <c r="M166" s="12" t="s">
        <v>819</v>
      </c>
    </row>
    <row r="167" spans="1:13" ht="52.8">
      <c r="A167" s="21" t="s">
        <v>436</v>
      </c>
      <c r="B167" s="21" t="s">
        <v>433</v>
      </c>
      <c r="C167" s="21" t="s">
        <v>406</v>
      </c>
      <c r="D167" s="21" t="s">
        <v>71</v>
      </c>
      <c r="E167" s="21" t="s">
        <v>432</v>
      </c>
      <c r="F167" s="12" t="s">
        <v>433</v>
      </c>
      <c r="G167" s="12" t="s">
        <v>434</v>
      </c>
      <c r="H167" s="12" t="s">
        <v>435</v>
      </c>
      <c r="I167" s="12" t="s">
        <v>487</v>
      </c>
      <c r="J167" s="12" t="s">
        <v>610</v>
      </c>
      <c r="K167" s="12" t="s">
        <v>820</v>
      </c>
      <c r="L167" s="12" t="s">
        <v>821</v>
      </c>
      <c r="M167" s="12" t="s">
        <v>820</v>
      </c>
    </row>
    <row r="168" spans="1:13" ht="79.2">
      <c r="A168" s="21" t="s">
        <v>436</v>
      </c>
      <c r="B168" s="21" t="s">
        <v>433</v>
      </c>
      <c r="C168" s="21" t="s">
        <v>406</v>
      </c>
      <c r="D168" s="21" t="s">
        <v>71</v>
      </c>
      <c r="E168" s="21" t="s">
        <v>432</v>
      </c>
      <c r="F168" s="12" t="s">
        <v>433</v>
      </c>
      <c r="G168" s="12" t="s">
        <v>434</v>
      </c>
      <c r="H168" s="12" t="s">
        <v>435</v>
      </c>
      <c r="I168" s="12" t="s">
        <v>488</v>
      </c>
      <c r="J168" s="12" t="s">
        <v>611</v>
      </c>
      <c r="K168" s="12" t="s">
        <v>822</v>
      </c>
      <c r="L168" s="12" t="s">
        <v>823</v>
      </c>
      <c r="M168" s="12" t="s">
        <v>824</v>
      </c>
    </row>
    <row r="169" spans="1:13" ht="52.8">
      <c r="A169" s="21" t="s">
        <v>436</v>
      </c>
      <c r="B169" s="21" t="s">
        <v>433</v>
      </c>
      <c r="C169" s="21" t="s">
        <v>406</v>
      </c>
      <c r="D169" s="21" t="s">
        <v>71</v>
      </c>
      <c r="E169" s="21" t="s">
        <v>432</v>
      </c>
      <c r="F169" s="12" t="s">
        <v>433</v>
      </c>
      <c r="G169" s="12" t="s">
        <v>434</v>
      </c>
      <c r="H169" s="12" t="s">
        <v>435</v>
      </c>
      <c r="I169" s="12" t="s">
        <v>489</v>
      </c>
      <c r="J169" s="12" t="s">
        <v>612</v>
      </c>
      <c r="K169" s="12" t="s">
        <v>825</v>
      </c>
      <c r="L169" s="12" t="s">
        <v>826</v>
      </c>
      <c r="M169" s="12" t="s">
        <v>825</v>
      </c>
    </row>
    <row r="170" spans="1:13" ht="52.8">
      <c r="A170" s="21" t="s">
        <v>436</v>
      </c>
      <c r="B170" s="21" t="s">
        <v>433</v>
      </c>
      <c r="C170" s="21" t="s">
        <v>406</v>
      </c>
      <c r="D170" s="21" t="s">
        <v>71</v>
      </c>
      <c r="E170" s="21" t="s">
        <v>432</v>
      </c>
      <c r="F170" s="12" t="s">
        <v>433</v>
      </c>
      <c r="G170" s="12" t="s">
        <v>434</v>
      </c>
      <c r="H170" s="12" t="s">
        <v>435</v>
      </c>
      <c r="I170" s="12" t="s">
        <v>490</v>
      </c>
      <c r="J170" s="12" t="s">
        <v>613</v>
      </c>
      <c r="K170" s="12" t="s">
        <v>827</v>
      </c>
      <c r="L170" s="12" t="s">
        <v>828</v>
      </c>
      <c r="M170" s="12" t="s">
        <v>827</v>
      </c>
    </row>
    <row r="171" spans="1:13" ht="52.8">
      <c r="A171" s="21" t="s">
        <v>436</v>
      </c>
      <c r="B171" s="21" t="s">
        <v>433</v>
      </c>
      <c r="C171" s="21" t="s">
        <v>406</v>
      </c>
      <c r="D171" s="21" t="s">
        <v>71</v>
      </c>
      <c r="E171" s="21" t="s">
        <v>432</v>
      </c>
      <c r="F171" s="12" t="s">
        <v>433</v>
      </c>
      <c r="G171" s="12" t="s">
        <v>434</v>
      </c>
      <c r="H171" s="12" t="s">
        <v>435</v>
      </c>
      <c r="I171" s="12" t="s">
        <v>491</v>
      </c>
      <c r="J171" s="12" t="s">
        <v>614</v>
      </c>
      <c r="K171" s="12" t="s">
        <v>829</v>
      </c>
      <c r="L171" s="12" t="s">
        <v>830</v>
      </c>
      <c r="M171" s="12" t="s">
        <v>829</v>
      </c>
    </row>
    <row r="172" spans="1:13" ht="52.8">
      <c r="A172" s="21" t="s">
        <v>436</v>
      </c>
      <c r="B172" s="21" t="s">
        <v>433</v>
      </c>
      <c r="C172" s="21" t="s">
        <v>406</v>
      </c>
      <c r="D172" s="21" t="s">
        <v>71</v>
      </c>
      <c r="E172" s="21" t="s">
        <v>432</v>
      </c>
      <c r="F172" s="12" t="s">
        <v>433</v>
      </c>
      <c r="G172" s="12" t="s">
        <v>434</v>
      </c>
      <c r="H172" s="12" t="s">
        <v>435</v>
      </c>
      <c r="I172" s="12" t="s">
        <v>492</v>
      </c>
      <c r="J172" s="12" t="s">
        <v>615</v>
      </c>
      <c r="K172" s="12" t="s">
        <v>831</v>
      </c>
      <c r="L172" s="12" t="s">
        <v>832</v>
      </c>
      <c r="M172" s="12" t="s">
        <v>831</v>
      </c>
    </row>
    <row r="173" spans="1:13" ht="52.8">
      <c r="A173" s="21" t="s">
        <v>436</v>
      </c>
      <c r="B173" s="21" t="s">
        <v>433</v>
      </c>
      <c r="C173" s="21" t="s">
        <v>406</v>
      </c>
      <c r="D173" s="21" t="s">
        <v>71</v>
      </c>
      <c r="E173" s="21" t="s">
        <v>432</v>
      </c>
      <c r="F173" s="12" t="s">
        <v>433</v>
      </c>
      <c r="G173" s="12" t="s">
        <v>434</v>
      </c>
      <c r="H173" s="12" t="s">
        <v>435</v>
      </c>
      <c r="I173" s="12" t="s">
        <v>493</v>
      </c>
      <c r="J173" s="12" t="s">
        <v>616</v>
      </c>
      <c r="K173" s="12" t="s">
        <v>833</v>
      </c>
      <c r="L173" s="12" t="s">
        <v>834</v>
      </c>
      <c r="M173" s="12" t="s">
        <v>833</v>
      </c>
    </row>
    <row r="174" spans="1:13" ht="52.8">
      <c r="A174" s="21" t="s">
        <v>436</v>
      </c>
      <c r="B174" s="21" t="s">
        <v>433</v>
      </c>
      <c r="C174" s="21" t="s">
        <v>406</v>
      </c>
      <c r="D174" s="21" t="s">
        <v>71</v>
      </c>
      <c r="E174" s="21" t="s">
        <v>432</v>
      </c>
      <c r="F174" s="12" t="s">
        <v>433</v>
      </c>
      <c r="G174" s="12" t="s">
        <v>434</v>
      </c>
      <c r="H174" s="12" t="s">
        <v>435</v>
      </c>
      <c r="I174" s="12" t="s">
        <v>494</v>
      </c>
      <c r="J174" s="12" t="s">
        <v>617</v>
      </c>
      <c r="K174" s="12" t="s">
        <v>835</v>
      </c>
      <c r="L174" s="12" t="s">
        <v>836</v>
      </c>
      <c r="M174" s="12" t="s">
        <v>837</v>
      </c>
    </row>
    <row r="175" spans="1:13" ht="52.8">
      <c r="A175" s="21" t="s">
        <v>436</v>
      </c>
      <c r="B175" s="21" t="s">
        <v>433</v>
      </c>
      <c r="C175" s="21" t="s">
        <v>406</v>
      </c>
      <c r="D175" s="21" t="s">
        <v>71</v>
      </c>
      <c r="E175" s="21" t="s">
        <v>432</v>
      </c>
      <c r="F175" s="12" t="s">
        <v>433</v>
      </c>
      <c r="G175" s="12" t="s">
        <v>434</v>
      </c>
      <c r="H175" s="12" t="s">
        <v>435</v>
      </c>
      <c r="I175" s="12" t="s">
        <v>495</v>
      </c>
      <c r="J175" s="12" t="s">
        <v>618</v>
      </c>
      <c r="K175" s="12" t="s">
        <v>838</v>
      </c>
      <c r="L175" s="12" t="s">
        <v>839</v>
      </c>
      <c r="M175" s="12" t="s">
        <v>838</v>
      </c>
    </row>
    <row r="176" spans="1:13" ht="52.8">
      <c r="A176" s="21" t="s">
        <v>436</v>
      </c>
      <c r="B176" s="21" t="s">
        <v>433</v>
      </c>
      <c r="C176" s="21" t="s">
        <v>406</v>
      </c>
      <c r="D176" s="21" t="s">
        <v>71</v>
      </c>
      <c r="E176" s="21" t="s">
        <v>432</v>
      </c>
      <c r="F176" s="12" t="s">
        <v>433</v>
      </c>
      <c r="G176" s="12" t="s">
        <v>434</v>
      </c>
      <c r="H176" s="12" t="s">
        <v>435</v>
      </c>
      <c r="I176" s="12" t="s">
        <v>496</v>
      </c>
      <c r="J176" s="12" t="s">
        <v>619</v>
      </c>
      <c r="K176" s="12" t="s">
        <v>840</v>
      </c>
      <c r="L176" s="12" t="s">
        <v>841</v>
      </c>
      <c r="M176" s="12" t="s">
        <v>842</v>
      </c>
    </row>
    <row r="177" spans="1:13" ht="52.8">
      <c r="A177" s="21" t="s">
        <v>436</v>
      </c>
      <c r="B177" s="21" t="s">
        <v>433</v>
      </c>
      <c r="C177" s="21" t="s">
        <v>406</v>
      </c>
      <c r="D177" s="21" t="s">
        <v>71</v>
      </c>
      <c r="E177" s="21" t="s">
        <v>432</v>
      </c>
      <c r="F177" s="12" t="s">
        <v>433</v>
      </c>
      <c r="G177" s="12" t="s">
        <v>434</v>
      </c>
      <c r="H177" s="12" t="s">
        <v>435</v>
      </c>
      <c r="I177" s="12" t="s">
        <v>497</v>
      </c>
      <c r="J177" s="12" t="s">
        <v>620</v>
      </c>
      <c r="K177" s="12" t="s">
        <v>843</v>
      </c>
      <c r="L177" s="12" t="s">
        <v>844</v>
      </c>
      <c r="M177" s="12" t="s">
        <v>845</v>
      </c>
    </row>
    <row r="178" spans="1:13" ht="52.8">
      <c r="A178" s="21" t="s">
        <v>436</v>
      </c>
      <c r="B178" s="21" t="s">
        <v>433</v>
      </c>
      <c r="C178" s="21" t="s">
        <v>406</v>
      </c>
      <c r="D178" s="21" t="s">
        <v>71</v>
      </c>
      <c r="E178" s="21" t="s">
        <v>432</v>
      </c>
      <c r="F178" s="12" t="s">
        <v>433</v>
      </c>
      <c r="G178" s="12" t="s">
        <v>434</v>
      </c>
      <c r="H178" s="12" t="s">
        <v>435</v>
      </c>
      <c r="I178" s="12" t="s">
        <v>498</v>
      </c>
      <c r="J178" s="12" t="s">
        <v>621</v>
      </c>
      <c r="K178" s="12" t="s">
        <v>846</v>
      </c>
      <c r="L178" s="12" t="s">
        <v>847</v>
      </c>
      <c r="M178" s="12" t="s">
        <v>846</v>
      </c>
    </row>
    <row r="179" spans="1:13" ht="52.8">
      <c r="A179" s="21" t="s">
        <v>436</v>
      </c>
      <c r="B179" s="21" t="s">
        <v>433</v>
      </c>
      <c r="C179" s="21" t="s">
        <v>406</v>
      </c>
      <c r="D179" s="21" t="s">
        <v>71</v>
      </c>
      <c r="E179" s="21" t="s">
        <v>432</v>
      </c>
      <c r="F179" s="12" t="s">
        <v>433</v>
      </c>
      <c r="G179" s="12" t="s">
        <v>434</v>
      </c>
      <c r="H179" s="12" t="s">
        <v>435</v>
      </c>
      <c r="I179" s="12" t="s">
        <v>499</v>
      </c>
      <c r="J179" s="12" t="s">
        <v>622</v>
      </c>
      <c r="K179" s="12" t="s">
        <v>848</v>
      </c>
      <c r="L179" s="12" t="s">
        <v>849</v>
      </c>
      <c r="M179" s="12" t="s">
        <v>850</v>
      </c>
    </row>
    <row r="180" spans="1:13" ht="52.8">
      <c r="A180" s="21" t="s">
        <v>436</v>
      </c>
      <c r="B180" s="21" t="s">
        <v>433</v>
      </c>
      <c r="C180" s="21" t="s">
        <v>406</v>
      </c>
      <c r="D180" s="21" t="s">
        <v>71</v>
      </c>
      <c r="E180" s="21" t="s">
        <v>432</v>
      </c>
      <c r="F180" s="12" t="s">
        <v>433</v>
      </c>
      <c r="G180" s="12" t="s">
        <v>434</v>
      </c>
      <c r="H180" s="12" t="s">
        <v>435</v>
      </c>
      <c r="I180" s="12" t="s">
        <v>500</v>
      </c>
      <c r="J180" s="12" t="s">
        <v>623</v>
      </c>
      <c r="K180" s="12" t="s">
        <v>851</v>
      </c>
      <c r="L180" s="12" t="s">
        <v>852</v>
      </c>
      <c r="M180" s="12" t="s">
        <v>853</v>
      </c>
    </row>
    <row r="181" spans="1:13" ht="52.8">
      <c r="A181" s="21" t="s">
        <v>436</v>
      </c>
      <c r="B181" s="21" t="s">
        <v>433</v>
      </c>
      <c r="C181" s="21" t="s">
        <v>406</v>
      </c>
      <c r="D181" s="21" t="s">
        <v>71</v>
      </c>
      <c r="E181" s="21" t="s">
        <v>432</v>
      </c>
      <c r="F181" s="12" t="s">
        <v>433</v>
      </c>
      <c r="G181" s="12" t="s">
        <v>434</v>
      </c>
      <c r="H181" s="12" t="s">
        <v>435</v>
      </c>
      <c r="I181" s="12" t="s">
        <v>501</v>
      </c>
      <c r="J181" s="12" t="s">
        <v>624</v>
      </c>
      <c r="K181" s="12" t="s">
        <v>854</v>
      </c>
      <c r="L181" s="12" t="s">
        <v>855</v>
      </c>
      <c r="M181" s="12" t="s">
        <v>854</v>
      </c>
    </row>
    <row r="182" spans="1:13" ht="52.8">
      <c r="A182" s="21" t="s">
        <v>436</v>
      </c>
      <c r="B182" s="21" t="s">
        <v>433</v>
      </c>
      <c r="C182" s="21" t="s">
        <v>406</v>
      </c>
      <c r="D182" s="21" t="s">
        <v>71</v>
      </c>
      <c r="E182" s="21" t="s">
        <v>432</v>
      </c>
      <c r="F182" s="12" t="s">
        <v>433</v>
      </c>
      <c r="G182" s="12" t="s">
        <v>434</v>
      </c>
      <c r="H182" s="12" t="s">
        <v>435</v>
      </c>
      <c r="I182" s="12" t="s">
        <v>502</v>
      </c>
      <c r="J182" s="12" t="s">
        <v>625</v>
      </c>
      <c r="K182" s="12" t="s">
        <v>856</v>
      </c>
      <c r="L182" s="12" t="s">
        <v>857</v>
      </c>
      <c r="M182" s="12" t="s">
        <v>858</v>
      </c>
    </row>
    <row r="183" spans="1:13" ht="52.8">
      <c r="A183" s="21" t="s">
        <v>436</v>
      </c>
      <c r="B183" s="21" t="s">
        <v>433</v>
      </c>
      <c r="C183" s="21" t="s">
        <v>406</v>
      </c>
      <c r="D183" s="21" t="s">
        <v>71</v>
      </c>
      <c r="E183" s="21" t="s">
        <v>432</v>
      </c>
      <c r="F183" s="12" t="s">
        <v>433</v>
      </c>
      <c r="G183" s="12" t="s">
        <v>434</v>
      </c>
      <c r="H183" s="12" t="s">
        <v>435</v>
      </c>
      <c r="I183" s="12" t="s">
        <v>503</v>
      </c>
      <c r="J183" s="12" t="s">
        <v>626</v>
      </c>
      <c r="K183" s="12" t="s">
        <v>859</v>
      </c>
      <c r="L183" s="12" t="s">
        <v>860</v>
      </c>
      <c r="M183" s="12" t="s">
        <v>861</v>
      </c>
    </row>
    <row r="184" spans="1:13" ht="52.8">
      <c r="A184" s="21" t="s">
        <v>436</v>
      </c>
      <c r="B184" s="21" t="s">
        <v>433</v>
      </c>
      <c r="C184" s="21" t="s">
        <v>406</v>
      </c>
      <c r="D184" s="21" t="s">
        <v>71</v>
      </c>
      <c r="E184" s="21" t="s">
        <v>432</v>
      </c>
      <c r="F184" s="12" t="s">
        <v>433</v>
      </c>
      <c r="G184" s="12" t="s">
        <v>434</v>
      </c>
      <c r="H184" s="12" t="s">
        <v>435</v>
      </c>
      <c r="I184" s="12" t="s">
        <v>504</v>
      </c>
      <c r="J184" s="12" t="s">
        <v>627</v>
      </c>
      <c r="K184" s="12" t="s">
        <v>862</v>
      </c>
      <c r="L184" s="12" t="s">
        <v>863</v>
      </c>
      <c r="M184" s="12" t="s">
        <v>862</v>
      </c>
    </row>
    <row r="185" spans="1:13" ht="52.8">
      <c r="A185" s="21" t="s">
        <v>436</v>
      </c>
      <c r="B185" s="21" t="s">
        <v>433</v>
      </c>
      <c r="C185" s="21" t="s">
        <v>406</v>
      </c>
      <c r="D185" s="21" t="s">
        <v>71</v>
      </c>
      <c r="E185" s="21" t="s">
        <v>432</v>
      </c>
      <c r="F185" s="12" t="s">
        <v>433</v>
      </c>
      <c r="G185" s="12" t="s">
        <v>434</v>
      </c>
      <c r="H185" s="12" t="s">
        <v>435</v>
      </c>
      <c r="I185" s="12" t="s">
        <v>505</v>
      </c>
      <c r="J185" s="12" t="s">
        <v>628</v>
      </c>
      <c r="K185" s="12" t="s">
        <v>864</v>
      </c>
      <c r="L185" s="12" t="s">
        <v>865</v>
      </c>
      <c r="M185" s="12" t="s">
        <v>866</v>
      </c>
    </row>
    <row r="186" spans="1:13" ht="52.8">
      <c r="A186" s="21" t="s">
        <v>436</v>
      </c>
      <c r="B186" s="21" t="s">
        <v>433</v>
      </c>
      <c r="C186" s="21" t="s">
        <v>406</v>
      </c>
      <c r="D186" s="21" t="s">
        <v>71</v>
      </c>
      <c r="E186" s="21" t="s">
        <v>432</v>
      </c>
      <c r="F186" s="12" t="s">
        <v>433</v>
      </c>
      <c r="G186" s="12" t="s">
        <v>434</v>
      </c>
      <c r="H186" s="12" t="s">
        <v>435</v>
      </c>
      <c r="I186" s="12" t="s">
        <v>506</v>
      </c>
      <c r="J186" s="12" t="s">
        <v>629</v>
      </c>
      <c r="K186" s="12" t="s">
        <v>867</v>
      </c>
      <c r="L186" s="12" t="s">
        <v>868</v>
      </c>
      <c r="M186" s="12" t="s">
        <v>867</v>
      </c>
    </row>
    <row r="187" spans="1:13" ht="66">
      <c r="A187" s="21" t="s">
        <v>436</v>
      </c>
      <c r="B187" s="21" t="s">
        <v>433</v>
      </c>
      <c r="C187" s="21" t="s">
        <v>406</v>
      </c>
      <c r="D187" s="21" t="s">
        <v>71</v>
      </c>
      <c r="E187" s="21" t="s">
        <v>432</v>
      </c>
      <c r="F187" s="12" t="s">
        <v>433</v>
      </c>
      <c r="G187" s="12" t="s">
        <v>434</v>
      </c>
      <c r="H187" s="12" t="s">
        <v>435</v>
      </c>
      <c r="I187" s="12" t="s">
        <v>507</v>
      </c>
      <c r="J187" s="12" t="s">
        <v>630</v>
      </c>
      <c r="K187" s="12" t="s">
        <v>869</v>
      </c>
      <c r="L187" s="12" t="s">
        <v>870</v>
      </c>
      <c r="M187" s="12" t="s">
        <v>869</v>
      </c>
    </row>
    <row r="188" spans="1:13" ht="52.8">
      <c r="A188" s="21" t="s">
        <v>436</v>
      </c>
      <c r="B188" s="21" t="s">
        <v>433</v>
      </c>
      <c r="C188" s="21" t="s">
        <v>406</v>
      </c>
      <c r="D188" s="21" t="s">
        <v>71</v>
      </c>
      <c r="E188" s="21" t="s">
        <v>432</v>
      </c>
      <c r="F188" s="12" t="s">
        <v>433</v>
      </c>
      <c r="G188" s="12" t="s">
        <v>434</v>
      </c>
      <c r="H188" s="12" t="s">
        <v>435</v>
      </c>
      <c r="I188" s="12" t="s">
        <v>508</v>
      </c>
      <c r="J188" s="12" t="s">
        <v>631</v>
      </c>
      <c r="K188" s="12" t="s">
        <v>871</v>
      </c>
      <c r="L188" s="12" t="s">
        <v>872</v>
      </c>
      <c r="M188" s="12" t="s">
        <v>871</v>
      </c>
    </row>
    <row r="189" spans="1:13" ht="66">
      <c r="A189" s="21" t="s">
        <v>436</v>
      </c>
      <c r="B189" s="21" t="s">
        <v>433</v>
      </c>
      <c r="C189" s="21" t="s">
        <v>406</v>
      </c>
      <c r="D189" s="21" t="s">
        <v>71</v>
      </c>
      <c r="E189" s="21" t="s">
        <v>432</v>
      </c>
      <c r="F189" s="12" t="s">
        <v>433</v>
      </c>
      <c r="G189" s="12" t="s">
        <v>434</v>
      </c>
      <c r="H189" s="12" t="s">
        <v>435</v>
      </c>
      <c r="I189" s="12" t="s">
        <v>509</v>
      </c>
      <c r="J189" s="12" t="s">
        <v>632</v>
      </c>
      <c r="K189" s="12" t="s">
        <v>873</v>
      </c>
      <c r="L189" s="12" t="s">
        <v>874</v>
      </c>
      <c r="M189" s="12" t="s">
        <v>873</v>
      </c>
    </row>
    <row r="190" spans="1:13" ht="52.8">
      <c r="A190" s="21" t="s">
        <v>436</v>
      </c>
      <c r="B190" s="21" t="s">
        <v>433</v>
      </c>
      <c r="C190" s="21" t="s">
        <v>406</v>
      </c>
      <c r="D190" s="21" t="s">
        <v>71</v>
      </c>
      <c r="E190" s="21" t="s">
        <v>432</v>
      </c>
      <c r="F190" s="12" t="s">
        <v>433</v>
      </c>
      <c r="G190" s="12" t="s">
        <v>434</v>
      </c>
      <c r="H190" s="12" t="s">
        <v>435</v>
      </c>
      <c r="I190" s="12" t="s">
        <v>510</v>
      </c>
      <c r="J190" s="12" t="s">
        <v>633</v>
      </c>
      <c r="K190" s="12" t="s">
        <v>875</v>
      </c>
      <c r="L190" s="12" t="s">
        <v>876</v>
      </c>
      <c r="M190" s="12" t="s">
        <v>877</v>
      </c>
    </row>
    <row r="191" spans="1:13" ht="52.8">
      <c r="A191" s="21" t="s">
        <v>436</v>
      </c>
      <c r="B191" s="21" t="s">
        <v>433</v>
      </c>
      <c r="C191" s="21" t="s">
        <v>406</v>
      </c>
      <c r="D191" s="21" t="s">
        <v>71</v>
      </c>
      <c r="E191" s="21" t="s">
        <v>432</v>
      </c>
      <c r="F191" s="12" t="s">
        <v>433</v>
      </c>
      <c r="G191" s="12" t="s">
        <v>434</v>
      </c>
      <c r="H191" s="12" t="s">
        <v>435</v>
      </c>
      <c r="I191" s="12" t="s">
        <v>511</v>
      </c>
      <c r="J191" s="12" t="s">
        <v>634</v>
      </c>
      <c r="K191" s="12" t="s">
        <v>878</v>
      </c>
      <c r="L191" s="12" t="s">
        <v>879</v>
      </c>
      <c r="M191" s="12" t="s">
        <v>880</v>
      </c>
    </row>
    <row r="192" spans="1:13" ht="52.8">
      <c r="A192" s="21" t="s">
        <v>436</v>
      </c>
      <c r="B192" s="21" t="s">
        <v>433</v>
      </c>
      <c r="C192" s="21" t="s">
        <v>406</v>
      </c>
      <c r="D192" s="21" t="s">
        <v>71</v>
      </c>
      <c r="E192" s="21" t="s">
        <v>432</v>
      </c>
      <c r="F192" s="12" t="s">
        <v>433</v>
      </c>
      <c r="G192" s="12" t="s">
        <v>434</v>
      </c>
      <c r="H192" s="12" t="s">
        <v>435</v>
      </c>
      <c r="I192" s="12" t="s">
        <v>512</v>
      </c>
      <c r="J192" s="12" t="s">
        <v>635</v>
      </c>
      <c r="K192" s="12" t="s">
        <v>881</v>
      </c>
      <c r="L192" s="12" t="s">
        <v>882</v>
      </c>
      <c r="M192" s="12" t="s">
        <v>881</v>
      </c>
    </row>
    <row r="193" spans="1:13" ht="52.8">
      <c r="A193" s="21" t="s">
        <v>436</v>
      </c>
      <c r="B193" s="21" t="s">
        <v>433</v>
      </c>
      <c r="C193" s="21" t="s">
        <v>406</v>
      </c>
      <c r="D193" s="21" t="s">
        <v>71</v>
      </c>
      <c r="E193" s="21" t="s">
        <v>432</v>
      </c>
      <c r="F193" s="12" t="s">
        <v>433</v>
      </c>
      <c r="G193" s="12" t="s">
        <v>434</v>
      </c>
      <c r="H193" s="12" t="s">
        <v>435</v>
      </c>
      <c r="I193" s="12" t="s">
        <v>513</v>
      </c>
      <c r="J193" s="12" t="s">
        <v>636</v>
      </c>
      <c r="K193" s="12" t="s">
        <v>883</v>
      </c>
      <c r="L193" s="12" t="s">
        <v>884</v>
      </c>
      <c r="M193" s="12" t="s">
        <v>883</v>
      </c>
    </row>
    <row r="194" spans="1:13" ht="52.8">
      <c r="A194" s="21" t="s">
        <v>436</v>
      </c>
      <c r="B194" s="21" t="s">
        <v>433</v>
      </c>
      <c r="C194" s="21" t="s">
        <v>406</v>
      </c>
      <c r="D194" s="21" t="s">
        <v>71</v>
      </c>
      <c r="E194" s="21" t="s">
        <v>432</v>
      </c>
      <c r="F194" s="12" t="s">
        <v>433</v>
      </c>
      <c r="G194" s="12" t="s">
        <v>434</v>
      </c>
      <c r="H194" s="12" t="s">
        <v>435</v>
      </c>
      <c r="I194" s="12" t="s">
        <v>514</v>
      </c>
      <c r="J194" s="12" t="s">
        <v>637</v>
      </c>
      <c r="K194" s="12" t="s">
        <v>885</v>
      </c>
      <c r="L194" s="12" t="s">
        <v>886</v>
      </c>
      <c r="M194" s="12" t="s">
        <v>885</v>
      </c>
    </row>
    <row r="195" spans="1:13" ht="92.4">
      <c r="A195" s="21" t="s">
        <v>436</v>
      </c>
      <c r="B195" s="21" t="s">
        <v>433</v>
      </c>
      <c r="C195" s="21" t="s">
        <v>406</v>
      </c>
      <c r="D195" s="21" t="s">
        <v>71</v>
      </c>
      <c r="E195" s="21" t="s">
        <v>432</v>
      </c>
      <c r="F195" s="12" t="s">
        <v>433</v>
      </c>
      <c r="G195" s="12" t="s">
        <v>434</v>
      </c>
      <c r="H195" s="12" t="s">
        <v>435</v>
      </c>
      <c r="I195" s="12" t="s">
        <v>515</v>
      </c>
      <c r="J195" s="12" t="s">
        <v>638</v>
      </c>
      <c r="K195" s="12" t="s">
        <v>887</v>
      </c>
      <c r="L195" s="12" t="s">
        <v>888</v>
      </c>
      <c r="M195" s="12" t="s">
        <v>889</v>
      </c>
    </row>
    <row r="196" spans="1:13" ht="52.8">
      <c r="A196" s="21" t="s">
        <v>436</v>
      </c>
      <c r="B196" s="21" t="s">
        <v>433</v>
      </c>
      <c r="C196" s="21" t="s">
        <v>406</v>
      </c>
      <c r="D196" s="21" t="s">
        <v>71</v>
      </c>
      <c r="E196" s="21" t="s">
        <v>432</v>
      </c>
      <c r="F196" s="12" t="s">
        <v>433</v>
      </c>
      <c r="G196" s="12" t="s">
        <v>434</v>
      </c>
      <c r="H196" s="12" t="s">
        <v>435</v>
      </c>
      <c r="I196" s="12" t="s">
        <v>516</v>
      </c>
      <c r="J196" s="12" t="s">
        <v>639</v>
      </c>
      <c r="K196" s="12" t="s">
        <v>890</v>
      </c>
      <c r="L196" s="12" t="s">
        <v>891</v>
      </c>
      <c r="M196" s="12" t="s">
        <v>890</v>
      </c>
    </row>
    <row r="197" spans="1:13" ht="52.8">
      <c r="A197" s="21" t="s">
        <v>436</v>
      </c>
      <c r="B197" s="21" t="s">
        <v>433</v>
      </c>
      <c r="C197" s="21" t="s">
        <v>406</v>
      </c>
      <c r="D197" s="21" t="s">
        <v>71</v>
      </c>
      <c r="E197" s="21" t="s">
        <v>432</v>
      </c>
      <c r="F197" s="12" t="s">
        <v>433</v>
      </c>
      <c r="G197" s="12" t="s">
        <v>434</v>
      </c>
      <c r="H197" s="12" t="s">
        <v>435</v>
      </c>
      <c r="I197" s="12" t="s">
        <v>517</v>
      </c>
      <c r="J197" s="12" t="s">
        <v>640</v>
      </c>
      <c r="K197" s="12" t="s">
        <v>892</v>
      </c>
      <c r="L197" s="12" t="s">
        <v>893</v>
      </c>
      <c r="M197" s="12" t="s">
        <v>892</v>
      </c>
    </row>
    <row r="198" spans="1:13" ht="52.8">
      <c r="A198" s="21" t="s">
        <v>436</v>
      </c>
      <c r="B198" s="21" t="s">
        <v>433</v>
      </c>
      <c r="C198" s="21" t="s">
        <v>406</v>
      </c>
      <c r="D198" s="21" t="s">
        <v>71</v>
      </c>
      <c r="E198" s="21" t="s">
        <v>432</v>
      </c>
      <c r="F198" s="12" t="s">
        <v>433</v>
      </c>
      <c r="G198" s="12" t="s">
        <v>434</v>
      </c>
      <c r="H198" s="12" t="s">
        <v>435</v>
      </c>
      <c r="I198" s="12" t="s">
        <v>518</v>
      </c>
      <c r="J198" s="12" t="s">
        <v>641</v>
      </c>
      <c r="K198" s="12" t="s">
        <v>894</v>
      </c>
      <c r="L198" s="12" t="s">
        <v>895</v>
      </c>
      <c r="M198" s="12" t="s">
        <v>894</v>
      </c>
    </row>
    <row r="199" spans="1:13" ht="52.8">
      <c r="A199" s="21" t="s">
        <v>436</v>
      </c>
      <c r="B199" s="21" t="s">
        <v>433</v>
      </c>
      <c r="C199" s="21" t="s">
        <v>406</v>
      </c>
      <c r="D199" s="21" t="s">
        <v>71</v>
      </c>
      <c r="E199" s="21" t="s">
        <v>432</v>
      </c>
      <c r="F199" s="12" t="s">
        <v>433</v>
      </c>
      <c r="G199" s="12" t="s">
        <v>434</v>
      </c>
      <c r="H199" s="12" t="s">
        <v>435</v>
      </c>
      <c r="I199" s="12" t="s">
        <v>519</v>
      </c>
      <c r="J199" s="12" t="s">
        <v>642</v>
      </c>
      <c r="K199" s="12" t="s">
        <v>896</v>
      </c>
      <c r="L199" s="12" t="s">
        <v>897</v>
      </c>
      <c r="M199" s="12" t="s">
        <v>898</v>
      </c>
    </row>
    <row r="200" spans="1:13" ht="105.6">
      <c r="A200" s="21" t="s">
        <v>436</v>
      </c>
      <c r="B200" s="21" t="s">
        <v>433</v>
      </c>
      <c r="C200" s="21" t="s">
        <v>406</v>
      </c>
      <c r="D200" s="21" t="s">
        <v>71</v>
      </c>
      <c r="E200" s="21" t="s">
        <v>432</v>
      </c>
      <c r="F200" s="12" t="s">
        <v>433</v>
      </c>
      <c r="G200" s="12" t="s">
        <v>434</v>
      </c>
      <c r="H200" s="12" t="s">
        <v>435</v>
      </c>
      <c r="I200" s="12" t="s">
        <v>520</v>
      </c>
      <c r="J200" s="12" t="s">
        <v>643</v>
      </c>
      <c r="K200" s="12" t="s">
        <v>899</v>
      </c>
      <c r="L200" s="12" t="s">
        <v>900</v>
      </c>
      <c r="M200" s="12" t="s">
        <v>901</v>
      </c>
    </row>
    <row r="201" spans="1:13" ht="52.8">
      <c r="A201" s="21" t="s">
        <v>436</v>
      </c>
      <c r="B201" s="21" t="s">
        <v>433</v>
      </c>
      <c r="C201" s="21" t="s">
        <v>406</v>
      </c>
      <c r="D201" s="21" t="s">
        <v>71</v>
      </c>
      <c r="E201" s="21" t="s">
        <v>432</v>
      </c>
      <c r="F201" s="12" t="s">
        <v>433</v>
      </c>
      <c r="G201" s="12" t="s">
        <v>434</v>
      </c>
      <c r="H201" s="12" t="s">
        <v>435</v>
      </c>
      <c r="I201" s="12" t="s">
        <v>521</v>
      </c>
      <c r="J201" s="12" t="s">
        <v>644</v>
      </c>
      <c r="K201" s="12" t="s">
        <v>902</v>
      </c>
      <c r="L201" s="12" t="s">
        <v>903</v>
      </c>
      <c r="M201" s="12" t="s">
        <v>902</v>
      </c>
    </row>
    <row r="202" spans="1:13" ht="52.8">
      <c r="A202" s="21" t="s">
        <v>436</v>
      </c>
      <c r="B202" s="21" t="s">
        <v>433</v>
      </c>
      <c r="C202" s="21" t="s">
        <v>406</v>
      </c>
      <c r="D202" s="21" t="s">
        <v>71</v>
      </c>
      <c r="E202" s="21" t="s">
        <v>432</v>
      </c>
      <c r="F202" s="12" t="s">
        <v>433</v>
      </c>
      <c r="G202" s="12" t="s">
        <v>434</v>
      </c>
      <c r="H202" s="12" t="s">
        <v>435</v>
      </c>
      <c r="I202" s="12" t="s">
        <v>522</v>
      </c>
      <c r="J202" s="12" t="s">
        <v>645</v>
      </c>
      <c r="K202" s="12" t="s">
        <v>904</v>
      </c>
      <c r="L202" s="12" t="s">
        <v>905</v>
      </c>
      <c r="M202" s="12" t="s">
        <v>904</v>
      </c>
    </row>
    <row r="203" spans="1:13" ht="52.8">
      <c r="A203" s="21" t="s">
        <v>436</v>
      </c>
      <c r="B203" s="21" t="s">
        <v>433</v>
      </c>
      <c r="C203" s="21" t="s">
        <v>406</v>
      </c>
      <c r="D203" s="21" t="s">
        <v>71</v>
      </c>
      <c r="E203" s="21" t="s">
        <v>432</v>
      </c>
      <c r="F203" s="12" t="s">
        <v>433</v>
      </c>
      <c r="G203" s="12" t="s">
        <v>434</v>
      </c>
      <c r="H203" s="12" t="s">
        <v>435</v>
      </c>
      <c r="I203" s="12" t="s">
        <v>523</v>
      </c>
      <c r="J203" s="12" t="s">
        <v>646</v>
      </c>
      <c r="K203" s="12" t="s">
        <v>906</v>
      </c>
      <c r="L203" s="12" t="s">
        <v>907</v>
      </c>
      <c r="M203" s="12" t="s">
        <v>908</v>
      </c>
    </row>
    <row r="204" spans="1:13" ht="52.8">
      <c r="A204" s="21" t="s">
        <v>436</v>
      </c>
      <c r="B204" s="21" t="s">
        <v>433</v>
      </c>
      <c r="C204" s="21" t="s">
        <v>406</v>
      </c>
      <c r="D204" s="21" t="s">
        <v>71</v>
      </c>
      <c r="E204" s="21" t="s">
        <v>432</v>
      </c>
      <c r="F204" s="12" t="s">
        <v>433</v>
      </c>
      <c r="G204" s="12" t="s">
        <v>434</v>
      </c>
      <c r="H204" s="12" t="s">
        <v>435</v>
      </c>
      <c r="I204" s="12" t="s">
        <v>524</v>
      </c>
      <c r="J204" s="12" t="s">
        <v>647</v>
      </c>
      <c r="K204" s="12" t="s">
        <v>909</v>
      </c>
      <c r="L204" s="12" t="s">
        <v>910</v>
      </c>
      <c r="M204" s="12" t="s">
        <v>909</v>
      </c>
    </row>
    <row r="205" spans="1:13" ht="52.8">
      <c r="A205" s="21" t="s">
        <v>436</v>
      </c>
      <c r="B205" s="21" t="s">
        <v>433</v>
      </c>
      <c r="C205" s="21" t="s">
        <v>406</v>
      </c>
      <c r="D205" s="21" t="s">
        <v>71</v>
      </c>
      <c r="E205" s="21" t="s">
        <v>432</v>
      </c>
      <c r="F205" s="12" t="s">
        <v>433</v>
      </c>
      <c r="G205" s="12" t="s">
        <v>434</v>
      </c>
      <c r="H205" s="12" t="s">
        <v>435</v>
      </c>
      <c r="I205" s="12" t="s">
        <v>525</v>
      </c>
      <c r="J205" s="12" t="s">
        <v>648</v>
      </c>
      <c r="K205" s="12" t="s">
        <v>911</v>
      </c>
      <c r="L205" s="12" t="s">
        <v>912</v>
      </c>
      <c r="M205" s="12" t="s">
        <v>911</v>
      </c>
    </row>
    <row r="206" spans="1:13" ht="52.8">
      <c r="A206" s="21" t="s">
        <v>436</v>
      </c>
      <c r="B206" s="21" t="s">
        <v>433</v>
      </c>
      <c r="C206" s="21" t="s">
        <v>406</v>
      </c>
      <c r="D206" s="21" t="s">
        <v>71</v>
      </c>
      <c r="E206" s="21" t="s">
        <v>432</v>
      </c>
      <c r="F206" s="12" t="s">
        <v>433</v>
      </c>
      <c r="G206" s="12" t="s">
        <v>434</v>
      </c>
      <c r="H206" s="12" t="s">
        <v>435</v>
      </c>
      <c r="I206" s="12" t="s">
        <v>526</v>
      </c>
      <c r="J206" s="12" t="s">
        <v>649</v>
      </c>
      <c r="K206" s="12" t="s">
        <v>913</v>
      </c>
      <c r="L206" s="12" t="s">
        <v>914</v>
      </c>
      <c r="M206" s="12" t="s">
        <v>913</v>
      </c>
    </row>
    <row r="207" spans="1:13" ht="52.8">
      <c r="A207" s="21" t="s">
        <v>436</v>
      </c>
      <c r="B207" s="21" t="s">
        <v>433</v>
      </c>
      <c r="C207" s="21" t="s">
        <v>406</v>
      </c>
      <c r="D207" s="21" t="s">
        <v>71</v>
      </c>
      <c r="E207" s="21" t="s">
        <v>432</v>
      </c>
      <c r="F207" s="12" t="s">
        <v>433</v>
      </c>
      <c r="G207" s="12" t="s">
        <v>434</v>
      </c>
      <c r="H207" s="12" t="s">
        <v>435</v>
      </c>
      <c r="I207" s="12" t="s">
        <v>527</v>
      </c>
      <c r="J207" s="12" t="s">
        <v>650</v>
      </c>
      <c r="K207" s="12" t="s">
        <v>915</v>
      </c>
      <c r="L207" s="12" t="s">
        <v>916</v>
      </c>
      <c r="M207" s="12" t="s">
        <v>915</v>
      </c>
    </row>
    <row r="208" spans="1:13" ht="52.8">
      <c r="A208" s="21" t="s">
        <v>436</v>
      </c>
      <c r="B208" s="21" t="s">
        <v>433</v>
      </c>
      <c r="C208" s="21" t="s">
        <v>406</v>
      </c>
      <c r="D208" s="21" t="s">
        <v>71</v>
      </c>
      <c r="E208" s="21" t="s">
        <v>432</v>
      </c>
      <c r="F208" s="12" t="s">
        <v>433</v>
      </c>
      <c r="G208" s="12" t="s">
        <v>434</v>
      </c>
      <c r="H208" s="12" t="s">
        <v>435</v>
      </c>
      <c r="I208" s="12" t="s">
        <v>528</v>
      </c>
      <c r="J208" s="12" t="s">
        <v>651</v>
      </c>
      <c r="K208" s="12" t="s">
        <v>917</v>
      </c>
      <c r="L208" s="12" t="s">
        <v>918</v>
      </c>
      <c r="M208" s="12" t="s">
        <v>919</v>
      </c>
    </row>
    <row r="209" spans="1:13" ht="52.8">
      <c r="A209" s="21" t="s">
        <v>436</v>
      </c>
      <c r="B209" s="21" t="s">
        <v>433</v>
      </c>
      <c r="C209" s="21" t="s">
        <v>406</v>
      </c>
      <c r="D209" s="21" t="s">
        <v>71</v>
      </c>
      <c r="E209" s="21" t="s">
        <v>432</v>
      </c>
      <c r="F209" s="12" t="s">
        <v>433</v>
      </c>
      <c r="G209" s="12" t="s">
        <v>434</v>
      </c>
      <c r="H209" s="12" t="s">
        <v>435</v>
      </c>
      <c r="I209" s="12" t="s">
        <v>529</v>
      </c>
      <c r="J209" s="12" t="s">
        <v>652</v>
      </c>
      <c r="K209" s="12" t="s">
        <v>920</v>
      </c>
      <c r="L209" s="12" t="s">
        <v>921</v>
      </c>
      <c r="M209" s="12" t="s">
        <v>920</v>
      </c>
    </row>
    <row r="210" spans="1:13" ht="66">
      <c r="A210" s="21" t="s">
        <v>436</v>
      </c>
      <c r="B210" s="21" t="s">
        <v>433</v>
      </c>
      <c r="C210" s="21" t="s">
        <v>406</v>
      </c>
      <c r="D210" s="21" t="s">
        <v>71</v>
      </c>
      <c r="E210" s="21" t="s">
        <v>432</v>
      </c>
      <c r="F210" s="12" t="s">
        <v>433</v>
      </c>
      <c r="G210" s="12" t="s">
        <v>434</v>
      </c>
      <c r="H210" s="12" t="s">
        <v>435</v>
      </c>
      <c r="I210" s="12" t="s">
        <v>530</v>
      </c>
      <c r="J210" s="12" t="s">
        <v>653</v>
      </c>
      <c r="K210" s="12" t="s">
        <v>922</v>
      </c>
      <c r="L210" s="12" t="s">
        <v>923</v>
      </c>
      <c r="M210" s="12" t="s">
        <v>924</v>
      </c>
    </row>
    <row r="211" spans="1:13" ht="132">
      <c r="A211" s="21" t="s">
        <v>436</v>
      </c>
      <c r="B211" s="21" t="s">
        <v>433</v>
      </c>
      <c r="C211" s="21" t="s">
        <v>406</v>
      </c>
      <c r="D211" s="21" t="s">
        <v>71</v>
      </c>
      <c r="E211" s="21" t="s">
        <v>432</v>
      </c>
      <c r="F211" s="12" t="s">
        <v>433</v>
      </c>
      <c r="G211" s="12" t="s">
        <v>434</v>
      </c>
      <c r="H211" s="12" t="s">
        <v>435</v>
      </c>
      <c r="I211" s="12" t="s">
        <v>531</v>
      </c>
      <c r="J211" s="12" t="s">
        <v>654</v>
      </c>
      <c r="K211" s="12" t="s">
        <v>925</v>
      </c>
      <c r="L211" s="12" t="s">
        <v>926</v>
      </c>
      <c r="M211" s="12" t="s">
        <v>927</v>
      </c>
    </row>
    <row r="212" spans="1:13" ht="52.8">
      <c r="A212" s="21" t="s">
        <v>436</v>
      </c>
      <c r="B212" s="21" t="s">
        <v>433</v>
      </c>
      <c r="C212" s="21" t="s">
        <v>406</v>
      </c>
      <c r="D212" s="21" t="s">
        <v>71</v>
      </c>
      <c r="E212" s="21" t="s">
        <v>432</v>
      </c>
      <c r="F212" s="12" t="s">
        <v>433</v>
      </c>
      <c r="G212" s="12" t="s">
        <v>434</v>
      </c>
      <c r="H212" s="12" t="s">
        <v>435</v>
      </c>
      <c r="I212" s="12" t="s">
        <v>532</v>
      </c>
      <c r="J212" s="12" t="s">
        <v>655</v>
      </c>
      <c r="K212" s="12" t="s">
        <v>928</v>
      </c>
      <c r="L212" s="12" t="s">
        <v>929</v>
      </c>
      <c r="M212" s="12" t="s">
        <v>930</v>
      </c>
    </row>
    <row r="213" spans="1:13" ht="52.8">
      <c r="A213" s="21" t="s">
        <v>436</v>
      </c>
      <c r="B213" s="21" t="s">
        <v>433</v>
      </c>
      <c r="C213" s="21" t="s">
        <v>406</v>
      </c>
      <c r="D213" s="21" t="s">
        <v>71</v>
      </c>
      <c r="E213" s="21" t="s">
        <v>432</v>
      </c>
      <c r="F213" s="12" t="s">
        <v>433</v>
      </c>
      <c r="G213" s="12" t="s">
        <v>434</v>
      </c>
      <c r="H213" s="12" t="s">
        <v>435</v>
      </c>
      <c r="I213" s="12" t="s">
        <v>533</v>
      </c>
      <c r="J213" s="12" t="s">
        <v>656</v>
      </c>
      <c r="K213" s="12" t="s">
        <v>931</v>
      </c>
      <c r="L213" s="12" t="s">
        <v>932</v>
      </c>
      <c r="M213" s="12" t="s">
        <v>933</v>
      </c>
    </row>
    <row r="214" spans="1:13" ht="52.8">
      <c r="A214" s="21" t="s">
        <v>436</v>
      </c>
      <c r="B214" s="21" t="s">
        <v>433</v>
      </c>
      <c r="C214" s="21" t="s">
        <v>406</v>
      </c>
      <c r="D214" s="21" t="s">
        <v>71</v>
      </c>
      <c r="E214" s="21" t="s">
        <v>432</v>
      </c>
      <c r="F214" s="12" t="s">
        <v>433</v>
      </c>
      <c r="G214" s="12" t="s">
        <v>434</v>
      </c>
      <c r="H214" s="12" t="s">
        <v>435</v>
      </c>
      <c r="I214" s="12" t="s">
        <v>534</v>
      </c>
      <c r="J214" s="12" t="s">
        <v>657</v>
      </c>
      <c r="K214" s="12" t="s">
        <v>934</v>
      </c>
      <c r="L214" s="12" t="s">
        <v>935</v>
      </c>
      <c r="M214" s="12" t="s">
        <v>936</v>
      </c>
    </row>
    <row r="215" spans="1:13" ht="52.8">
      <c r="A215" s="21" t="s">
        <v>436</v>
      </c>
      <c r="B215" s="21" t="s">
        <v>433</v>
      </c>
      <c r="C215" s="21" t="s">
        <v>406</v>
      </c>
      <c r="D215" s="21" t="s">
        <v>71</v>
      </c>
      <c r="E215" s="21" t="s">
        <v>432</v>
      </c>
      <c r="F215" s="12" t="s">
        <v>433</v>
      </c>
      <c r="G215" s="12" t="s">
        <v>434</v>
      </c>
      <c r="H215" s="12" t="s">
        <v>435</v>
      </c>
      <c r="I215" s="12" t="s">
        <v>535</v>
      </c>
      <c r="J215" s="12" t="s">
        <v>658</v>
      </c>
      <c r="K215" s="12" t="s">
        <v>937</v>
      </c>
      <c r="L215" s="12" t="s">
        <v>938</v>
      </c>
      <c r="M215" s="12" t="s">
        <v>937</v>
      </c>
    </row>
    <row r="216" spans="1:13" ht="52.8">
      <c r="A216" s="21" t="s">
        <v>436</v>
      </c>
      <c r="B216" s="21" t="s">
        <v>433</v>
      </c>
      <c r="C216" s="21" t="s">
        <v>406</v>
      </c>
      <c r="D216" s="21" t="s">
        <v>71</v>
      </c>
      <c r="E216" s="21" t="s">
        <v>432</v>
      </c>
      <c r="F216" s="12" t="s">
        <v>433</v>
      </c>
      <c r="G216" s="12" t="s">
        <v>434</v>
      </c>
      <c r="H216" s="12" t="s">
        <v>435</v>
      </c>
      <c r="I216" s="12" t="s">
        <v>536</v>
      </c>
      <c r="J216" s="12" t="s">
        <v>659</v>
      </c>
      <c r="K216" s="12" t="s">
        <v>939</v>
      </c>
      <c r="L216" s="12" t="s">
        <v>940</v>
      </c>
      <c r="M216" s="12" t="s">
        <v>941</v>
      </c>
    </row>
    <row r="217" spans="1:13" ht="52.8">
      <c r="A217" s="21" t="s">
        <v>436</v>
      </c>
      <c r="B217" s="21" t="s">
        <v>433</v>
      </c>
      <c r="C217" s="21" t="s">
        <v>406</v>
      </c>
      <c r="D217" s="21" t="s">
        <v>71</v>
      </c>
      <c r="E217" s="21" t="s">
        <v>432</v>
      </c>
      <c r="F217" s="12" t="s">
        <v>433</v>
      </c>
      <c r="G217" s="12" t="s">
        <v>434</v>
      </c>
      <c r="H217" s="12" t="s">
        <v>435</v>
      </c>
      <c r="I217" s="12" t="s">
        <v>537</v>
      </c>
      <c r="J217" s="12" t="s">
        <v>660</v>
      </c>
      <c r="K217" s="12" t="s">
        <v>942</v>
      </c>
      <c r="L217" s="12" t="s">
        <v>943</v>
      </c>
      <c r="M217" s="12" t="s">
        <v>944</v>
      </c>
    </row>
    <row r="218" spans="1:13" ht="66">
      <c r="A218" s="21" t="s">
        <v>436</v>
      </c>
      <c r="B218" s="21" t="s">
        <v>433</v>
      </c>
      <c r="C218" s="21" t="s">
        <v>406</v>
      </c>
      <c r="D218" s="21" t="s">
        <v>71</v>
      </c>
      <c r="E218" s="21" t="s">
        <v>432</v>
      </c>
      <c r="F218" s="12" t="s">
        <v>433</v>
      </c>
      <c r="G218" s="12" t="s">
        <v>434</v>
      </c>
      <c r="H218" s="12" t="s">
        <v>435</v>
      </c>
      <c r="I218" s="12" t="s">
        <v>538</v>
      </c>
      <c r="J218" s="12" t="s">
        <v>661</v>
      </c>
      <c r="K218" s="12" t="s">
        <v>945</v>
      </c>
      <c r="L218" s="12" t="s">
        <v>946</v>
      </c>
      <c r="M218" s="12" t="s">
        <v>947</v>
      </c>
    </row>
    <row r="219" spans="1:13" ht="52.8">
      <c r="A219" s="21" t="s">
        <v>436</v>
      </c>
      <c r="B219" s="21" t="s">
        <v>433</v>
      </c>
      <c r="C219" s="21" t="s">
        <v>406</v>
      </c>
      <c r="D219" s="21" t="s">
        <v>71</v>
      </c>
      <c r="E219" s="21" t="s">
        <v>432</v>
      </c>
      <c r="F219" s="12" t="s">
        <v>433</v>
      </c>
      <c r="G219" s="12" t="s">
        <v>434</v>
      </c>
      <c r="H219" s="12" t="s">
        <v>435</v>
      </c>
      <c r="I219" s="12" t="s">
        <v>539</v>
      </c>
      <c r="J219" s="12" t="s">
        <v>662</v>
      </c>
      <c r="K219" s="12" t="s">
        <v>948</v>
      </c>
      <c r="L219" s="12" t="s">
        <v>949</v>
      </c>
      <c r="M219" s="12" t="s">
        <v>950</v>
      </c>
    </row>
    <row r="220" spans="1:13" ht="52.8">
      <c r="A220" s="21" t="s">
        <v>436</v>
      </c>
      <c r="B220" s="21" t="s">
        <v>433</v>
      </c>
      <c r="C220" s="21" t="s">
        <v>406</v>
      </c>
      <c r="D220" s="21" t="s">
        <v>71</v>
      </c>
      <c r="E220" s="21" t="s">
        <v>432</v>
      </c>
      <c r="F220" s="12" t="s">
        <v>433</v>
      </c>
      <c r="G220" s="12" t="s">
        <v>434</v>
      </c>
      <c r="H220" s="12" t="s">
        <v>435</v>
      </c>
      <c r="I220" s="12" t="s">
        <v>540</v>
      </c>
      <c r="J220" s="12" t="s">
        <v>663</v>
      </c>
      <c r="K220" s="12" t="s">
        <v>951</v>
      </c>
      <c r="L220" s="12" t="s">
        <v>952</v>
      </c>
      <c r="M220" s="12" t="s">
        <v>953</v>
      </c>
    </row>
    <row r="221" spans="1:13" ht="52.8">
      <c r="A221" s="21" t="s">
        <v>436</v>
      </c>
      <c r="B221" s="21" t="s">
        <v>433</v>
      </c>
      <c r="C221" s="21" t="s">
        <v>406</v>
      </c>
      <c r="D221" s="21" t="s">
        <v>71</v>
      </c>
      <c r="E221" s="21" t="s">
        <v>432</v>
      </c>
      <c r="F221" s="12" t="s">
        <v>433</v>
      </c>
      <c r="G221" s="12" t="s">
        <v>434</v>
      </c>
      <c r="H221" s="12" t="s">
        <v>435</v>
      </c>
      <c r="I221" s="12" t="s">
        <v>541</v>
      </c>
      <c r="J221" s="12" t="s">
        <v>664</v>
      </c>
      <c r="K221" s="12" t="s">
        <v>954</v>
      </c>
      <c r="L221" s="12" t="s">
        <v>955</v>
      </c>
      <c r="M221" s="12" t="s">
        <v>956</v>
      </c>
    </row>
    <row r="222" spans="1:13" ht="66">
      <c r="A222" s="21" t="s">
        <v>436</v>
      </c>
      <c r="B222" s="21" t="s">
        <v>433</v>
      </c>
      <c r="C222" s="21" t="s">
        <v>406</v>
      </c>
      <c r="D222" s="21" t="s">
        <v>71</v>
      </c>
      <c r="E222" s="21" t="s">
        <v>432</v>
      </c>
      <c r="F222" s="12" t="s">
        <v>433</v>
      </c>
      <c r="G222" s="12" t="s">
        <v>434</v>
      </c>
      <c r="H222" s="12" t="s">
        <v>435</v>
      </c>
      <c r="I222" s="12" t="s">
        <v>542</v>
      </c>
      <c r="J222" s="12" t="s">
        <v>665</v>
      </c>
      <c r="K222" s="12" t="s">
        <v>957</v>
      </c>
      <c r="L222" s="12" t="s">
        <v>958</v>
      </c>
      <c r="M222" s="12" t="s">
        <v>957</v>
      </c>
    </row>
    <row r="223" spans="1:13" ht="52.8">
      <c r="A223" s="21" t="s">
        <v>436</v>
      </c>
      <c r="B223" s="21" t="s">
        <v>433</v>
      </c>
      <c r="C223" s="21" t="s">
        <v>406</v>
      </c>
      <c r="D223" s="21" t="s">
        <v>71</v>
      </c>
      <c r="E223" s="21" t="s">
        <v>432</v>
      </c>
      <c r="F223" s="12" t="s">
        <v>433</v>
      </c>
      <c r="G223" s="12" t="s">
        <v>434</v>
      </c>
      <c r="H223" s="12" t="s">
        <v>435</v>
      </c>
      <c r="I223" s="12" t="s">
        <v>543</v>
      </c>
      <c r="J223" s="12" t="s">
        <v>666</v>
      </c>
      <c r="K223" s="12" t="s">
        <v>959</v>
      </c>
      <c r="L223" s="12" t="s">
        <v>960</v>
      </c>
      <c r="M223" s="12" t="s">
        <v>959</v>
      </c>
    </row>
    <row r="224" spans="1:13" ht="52.8">
      <c r="A224" s="21" t="s">
        <v>436</v>
      </c>
      <c r="B224" s="21" t="s">
        <v>433</v>
      </c>
      <c r="C224" s="21" t="s">
        <v>406</v>
      </c>
      <c r="D224" s="21" t="s">
        <v>71</v>
      </c>
      <c r="E224" s="21" t="s">
        <v>432</v>
      </c>
      <c r="F224" s="12" t="s">
        <v>433</v>
      </c>
      <c r="G224" s="12" t="s">
        <v>434</v>
      </c>
      <c r="H224" s="12" t="s">
        <v>435</v>
      </c>
      <c r="I224" s="12" t="s">
        <v>544</v>
      </c>
      <c r="J224" s="12" t="s">
        <v>667</v>
      </c>
      <c r="K224" s="12" t="s">
        <v>961</v>
      </c>
      <c r="L224" s="12" t="s">
        <v>962</v>
      </c>
      <c r="M224" s="12" t="s">
        <v>961</v>
      </c>
    </row>
    <row r="225" spans="1:13" ht="52.8">
      <c r="A225" s="21" t="s">
        <v>436</v>
      </c>
      <c r="B225" s="21" t="s">
        <v>433</v>
      </c>
      <c r="C225" s="21" t="s">
        <v>406</v>
      </c>
      <c r="D225" s="21" t="s">
        <v>71</v>
      </c>
      <c r="E225" s="21" t="s">
        <v>432</v>
      </c>
      <c r="F225" s="12" t="s">
        <v>433</v>
      </c>
      <c r="G225" s="12" t="s">
        <v>434</v>
      </c>
      <c r="H225" s="12" t="s">
        <v>435</v>
      </c>
      <c r="I225" s="12" t="s">
        <v>545</v>
      </c>
      <c r="J225" s="12" t="s">
        <v>668</v>
      </c>
      <c r="K225" s="12" t="s">
        <v>963</v>
      </c>
      <c r="L225" s="12" t="s">
        <v>964</v>
      </c>
      <c r="M225" s="12" t="s">
        <v>965</v>
      </c>
    </row>
    <row r="226" spans="1:13" ht="66">
      <c r="A226" s="21" t="s">
        <v>436</v>
      </c>
      <c r="B226" s="21" t="s">
        <v>433</v>
      </c>
      <c r="C226" s="21" t="s">
        <v>406</v>
      </c>
      <c r="D226" s="21" t="s">
        <v>71</v>
      </c>
      <c r="E226" s="21" t="s">
        <v>432</v>
      </c>
      <c r="F226" s="12" t="s">
        <v>433</v>
      </c>
      <c r="G226" s="12" t="s">
        <v>434</v>
      </c>
      <c r="H226" s="12" t="s">
        <v>435</v>
      </c>
      <c r="I226" s="12" t="s">
        <v>546</v>
      </c>
      <c r="J226" s="12" t="s">
        <v>669</v>
      </c>
      <c r="K226" s="12" t="s">
        <v>966</v>
      </c>
      <c r="L226" s="12" t="s">
        <v>967</v>
      </c>
      <c r="M226" s="12" t="s">
        <v>968</v>
      </c>
    </row>
    <row r="227" spans="1:13" ht="52.8">
      <c r="A227" s="21" t="s">
        <v>436</v>
      </c>
      <c r="B227" s="21" t="s">
        <v>433</v>
      </c>
      <c r="C227" s="21" t="s">
        <v>406</v>
      </c>
      <c r="D227" s="21" t="s">
        <v>71</v>
      </c>
      <c r="E227" s="21" t="s">
        <v>432</v>
      </c>
      <c r="F227" s="12" t="s">
        <v>433</v>
      </c>
      <c r="G227" s="12" t="s">
        <v>434</v>
      </c>
      <c r="H227" s="12" t="s">
        <v>435</v>
      </c>
      <c r="I227" s="12" t="s">
        <v>547</v>
      </c>
      <c r="J227" s="12" t="s">
        <v>670</v>
      </c>
      <c r="K227" s="12" t="s">
        <v>969</v>
      </c>
      <c r="L227" s="12" t="s">
        <v>970</v>
      </c>
      <c r="M227" s="12" t="s">
        <v>971</v>
      </c>
    </row>
    <row r="228" spans="1:13" ht="118.8">
      <c r="A228" s="21" t="s">
        <v>436</v>
      </c>
      <c r="B228" s="21" t="s">
        <v>433</v>
      </c>
      <c r="C228" s="21" t="s">
        <v>406</v>
      </c>
      <c r="D228" s="21" t="s">
        <v>71</v>
      </c>
      <c r="E228" s="21" t="s">
        <v>432</v>
      </c>
      <c r="F228" s="12" t="s">
        <v>433</v>
      </c>
      <c r="G228" s="12" t="s">
        <v>434</v>
      </c>
      <c r="H228" s="12" t="s">
        <v>435</v>
      </c>
      <c r="I228" s="12" t="s">
        <v>548</v>
      </c>
      <c r="J228" s="12" t="s">
        <v>671</v>
      </c>
      <c r="K228" s="12" t="s">
        <v>972</v>
      </c>
      <c r="L228" s="12" t="s">
        <v>973</v>
      </c>
      <c r="M228" s="12" t="s">
        <v>974</v>
      </c>
    </row>
    <row r="229" spans="1:13" ht="52.8">
      <c r="A229" s="21" t="s">
        <v>436</v>
      </c>
      <c r="B229" s="21" t="s">
        <v>433</v>
      </c>
      <c r="C229" s="21" t="s">
        <v>406</v>
      </c>
      <c r="D229" s="21" t="s">
        <v>71</v>
      </c>
      <c r="E229" s="21" t="s">
        <v>432</v>
      </c>
      <c r="F229" s="12" t="s">
        <v>433</v>
      </c>
      <c r="G229" s="12" t="s">
        <v>434</v>
      </c>
      <c r="H229" s="12" t="s">
        <v>435</v>
      </c>
      <c r="I229" s="12" t="s">
        <v>549</v>
      </c>
      <c r="J229" s="12" t="s">
        <v>672</v>
      </c>
      <c r="K229" s="12" t="s">
        <v>975</v>
      </c>
      <c r="L229" s="12" t="s">
        <v>976</v>
      </c>
      <c r="M229" s="12" t="s">
        <v>975</v>
      </c>
    </row>
    <row r="230" spans="1:13" ht="52.8">
      <c r="A230" s="21" t="s">
        <v>436</v>
      </c>
      <c r="B230" s="21" t="s">
        <v>433</v>
      </c>
      <c r="C230" s="21" t="s">
        <v>406</v>
      </c>
      <c r="D230" s="21" t="s">
        <v>71</v>
      </c>
      <c r="E230" s="21" t="s">
        <v>432</v>
      </c>
      <c r="F230" s="12" t="s">
        <v>433</v>
      </c>
      <c r="G230" s="12" t="s">
        <v>434</v>
      </c>
      <c r="H230" s="12" t="s">
        <v>435</v>
      </c>
      <c r="I230" s="12" t="s">
        <v>550</v>
      </c>
      <c r="J230" s="12" t="s">
        <v>673</v>
      </c>
      <c r="K230" s="12" t="s">
        <v>977</v>
      </c>
      <c r="L230" s="12" t="s">
        <v>978</v>
      </c>
      <c r="M230" s="12" t="s">
        <v>977</v>
      </c>
    </row>
    <row r="231" spans="1:13" ht="52.8">
      <c r="A231" s="21" t="s">
        <v>436</v>
      </c>
      <c r="B231" s="21" t="s">
        <v>433</v>
      </c>
      <c r="C231" s="21" t="s">
        <v>406</v>
      </c>
      <c r="D231" s="21" t="s">
        <v>71</v>
      </c>
      <c r="E231" s="21" t="s">
        <v>432</v>
      </c>
      <c r="F231" s="12" t="s">
        <v>433</v>
      </c>
      <c r="G231" s="12" t="s">
        <v>434</v>
      </c>
      <c r="H231" s="12" t="s">
        <v>435</v>
      </c>
      <c r="I231" s="12" t="s">
        <v>551</v>
      </c>
      <c r="J231" s="12" t="s">
        <v>674</v>
      </c>
      <c r="K231" s="12" t="s">
        <v>979</v>
      </c>
      <c r="L231" s="12" t="s">
        <v>980</v>
      </c>
      <c r="M231" s="12" t="s">
        <v>979</v>
      </c>
    </row>
    <row r="232" spans="1:13" ht="52.8">
      <c r="A232" s="21" t="s">
        <v>436</v>
      </c>
      <c r="B232" s="21" t="s">
        <v>433</v>
      </c>
      <c r="C232" s="21" t="s">
        <v>406</v>
      </c>
      <c r="D232" s="21" t="s">
        <v>71</v>
      </c>
      <c r="E232" s="21" t="s">
        <v>432</v>
      </c>
      <c r="F232" s="12" t="s">
        <v>433</v>
      </c>
      <c r="G232" s="12" t="s">
        <v>434</v>
      </c>
      <c r="H232" s="12" t="s">
        <v>435</v>
      </c>
      <c r="I232" s="12" t="s">
        <v>552</v>
      </c>
      <c r="J232" s="12" t="s">
        <v>675</v>
      </c>
      <c r="K232" s="12" t="s">
        <v>981</v>
      </c>
      <c r="L232" s="12" t="s">
        <v>982</v>
      </c>
      <c r="M232" s="12" t="s">
        <v>983</v>
      </c>
    </row>
    <row r="233" spans="1:13" ht="52.8">
      <c r="A233" s="21" t="s">
        <v>436</v>
      </c>
      <c r="B233" s="21" t="s">
        <v>433</v>
      </c>
      <c r="C233" s="21" t="s">
        <v>406</v>
      </c>
      <c r="D233" s="21" t="s">
        <v>71</v>
      </c>
      <c r="E233" s="21" t="s">
        <v>432</v>
      </c>
      <c r="F233" s="12" t="s">
        <v>433</v>
      </c>
      <c r="G233" s="12" t="s">
        <v>434</v>
      </c>
      <c r="H233" s="12" t="s">
        <v>435</v>
      </c>
      <c r="I233" s="12" t="s">
        <v>553</v>
      </c>
      <c r="J233" s="12" t="s">
        <v>676</v>
      </c>
      <c r="K233" s="12" t="s">
        <v>984</v>
      </c>
      <c r="L233" s="12" t="s">
        <v>985</v>
      </c>
      <c r="M233" s="12" t="s">
        <v>986</v>
      </c>
    </row>
    <row r="234" spans="1:13" ht="118.8">
      <c r="A234" s="21" t="s">
        <v>436</v>
      </c>
      <c r="B234" s="21" t="s">
        <v>433</v>
      </c>
      <c r="C234" s="21" t="s">
        <v>406</v>
      </c>
      <c r="D234" s="21" t="s">
        <v>71</v>
      </c>
      <c r="E234" s="21" t="s">
        <v>432</v>
      </c>
      <c r="F234" s="12" t="s">
        <v>433</v>
      </c>
      <c r="G234" s="12" t="s">
        <v>434</v>
      </c>
      <c r="H234" s="12" t="s">
        <v>435</v>
      </c>
      <c r="I234" s="12" t="s">
        <v>554</v>
      </c>
      <c r="J234" s="12" t="s">
        <v>677</v>
      </c>
      <c r="K234" s="12" t="s">
        <v>987</v>
      </c>
      <c r="L234" s="12" t="s">
        <v>988</v>
      </c>
      <c r="M234" s="12" t="s">
        <v>989</v>
      </c>
    </row>
    <row r="235" spans="1:13" ht="52.8">
      <c r="A235" s="21" t="s">
        <v>436</v>
      </c>
      <c r="B235" s="21" t="s">
        <v>433</v>
      </c>
      <c r="C235" s="21" t="s">
        <v>406</v>
      </c>
      <c r="D235" s="21" t="s">
        <v>71</v>
      </c>
      <c r="E235" s="21" t="s">
        <v>432</v>
      </c>
      <c r="F235" s="12" t="s">
        <v>433</v>
      </c>
      <c r="G235" s="12" t="s">
        <v>434</v>
      </c>
      <c r="H235" s="12" t="s">
        <v>435</v>
      </c>
      <c r="I235" s="12" t="s">
        <v>555</v>
      </c>
      <c r="J235" s="12" t="s">
        <v>678</v>
      </c>
      <c r="K235" s="12" t="s">
        <v>990</v>
      </c>
      <c r="L235" s="12" t="s">
        <v>991</v>
      </c>
      <c r="M235" s="12" t="s">
        <v>992</v>
      </c>
    </row>
    <row r="236" spans="1:13" ht="52.8">
      <c r="A236" s="21" t="s">
        <v>436</v>
      </c>
      <c r="B236" s="21" t="s">
        <v>433</v>
      </c>
      <c r="C236" s="21" t="s">
        <v>406</v>
      </c>
      <c r="D236" s="21" t="s">
        <v>71</v>
      </c>
      <c r="E236" s="21" t="s">
        <v>432</v>
      </c>
      <c r="F236" s="12" t="s">
        <v>433</v>
      </c>
      <c r="G236" s="12" t="s">
        <v>434</v>
      </c>
      <c r="H236" s="12" t="s">
        <v>435</v>
      </c>
      <c r="I236" s="12" t="s">
        <v>556</v>
      </c>
      <c r="J236" s="12" t="s">
        <v>679</v>
      </c>
      <c r="K236" s="12" t="s">
        <v>993</v>
      </c>
      <c r="L236" s="12" t="s">
        <v>994</v>
      </c>
      <c r="M236" s="12" t="s">
        <v>995</v>
      </c>
    </row>
    <row r="237" spans="1:13" ht="52.8">
      <c r="A237" s="21" t="s">
        <v>436</v>
      </c>
      <c r="B237" s="21" t="s">
        <v>433</v>
      </c>
      <c r="C237" s="21" t="s">
        <v>406</v>
      </c>
      <c r="D237" s="21" t="s">
        <v>71</v>
      </c>
      <c r="E237" s="21" t="s">
        <v>432</v>
      </c>
      <c r="F237" s="12" t="s">
        <v>433</v>
      </c>
      <c r="G237" s="12" t="s">
        <v>434</v>
      </c>
      <c r="H237" s="12" t="s">
        <v>435</v>
      </c>
      <c r="I237" s="12" t="s">
        <v>557</v>
      </c>
      <c r="J237" s="12" t="s">
        <v>680</v>
      </c>
      <c r="K237" s="12" t="s">
        <v>996</v>
      </c>
      <c r="L237" s="12" t="s">
        <v>997</v>
      </c>
      <c r="M237" s="12" t="s">
        <v>998</v>
      </c>
    </row>
    <row r="238" spans="1:13" ht="52.8">
      <c r="A238" s="21" t="s">
        <v>436</v>
      </c>
      <c r="B238" s="21" t="s">
        <v>433</v>
      </c>
      <c r="C238" s="21" t="s">
        <v>406</v>
      </c>
      <c r="D238" s="21" t="s">
        <v>71</v>
      </c>
      <c r="E238" s="21" t="s">
        <v>432</v>
      </c>
      <c r="F238" s="12" t="s">
        <v>433</v>
      </c>
      <c r="G238" s="12" t="s">
        <v>434</v>
      </c>
      <c r="H238" s="12" t="s">
        <v>435</v>
      </c>
      <c r="I238" s="12" t="s">
        <v>558</v>
      </c>
      <c r="J238" s="12" t="s">
        <v>681</v>
      </c>
      <c r="K238" s="12" t="s">
        <v>999</v>
      </c>
      <c r="L238" s="12" t="s">
        <v>1000</v>
      </c>
      <c r="M238" s="12" t="s">
        <v>1001</v>
      </c>
    </row>
    <row r="239" spans="1:13" ht="52.8">
      <c r="A239" s="21" t="s">
        <v>436</v>
      </c>
      <c r="B239" s="21" t="s">
        <v>433</v>
      </c>
      <c r="C239" s="21" t="s">
        <v>406</v>
      </c>
      <c r="D239" s="21" t="s">
        <v>71</v>
      </c>
      <c r="E239" s="21" t="s">
        <v>432</v>
      </c>
      <c r="F239" s="12" t="s">
        <v>433</v>
      </c>
      <c r="G239" s="12" t="s">
        <v>434</v>
      </c>
      <c r="H239" s="12" t="s">
        <v>435</v>
      </c>
      <c r="I239" s="12" t="s">
        <v>559</v>
      </c>
      <c r="J239" s="12" t="s">
        <v>682</v>
      </c>
      <c r="K239" s="12" t="s">
        <v>1002</v>
      </c>
      <c r="L239" s="12" t="s">
        <v>1003</v>
      </c>
      <c r="M239" s="12" t="s">
        <v>1004</v>
      </c>
    </row>
    <row r="240" spans="1:13" ht="66">
      <c r="A240" s="21" t="s">
        <v>330</v>
      </c>
      <c r="B240" s="21" t="s">
        <v>333</v>
      </c>
      <c r="C240" s="21" t="s">
        <v>352</v>
      </c>
      <c r="D240" s="21" t="s">
        <v>331</v>
      </c>
      <c r="E240" s="21" t="s">
        <v>332</v>
      </c>
      <c r="F240" s="21" t="s">
        <v>333</v>
      </c>
      <c r="G240" s="21" t="s">
        <v>334</v>
      </c>
      <c r="H240" s="21" t="s">
        <v>335</v>
      </c>
      <c r="I240" s="12" t="s">
        <v>344</v>
      </c>
      <c r="J240" s="12" t="s">
        <v>348</v>
      </c>
      <c r="K240" s="12" t="s">
        <v>331</v>
      </c>
      <c r="L240" s="12" t="s">
        <v>336</v>
      </c>
      <c r="M240" s="12" t="s">
        <v>331</v>
      </c>
    </row>
    <row r="241" spans="1:13" ht="66">
      <c r="A241" s="21" t="s">
        <v>330</v>
      </c>
      <c r="B241" s="21" t="s">
        <v>333</v>
      </c>
      <c r="C241" s="21" t="s">
        <v>352</v>
      </c>
      <c r="D241" s="21" t="s">
        <v>331</v>
      </c>
      <c r="E241" s="21" t="s">
        <v>332</v>
      </c>
      <c r="F241" s="21" t="s">
        <v>333</v>
      </c>
      <c r="G241" s="21" t="s">
        <v>334</v>
      </c>
      <c r="H241" s="21" t="s">
        <v>335</v>
      </c>
      <c r="I241" s="12" t="s">
        <v>345</v>
      </c>
      <c r="J241" s="12" t="s">
        <v>349</v>
      </c>
      <c r="K241" s="12" t="s">
        <v>337</v>
      </c>
      <c r="L241" s="12" t="s">
        <v>338</v>
      </c>
      <c r="M241" s="12" t="s">
        <v>339</v>
      </c>
    </row>
    <row r="242" spans="1:13" ht="66">
      <c r="A242" s="21" t="s">
        <v>330</v>
      </c>
      <c r="B242" s="21" t="s">
        <v>333</v>
      </c>
      <c r="C242" s="21" t="s">
        <v>352</v>
      </c>
      <c r="D242" s="21" t="s">
        <v>331</v>
      </c>
      <c r="E242" s="21" t="s">
        <v>332</v>
      </c>
      <c r="F242" s="21" t="s">
        <v>333</v>
      </c>
      <c r="G242" s="21" t="s">
        <v>334</v>
      </c>
      <c r="H242" s="21" t="s">
        <v>335</v>
      </c>
      <c r="I242" s="12" t="s">
        <v>346</v>
      </c>
      <c r="J242" s="12" t="s">
        <v>350</v>
      </c>
      <c r="K242" s="12" t="s">
        <v>340</v>
      </c>
      <c r="L242" s="12" t="s">
        <v>341</v>
      </c>
      <c r="M242" s="12" t="s">
        <v>342</v>
      </c>
    </row>
    <row r="243" spans="1:13" ht="66">
      <c r="A243" s="21" t="s">
        <v>330</v>
      </c>
      <c r="B243" s="21" t="s">
        <v>333</v>
      </c>
      <c r="C243" s="21" t="s">
        <v>352</v>
      </c>
      <c r="D243" s="21" t="s">
        <v>331</v>
      </c>
      <c r="E243" s="21" t="s">
        <v>332</v>
      </c>
      <c r="F243" s="21" t="s">
        <v>333</v>
      </c>
      <c r="G243" s="21" t="s">
        <v>334</v>
      </c>
      <c r="H243" s="21" t="s">
        <v>335</v>
      </c>
      <c r="I243" s="12" t="s">
        <v>347</v>
      </c>
      <c r="J243" s="12" t="s">
        <v>351</v>
      </c>
      <c r="K243" s="12" t="s">
        <v>71</v>
      </c>
      <c r="L243" s="12" t="s">
        <v>343</v>
      </c>
      <c r="M243" s="12" t="s">
        <v>71</v>
      </c>
    </row>
    <row r="244" spans="1:13" ht="105.6">
      <c r="A244" s="21" t="s">
        <v>3445</v>
      </c>
      <c r="B244" s="21" t="s">
        <v>748</v>
      </c>
      <c r="C244" s="21" t="s">
        <v>3446</v>
      </c>
      <c r="D244" s="21" t="s">
        <v>71</v>
      </c>
      <c r="E244" s="21" t="s">
        <v>3447</v>
      </c>
      <c r="F244" s="21" t="s">
        <v>748</v>
      </c>
      <c r="G244" s="21" t="s">
        <v>3448</v>
      </c>
      <c r="H244" s="21" t="s">
        <v>3449</v>
      </c>
      <c r="I244" s="12" t="s">
        <v>3450</v>
      </c>
      <c r="J244" s="12" t="s">
        <v>4010</v>
      </c>
      <c r="K244" s="12" t="s">
        <v>3631</v>
      </c>
      <c r="L244" s="12" t="s">
        <v>3632</v>
      </c>
      <c r="M244" s="12" t="s">
        <v>3633</v>
      </c>
    </row>
    <row r="245" spans="1:13" ht="105.6">
      <c r="A245" s="21" t="s">
        <v>3445</v>
      </c>
      <c r="B245" s="21" t="s">
        <v>748</v>
      </c>
      <c r="C245" s="21" t="s">
        <v>3446</v>
      </c>
      <c r="D245" s="21" t="s">
        <v>71</v>
      </c>
      <c r="E245" s="21" t="s">
        <v>3447</v>
      </c>
      <c r="F245" s="21" t="s">
        <v>748</v>
      </c>
      <c r="G245" s="21" t="s">
        <v>3448</v>
      </c>
      <c r="H245" s="21" t="s">
        <v>3449</v>
      </c>
      <c r="I245" s="12" t="s">
        <v>3451</v>
      </c>
      <c r="J245" s="12" t="s">
        <v>4011</v>
      </c>
      <c r="K245" s="12"/>
      <c r="L245" s="12" t="s">
        <v>3634</v>
      </c>
      <c r="M245" s="12" t="s">
        <v>3635</v>
      </c>
    </row>
    <row r="246" spans="1:13" ht="105.6">
      <c r="A246" s="21" t="s">
        <v>3445</v>
      </c>
      <c r="B246" s="21" t="s">
        <v>748</v>
      </c>
      <c r="C246" s="21" t="s">
        <v>3446</v>
      </c>
      <c r="D246" s="21" t="s">
        <v>71</v>
      </c>
      <c r="E246" s="21" t="s">
        <v>3447</v>
      </c>
      <c r="F246" s="21" t="s">
        <v>748</v>
      </c>
      <c r="G246" s="21" t="s">
        <v>3448</v>
      </c>
      <c r="H246" s="21" t="s">
        <v>3449</v>
      </c>
      <c r="I246" s="12" t="s">
        <v>3452</v>
      </c>
      <c r="J246" s="12" t="s">
        <v>4012</v>
      </c>
      <c r="K246" s="12"/>
      <c r="L246" s="12" t="s">
        <v>3636</v>
      </c>
      <c r="M246" s="12" t="s">
        <v>3637</v>
      </c>
    </row>
    <row r="247" spans="1:13" ht="105.6">
      <c r="A247" s="21" t="s">
        <v>3445</v>
      </c>
      <c r="B247" s="21" t="s">
        <v>748</v>
      </c>
      <c r="C247" s="21" t="s">
        <v>3446</v>
      </c>
      <c r="D247" s="21" t="s">
        <v>71</v>
      </c>
      <c r="E247" s="21" t="s">
        <v>3447</v>
      </c>
      <c r="F247" s="21" t="s">
        <v>748</v>
      </c>
      <c r="G247" s="21" t="s">
        <v>3448</v>
      </c>
      <c r="H247" s="21" t="s">
        <v>3449</v>
      </c>
      <c r="I247" s="12" t="s">
        <v>3453</v>
      </c>
      <c r="J247" s="12" t="s">
        <v>4013</v>
      </c>
      <c r="K247" s="12"/>
      <c r="L247" s="12" t="s">
        <v>3638</v>
      </c>
      <c r="M247" s="12" t="s">
        <v>3639</v>
      </c>
    </row>
    <row r="248" spans="1:13" ht="105.6">
      <c r="A248" s="21" t="s">
        <v>3445</v>
      </c>
      <c r="B248" s="21" t="s">
        <v>748</v>
      </c>
      <c r="C248" s="21" t="s">
        <v>3446</v>
      </c>
      <c r="D248" s="21" t="s">
        <v>71</v>
      </c>
      <c r="E248" s="21" t="s">
        <v>3447</v>
      </c>
      <c r="F248" s="21" t="s">
        <v>748</v>
      </c>
      <c r="G248" s="21" t="s">
        <v>3448</v>
      </c>
      <c r="H248" s="21" t="s">
        <v>3449</v>
      </c>
      <c r="I248" s="12" t="s">
        <v>3454</v>
      </c>
      <c r="J248" s="12" t="s">
        <v>4014</v>
      </c>
      <c r="K248" s="12"/>
      <c r="L248" s="12" t="s">
        <v>3640</v>
      </c>
      <c r="M248" s="12" t="s">
        <v>3641</v>
      </c>
    </row>
    <row r="249" spans="1:13" ht="105.6">
      <c r="A249" s="21" t="s">
        <v>3445</v>
      </c>
      <c r="B249" s="21" t="s">
        <v>748</v>
      </c>
      <c r="C249" s="21" t="s">
        <v>3446</v>
      </c>
      <c r="D249" s="21" t="s">
        <v>71</v>
      </c>
      <c r="E249" s="21" t="s">
        <v>3447</v>
      </c>
      <c r="F249" s="21" t="s">
        <v>748</v>
      </c>
      <c r="G249" s="21" t="s">
        <v>3448</v>
      </c>
      <c r="H249" s="21" t="s">
        <v>3449</v>
      </c>
      <c r="I249" s="12" t="s">
        <v>3455</v>
      </c>
      <c r="J249" s="12" t="s">
        <v>4015</v>
      </c>
      <c r="K249" s="12"/>
      <c r="L249" s="12" t="s">
        <v>3642</v>
      </c>
      <c r="M249" s="12" t="s">
        <v>3643</v>
      </c>
    </row>
    <row r="250" spans="1:13" ht="105.6">
      <c r="A250" s="21" t="s">
        <v>3445</v>
      </c>
      <c r="B250" s="21" t="s">
        <v>748</v>
      </c>
      <c r="C250" s="21" t="s">
        <v>3446</v>
      </c>
      <c r="D250" s="21" t="s">
        <v>71</v>
      </c>
      <c r="E250" s="21" t="s">
        <v>3447</v>
      </c>
      <c r="F250" s="21" t="s">
        <v>748</v>
      </c>
      <c r="G250" s="21" t="s">
        <v>3448</v>
      </c>
      <c r="H250" s="21" t="s">
        <v>3449</v>
      </c>
      <c r="I250" s="12" t="s">
        <v>3456</v>
      </c>
      <c r="J250" s="12" t="s">
        <v>4016</v>
      </c>
      <c r="K250" s="12"/>
      <c r="L250" s="12" t="s">
        <v>3644</v>
      </c>
      <c r="M250" s="12" t="s">
        <v>3645</v>
      </c>
    </row>
    <row r="251" spans="1:13" ht="105.6">
      <c r="A251" s="21" t="s">
        <v>3445</v>
      </c>
      <c r="B251" s="21" t="s">
        <v>748</v>
      </c>
      <c r="C251" s="21" t="s">
        <v>3446</v>
      </c>
      <c r="D251" s="21" t="s">
        <v>71</v>
      </c>
      <c r="E251" s="21" t="s">
        <v>3447</v>
      </c>
      <c r="F251" s="21" t="s">
        <v>748</v>
      </c>
      <c r="G251" s="21" t="s">
        <v>3448</v>
      </c>
      <c r="H251" s="21" t="s">
        <v>3449</v>
      </c>
      <c r="I251" s="12" t="s">
        <v>3457</v>
      </c>
      <c r="J251" s="12" t="s">
        <v>4017</v>
      </c>
      <c r="K251" s="12"/>
      <c r="L251" s="12" t="s">
        <v>3646</v>
      </c>
      <c r="M251" s="12" t="s">
        <v>3647</v>
      </c>
    </row>
    <row r="252" spans="1:13" ht="105.6">
      <c r="A252" s="21" t="s">
        <v>3445</v>
      </c>
      <c r="B252" s="21" t="s">
        <v>748</v>
      </c>
      <c r="C252" s="21" t="s">
        <v>3446</v>
      </c>
      <c r="D252" s="21" t="s">
        <v>71</v>
      </c>
      <c r="E252" s="21" t="s">
        <v>3447</v>
      </c>
      <c r="F252" s="21" t="s">
        <v>748</v>
      </c>
      <c r="G252" s="21" t="s">
        <v>3448</v>
      </c>
      <c r="H252" s="21" t="s">
        <v>3449</v>
      </c>
      <c r="I252" s="12" t="s">
        <v>3458</v>
      </c>
      <c r="J252" s="12" t="s">
        <v>4018</v>
      </c>
      <c r="K252" s="12"/>
      <c r="L252" s="12" t="s">
        <v>3648</v>
      </c>
      <c r="M252" s="12" t="s">
        <v>3649</v>
      </c>
    </row>
    <row r="253" spans="1:13" ht="105.6">
      <c r="A253" s="21" t="s">
        <v>3445</v>
      </c>
      <c r="B253" s="21" t="s">
        <v>748</v>
      </c>
      <c r="C253" s="21" t="s">
        <v>3446</v>
      </c>
      <c r="D253" s="21" t="s">
        <v>71</v>
      </c>
      <c r="E253" s="21" t="s">
        <v>3447</v>
      </c>
      <c r="F253" s="21" t="s">
        <v>748</v>
      </c>
      <c r="G253" s="21" t="s">
        <v>3448</v>
      </c>
      <c r="H253" s="21" t="s">
        <v>3449</v>
      </c>
      <c r="I253" s="12" t="s">
        <v>3459</v>
      </c>
      <c r="J253" s="12" t="s">
        <v>4019</v>
      </c>
      <c r="K253" s="12"/>
      <c r="L253" s="12" t="s">
        <v>3650</v>
      </c>
      <c r="M253" s="12" t="s">
        <v>3651</v>
      </c>
    </row>
    <row r="254" spans="1:13" ht="105.6">
      <c r="A254" s="21" t="s">
        <v>3445</v>
      </c>
      <c r="B254" s="21" t="s">
        <v>748</v>
      </c>
      <c r="C254" s="21" t="s">
        <v>3446</v>
      </c>
      <c r="D254" s="21" t="s">
        <v>71</v>
      </c>
      <c r="E254" s="21" t="s">
        <v>3447</v>
      </c>
      <c r="F254" s="21" t="s">
        <v>748</v>
      </c>
      <c r="G254" s="21" t="s">
        <v>3448</v>
      </c>
      <c r="H254" s="21" t="s">
        <v>3449</v>
      </c>
      <c r="I254" s="12" t="s">
        <v>3460</v>
      </c>
      <c r="J254" s="12" t="s">
        <v>4020</v>
      </c>
      <c r="K254" s="12" t="s">
        <v>3652</v>
      </c>
      <c r="L254" s="12" t="s">
        <v>3653</v>
      </c>
      <c r="M254" s="12" t="s">
        <v>3654</v>
      </c>
    </row>
    <row r="255" spans="1:13" ht="105.6">
      <c r="A255" s="21" t="s">
        <v>3445</v>
      </c>
      <c r="B255" s="21" t="s">
        <v>748</v>
      </c>
      <c r="C255" s="21" t="s">
        <v>3446</v>
      </c>
      <c r="D255" s="21" t="s">
        <v>71</v>
      </c>
      <c r="E255" s="21" t="s">
        <v>3447</v>
      </c>
      <c r="F255" s="21" t="s">
        <v>748</v>
      </c>
      <c r="G255" s="21" t="s">
        <v>3448</v>
      </c>
      <c r="H255" s="21" t="s">
        <v>3449</v>
      </c>
      <c r="I255" s="12" t="s">
        <v>3461</v>
      </c>
      <c r="J255" s="12" t="s">
        <v>4021</v>
      </c>
      <c r="K255" s="12"/>
      <c r="L255" s="12" t="s">
        <v>3655</v>
      </c>
      <c r="M255" s="12" t="s">
        <v>3656</v>
      </c>
    </row>
    <row r="256" spans="1:13" ht="105.6">
      <c r="A256" s="21" t="s">
        <v>3445</v>
      </c>
      <c r="B256" s="21" t="s">
        <v>748</v>
      </c>
      <c r="C256" s="21" t="s">
        <v>3446</v>
      </c>
      <c r="D256" s="21" t="s">
        <v>71</v>
      </c>
      <c r="E256" s="21" t="s">
        <v>3447</v>
      </c>
      <c r="F256" s="21" t="s">
        <v>748</v>
      </c>
      <c r="G256" s="21" t="s">
        <v>3448</v>
      </c>
      <c r="H256" s="21" t="s">
        <v>3449</v>
      </c>
      <c r="I256" s="12" t="s">
        <v>3462</v>
      </c>
      <c r="J256" s="12" t="s">
        <v>4022</v>
      </c>
      <c r="K256" s="12"/>
      <c r="L256" s="12" t="s">
        <v>3657</v>
      </c>
      <c r="M256" s="12" t="s">
        <v>3658</v>
      </c>
    </row>
    <row r="257" spans="1:13" ht="105.6">
      <c r="A257" s="21" t="s">
        <v>3445</v>
      </c>
      <c r="B257" s="21" t="s">
        <v>748</v>
      </c>
      <c r="C257" s="21" t="s">
        <v>3446</v>
      </c>
      <c r="D257" s="21" t="s">
        <v>71</v>
      </c>
      <c r="E257" s="21" t="s">
        <v>3447</v>
      </c>
      <c r="F257" s="21" t="s">
        <v>748</v>
      </c>
      <c r="G257" s="21" t="s">
        <v>3448</v>
      </c>
      <c r="H257" s="21" t="s">
        <v>3449</v>
      </c>
      <c r="I257" s="12" t="s">
        <v>3463</v>
      </c>
      <c r="J257" s="12" t="s">
        <v>4023</v>
      </c>
      <c r="K257" s="12"/>
      <c r="L257" s="12" t="s">
        <v>3659</v>
      </c>
      <c r="M257" s="12" t="s">
        <v>3660</v>
      </c>
    </row>
    <row r="258" spans="1:13" ht="105.6">
      <c r="A258" s="21" t="s">
        <v>3445</v>
      </c>
      <c r="B258" s="21" t="s">
        <v>748</v>
      </c>
      <c r="C258" s="21" t="s">
        <v>3446</v>
      </c>
      <c r="D258" s="21" t="s">
        <v>71</v>
      </c>
      <c r="E258" s="21" t="s">
        <v>3447</v>
      </c>
      <c r="F258" s="21" t="s">
        <v>748</v>
      </c>
      <c r="G258" s="21" t="s">
        <v>3448</v>
      </c>
      <c r="H258" s="21" t="s">
        <v>3449</v>
      </c>
      <c r="I258" s="12" t="s">
        <v>3464</v>
      </c>
      <c r="J258" s="12" t="s">
        <v>4024</v>
      </c>
      <c r="K258" s="12"/>
      <c r="L258" s="12" t="s">
        <v>3661</v>
      </c>
      <c r="M258" s="12" t="s">
        <v>3662</v>
      </c>
    </row>
    <row r="259" spans="1:13" ht="105.6">
      <c r="A259" s="21" t="s">
        <v>3445</v>
      </c>
      <c r="B259" s="21" t="s">
        <v>748</v>
      </c>
      <c r="C259" s="21" t="s">
        <v>3446</v>
      </c>
      <c r="D259" s="21" t="s">
        <v>71</v>
      </c>
      <c r="E259" s="21" t="s">
        <v>3447</v>
      </c>
      <c r="F259" s="21" t="s">
        <v>748</v>
      </c>
      <c r="G259" s="21" t="s">
        <v>3448</v>
      </c>
      <c r="H259" s="21" t="s">
        <v>3449</v>
      </c>
      <c r="I259" s="12" t="s">
        <v>3465</v>
      </c>
      <c r="J259" s="12" t="s">
        <v>4025</v>
      </c>
      <c r="K259" s="12"/>
      <c r="L259" s="12" t="s">
        <v>3663</v>
      </c>
      <c r="M259" s="12" t="s">
        <v>3664</v>
      </c>
    </row>
    <row r="260" spans="1:13" ht="105.6">
      <c r="A260" s="21" t="s">
        <v>3445</v>
      </c>
      <c r="B260" s="21" t="s">
        <v>748</v>
      </c>
      <c r="C260" s="21" t="s">
        <v>3446</v>
      </c>
      <c r="D260" s="21" t="s">
        <v>71</v>
      </c>
      <c r="E260" s="21" t="s">
        <v>3447</v>
      </c>
      <c r="F260" s="21" t="s">
        <v>748</v>
      </c>
      <c r="G260" s="21" t="s">
        <v>3448</v>
      </c>
      <c r="H260" s="21" t="s">
        <v>3449</v>
      </c>
      <c r="I260" s="12" t="s">
        <v>3466</v>
      </c>
      <c r="J260" s="12" t="s">
        <v>4026</v>
      </c>
      <c r="K260" s="12"/>
      <c r="L260" s="12" t="s">
        <v>3665</v>
      </c>
      <c r="M260" s="12" t="s">
        <v>3666</v>
      </c>
    </row>
    <row r="261" spans="1:13" ht="105.6">
      <c r="A261" s="21" t="s">
        <v>3445</v>
      </c>
      <c r="B261" s="21" t="s">
        <v>748</v>
      </c>
      <c r="C261" s="21" t="s">
        <v>3446</v>
      </c>
      <c r="D261" s="21" t="s">
        <v>71</v>
      </c>
      <c r="E261" s="21" t="s">
        <v>3447</v>
      </c>
      <c r="F261" s="21" t="s">
        <v>748</v>
      </c>
      <c r="G261" s="21" t="s">
        <v>3448</v>
      </c>
      <c r="H261" s="21" t="s">
        <v>3449</v>
      </c>
      <c r="I261" s="12" t="s">
        <v>3467</v>
      </c>
      <c r="J261" s="12" t="s">
        <v>4027</v>
      </c>
      <c r="K261" s="12"/>
      <c r="L261" s="12" t="s">
        <v>3667</v>
      </c>
      <c r="M261" s="12" t="s">
        <v>3668</v>
      </c>
    </row>
    <row r="262" spans="1:13" ht="105.6">
      <c r="A262" s="21" t="s">
        <v>3445</v>
      </c>
      <c r="B262" s="21" t="s">
        <v>748</v>
      </c>
      <c r="C262" s="21" t="s">
        <v>3446</v>
      </c>
      <c r="D262" s="21" t="s">
        <v>71</v>
      </c>
      <c r="E262" s="21" t="s">
        <v>3447</v>
      </c>
      <c r="F262" s="21" t="s">
        <v>748</v>
      </c>
      <c r="G262" s="21" t="s">
        <v>3448</v>
      </c>
      <c r="H262" s="21" t="s">
        <v>3449</v>
      </c>
      <c r="I262" s="12" t="s">
        <v>3468</v>
      </c>
      <c r="J262" s="12" t="s">
        <v>4028</v>
      </c>
      <c r="K262" s="12"/>
      <c r="L262" s="12" t="s">
        <v>3669</v>
      </c>
      <c r="M262" s="12" t="s">
        <v>3670</v>
      </c>
    </row>
    <row r="263" spans="1:13" ht="105.6">
      <c r="A263" s="21" t="s">
        <v>3445</v>
      </c>
      <c r="B263" s="21" t="s">
        <v>748</v>
      </c>
      <c r="C263" s="21" t="s">
        <v>3446</v>
      </c>
      <c r="D263" s="21" t="s">
        <v>71</v>
      </c>
      <c r="E263" s="21" t="s">
        <v>3447</v>
      </c>
      <c r="F263" s="21" t="s">
        <v>748</v>
      </c>
      <c r="G263" s="21" t="s">
        <v>3448</v>
      </c>
      <c r="H263" s="21" t="s">
        <v>3449</v>
      </c>
      <c r="I263" s="12" t="s">
        <v>3469</v>
      </c>
      <c r="J263" s="12" t="s">
        <v>4029</v>
      </c>
      <c r="K263" s="12"/>
      <c r="L263" s="12" t="s">
        <v>3671</v>
      </c>
      <c r="M263" s="12" t="s">
        <v>3672</v>
      </c>
    </row>
    <row r="264" spans="1:13" ht="105.6">
      <c r="A264" s="21" t="s">
        <v>3445</v>
      </c>
      <c r="B264" s="21" t="s">
        <v>748</v>
      </c>
      <c r="C264" s="21" t="s">
        <v>3446</v>
      </c>
      <c r="D264" s="21" t="s">
        <v>71</v>
      </c>
      <c r="E264" s="21" t="s">
        <v>3447</v>
      </c>
      <c r="F264" s="21" t="s">
        <v>748</v>
      </c>
      <c r="G264" s="21" t="s">
        <v>3448</v>
      </c>
      <c r="H264" s="21" t="s">
        <v>3449</v>
      </c>
      <c r="I264" s="12" t="s">
        <v>3470</v>
      </c>
      <c r="J264" s="12" t="s">
        <v>4030</v>
      </c>
      <c r="K264" s="12"/>
      <c r="L264" s="12" t="s">
        <v>3673</v>
      </c>
      <c r="M264" s="12" t="s">
        <v>3674</v>
      </c>
    </row>
    <row r="265" spans="1:13" ht="105.6">
      <c r="A265" s="21" t="s">
        <v>3445</v>
      </c>
      <c r="B265" s="21" t="s">
        <v>748</v>
      </c>
      <c r="C265" s="21" t="s">
        <v>3446</v>
      </c>
      <c r="D265" s="21" t="s">
        <v>71</v>
      </c>
      <c r="E265" s="21" t="s">
        <v>3447</v>
      </c>
      <c r="F265" s="21" t="s">
        <v>748</v>
      </c>
      <c r="G265" s="21" t="s">
        <v>3448</v>
      </c>
      <c r="H265" s="21" t="s">
        <v>3449</v>
      </c>
      <c r="I265" s="12" t="s">
        <v>3471</v>
      </c>
      <c r="J265" s="12" t="s">
        <v>4031</v>
      </c>
      <c r="K265" s="12"/>
      <c r="L265" s="12" t="s">
        <v>3675</v>
      </c>
      <c r="M265" s="12" t="s">
        <v>3676</v>
      </c>
    </row>
    <row r="266" spans="1:13" ht="105.6">
      <c r="A266" s="21" t="s">
        <v>3445</v>
      </c>
      <c r="B266" s="21" t="s">
        <v>748</v>
      </c>
      <c r="C266" s="21" t="s">
        <v>3446</v>
      </c>
      <c r="D266" s="21" t="s">
        <v>71</v>
      </c>
      <c r="E266" s="21" t="s">
        <v>3447</v>
      </c>
      <c r="F266" s="21" t="s">
        <v>748</v>
      </c>
      <c r="G266" s="21" t="s">
        <v>3448</v>
      </c>
      <c r="H266" s="21" t="s">
        <v>3449</v>
      </c>
      <c r="I266" s="12" t="s">
        <v>3472</v>
      </c>
      <c r="J266" s="12" t="s">
        <v>4032</v>
      </c>
      <c r="K266" s="12"/>
      <c r="L266" s="12" t="s">
        <v>3677</v>
      </c>
      <c r="M266" s="12" t="s">
        <v>3678</v>
      </c>
    </row>
    <row r="267" spans="1:13" ht="105.6">
      <c r="A267" s="21" t="s">
        <v>3445</v>
      </c>
      <c r="B267" s="21" t="s">
        <v>748</v>
      </c>
      <c r="C267" s="21" t="s">
        <v>3446</v>
      </c>
      <c r="D267" s="21" t="s">
        <v>71</v>
      </c>
      <c r="E267" s="21" t="s">
        <v>3447</v>
      </c>
      <c r="F267" s="21" t="s">
        <v>748</v>
      </c>
      <c r="G267" s="21" t="s">
        <v>3448</v>
      </c>
      <c r="H267" s="21" t="s">
        <v>3449</v>
      </c>
      <c r="I267" s="12" t="s">
        <v>3473</v>
      </c>
      <c r="J267" s="12" t="s">
        <v>4033</v>
      </c>
      <c r="K267" s="12"/>
      <c r="L267" s="12" t="s">
        <v>3679</v>
      </c>
      <c r="M267" s="12" t="s">
        <v>3680</v>
      </c>
    </row>
    <row r="268" spans="1:13" ht="105.6">
      <c r="A268" s="21" t="s">
        <v>3445</v>
      </c>
      <c r="B268" s="21" t="s">
        <v>748</v>
      </c>
      <c r="C268" s="21" t="s">
        <v>3446</v>
      </c>
      <c r="D268" s="21" t="s">
        <v>71</v>
      </c>
      <c r="E268" s="21" t="s">
        <v>3447</v>
      </c>
      <c r="F268" s="21" t="s">
        <v>748</v>
      </c>
      <c r="G268" s="21" t="s">
        <v>3448</v>
      </c>
      <c r="H268" s="21" t="s">
        <v>3449</v>
      </c>
      <c r="I268" s="12" t="s">
        <v>3474</v>
      </c>
      <c r="J268" s="12" t="s">
        <v>4034</v>
      </c>
      <c r="K268" s="12"/>
      <c r="L268" s="12" t="s">
        <v>3681</v>
      </c>
      <c r="M268" s="12" t="s">
        <v>3682</v>
      </c>
    </row>
    <row r="269" spans="1:13" ht="105.6">
      <c r="A269" s="21" t="s">
        <v>3445</v>
      </c>
      <c r="B269" s="21" t="s">
        <v>748</v>
      </c>
      <c r="C269" s="21" t="s">
        <v>3446</v>
      </c>
      <c r="D269" s="21" t="s">
        <v>71</v>
      </c>
      <c r="E269" s="21" t="s">
        <v>3447</v>
      </c>
      <c r="F269" s="21" t="s">
        <v>748</v>
      </c>
      <c r="G269" s="21" t="s">
        <v>3448</v>
      </c>
      <c r="H269" s="21" t="s">
        <v>3449</v>
      </c>
      <c r="I269" s="12" t="s">
        <v>3475</v>
      </c>
      <c r="J269" s="12" t="s">
        <v>4035</v>
      </c>
      <c r="K269" s="12"/>
      <c r="L269" s="12" t="s">
        <v>3683</v>
      </c>
      <c r="M269" s="12" t="s">
        <v>3684</v>
      </c>
    </row>
    <row r="270" spans="1:13" ht="105.6">
      <c r="A270" s="21" t="s">
        <v>3445</v>
      </c>
      <c r="B270" s="21" t="s">
        <v>748</v>
      </c>
      <c r="C270" s="21" t="s">
        <v>3446</v>
      </c>
      <c r="D270" s="21" t="s">
        <v>71</v>
      </c>
      <c r="E270" s="21" t="s">
        <v>3447</v>
      </c>
      <c r="F270" s="21" t="s">
        <v>748</v>
      </c>
      <c r="G270" s="21" t="s">
        <v>3448</v>
      </c>
      <c r="H270" s="21" t="s">
        <v>3449</v>
      </c>
      <c r="I270" s="12" t="s">
        <v>3476</v>
      </c>
      <c r="J270" s="12" t="s">
        <v>4036</v>
      </c>
      <c r="K270" s="12"/>
      <c r="L270" s="12" t="s">
        <v>3685</v>
      </c>
      <c r="M270" s="12" t="s">
        <v>3686</v>
      </c>
    </row>
    <row r="271" spans="1:13" ht="105.6">
      <c r="A271" s="21" t="s">
        <v>3445</v>
      </c>
      <c r="B271" s="21" t="s">
        <v>748</v>
      </c>
      <c r="C271" s="21" t="s">
        <v>3446</v>
      </c>
      <c r="D271" s="21" t="s">
        <v>71</v>
      </c>
      <c r="E271" s="21" t="s">
        <v>3447</v>
      </c>
      <c r="F271" s="21" t="s">
        <v>748</v>
      </c>
      <c r="G271" s="21" t="s">
        <v>3448</v>
      </c>
      <c r="H271" s="21" t="s">
        <v>3449</v>
      </c>
      <c r="I271" s="12" t="s">
        <v>3477</v>
      </c>
      <c r="J271" s="12" t="s">
        <v>4037</v>
      </c>
      <c r="K271" s="12"/>
      <c r="L271" s="12" t="s">
        <v>3687</v>
      </c>
      <c r="M271" s="12" t="s">
        <v>3688</v>
      </c>
    </row>
    <row r="272" spans="1:13" ht="105.6">
      <c r="A272" s="21" t="s">
        <v>3445</v>
      </c>
      <c r="B272" s="21" t="s">
        <v>748</v>
      </c>
      <c r="C272" s="21" t="s">
        <v>3446</v>
      </c>
      <c r="D272" s="21" t="s">
        <v>71</v>
      </c>
      <c r="E272" s="21" t="s">
        <v>3447</v>
      </c>
      <c r="F272" s="21" t="s">
        <v>748</v>
      </c>
      <c r="G272" s="21" t="s">
        <v>3448</v>
      </c>
      <c r="H272" s="21" t="s">
        <v>3449</v>
      </c>
      <c r="I272" s="12" t="s">
        <v>3478</v>
      </c>
      <c r="J272" s="12" t="s">
        <v>4038</v>
      </c>
      <c r="K272" s="12"/>
      <c r="L272" s="12" t="s">
        <v>3689</v>
      </c>
      <c r="M272" s="12" t="s">
        <v>3690</v>
      </c>
    </row>
    <row r="273" spans="1:13" ht="105.6">
      <c r="A273" s="21" t="s">
        <v>3445</v>
      </c>
      <c r="B273" s="21" t="s">
        <v>748</v>
      </c>
      <c r="C273" s="21" t="s">
        <v>3446</v>
      </c>
      <c r="D273" s="21" t="s">
        <v>71</v>
      </c>
      <c r="E273" s="21" t="s">
        <v>3447</v>
      </c>
      <c r="F273" s="21" t="s">
        <v>748</v>
      </c>
      <c r="G273" s="21" t="s">
        <v>3448</v>
      </c>
      <c r="H273" s="21" t="s">
        <v>3449</v>
      </c>
      <c r="I273" s="12" t="s">
        <v>3479</v>
      </c>
      <c r="J273" s="12" t="s">
        <v>4039</v>
      </c>
      <c r="K273" s="12"/>
      <c r="L273" s="12" t="s">
        <v>3691</v>
      </c>
      <c r="M273" s="12" t="s">
        <v>3692</v>
      </c>
    </row>
    <row r="274" spans="1:13" ht="105.6">
      <c r="A274" s="21" t="s">
        <v>3445</v>
      </c>
      <c r="B274" s="21" t="s">
        <v>748</v>
      </c>
      <c r="C274" s="21" t="s">
        <v>3446</v>
      </c>
      <c r="D274" s="21" t="s">
        <v>71</v>
      </c>
      <c r="E274" s="21" t="s">
        <v>3447</v>
      </c>
      <c r="F274" s="21" t="s">
        <v>748</v>
      </c>
      <c r="G274" s="21" t="s">
        <v>3448</v>
      </c>
      <c r="H274" s="21" t="s">
        <v>3449</v>
      </c>
      <c r="I274" s="12" t="s">
        <v>3480</v>
      </c>
      <c r="J274" s="12" t="s">
        <v>4040</v>
      </c>
      <c r="K274" s="12"/>
      <c r="L274" s="12" t="s">
        <v>3693</v>
      </c>
      <c r="M274" s="12" t="s">
        <v>3694</v>
      </c>
    </row>
    <row r="275" spans="1:13" ht="105.6">
      <c r="A275" s="21" t="s">
        <v>3445</v>
      </c>
      <c r="B275" s="21" t="s">
        <v>748</v>
      </c>
      <c r="C275" s="21" t="s">
        <v>3446</v>
      </c>
      <c r="D275" s="21" t="s">
        <v>71</v>
      </c>
      <c r="E275" s="21" t="s">
        <v>3447</v>
      </c>
      <c r="F275" s="21" t="s">
        <v>748</v>
      </c>
      <c r="G275" s="21" t="s">
        <v>3448</v>
      </c>
      <c r="H275" s="21" t="s">
        <v>3449</v>
      </c>
      <c r="I275" s="12" t="s">
        <v>3481</v>
      </c>
      <c r="J275" s="12" t="s">
        <v>4041</v>
      </c>
      <c r="K275" s="12"/>
      <c r="L275" s="12" t="s">
        <v>3695</v>
      </c>
      <c r="M275" s="12" t="s">
        <v>3696</v>
      </c>
    </row>
    <row r="276" spans="1:13" ht="105.6">
      <c r="A276" s="21" t="s">
        <v>3445</v>
      </c>
      <c r="B276" s="21" t="s">
        <v>748</v>
      </c>
      <c r="C276" s="21" t="s">
        <v>3446</v>
      </c>
      <c r="D276" s="21" t="s">
        <v>71</v>
      </c>
      <c r="E276" s="21" t="s">
        <v>3447</v>
      </c>
      <c r="F276" s="21" t="s">
        <v>748</v>
      </c>
      <c r="G276" s="21" t="s">
        <v>3448</v>
      </c>
      <c r="H276" s="21" t="s">
        <v>3449</v>
      </c>
      <c r="I276" s="12" t="s">
        <v>3482</v>
      </c>
      <c r="J276" s="12" t="s">
        <v>4042</v>
      </c>
      <c r="K276" s="12"/>
      <c r="L276" s="12" t="s">
        <v>3697</v>
      </c>
      <c r="M276" s="12" t="s">
        <v>3698</v>
      </c>
    </row>
    <row r="277" spans="1:13" ht="105.6">
      <c r="A277" s="21" t="s">
        <v>3445</v>
      </c>
      <c r="B277" s="21" t="s">
        <v>748</v>
      </c>
      <c r="C277" s="21" t="s">
        <v>3446</v>
      </c>
      <c r="D277" s="21" t="s">
        <v>71</v>
      </c>
      <c r="E277" s="21" t="s">
        <v>3447</v>
      </c>
      <c r="F277" s="21" t="s">
        <v>748</v>
      </c>
      <c r="G277" s="21" t="s">
        <v>3448</v>
      </c>
      <c r="H277" s="21" t="s">
        <v>3449</v>
      </c>
      <c r="I277" s="12" t="s">
        <v>3483</v>
      </c>
      <c r="J277" s="12" t="s">
        <v>4043</v>
      </c>
      <c r="K277" s="12"/>
      <c r="L277" s="12" t="s">
        <v>3699</v>
      </c>
      <c r="M277" s="12" t="s">
        <v>3700</v>
      </c>
    </row>
    <row r="278" spans="1:13" ht="105.6">
      <c r="A278" s="21" t="s">
        <v>3445</v>
      </c>
      <c r="B278" s="21" t="s">
        <v>748</v>
      </c>
      <c r="C278" s="21" t="s">
        <v>3446</v>
      </c>
      <c r="D278" s="21" t="s">
        <v>71</v>
      </c>
      <c r="E278" s="21" t="s">
        <v>3447</v>
      </c>
      <c r="F278" s="21" t="s">
        <v>748</v>
      </c>
      <c r="G278" s="21" t="s">
        <v>3448</v>
      </c>
      <c r="H278" s="21" t="s">
        <v>3449</v>
      </c>
      <c r="I278" s="12" t="s">
        <v>3484</v>
      </c>
      <c r="J278" s="12" t="s">
        <v>4044</v>
      </c>
      <c r="K278" s="12" t="s">
        <v>3701</v>
      </c>
      <c r="L278" s="12" t="s">
        <v>3702</v>
      </c>
      <c r="M278" s="12" t="s">
        <v>3703</v>
      </c>
    </row>
    <row r="279" spans="1:13" ht="105.6">
      <c r="A279" s="21" t="s">
        <v>3445</v>
      </c>
      <c r="B279" s="21" t="s">
        <v>748</v>
      </c>
      <c r="C279" s="21" t="s">
        <v>3446</v>
      </c>
      <c r="D279" s="21" t="s">
        <v>71</v>
      </c>
      <c r="E279" s="21" t="s">
        <v>3447</v>
      </c>
      <c r="F279" s="21" t="s">
        <v>748</v>
      </c>
      <c r="G279" s="21" t="s">
        <v>3448</v>
      </c>
      <c r="H279" s="21" t="s">
        <v>3449</v>
      </c>
      <c r="I279" s="12" t="s">
        <v>3485</v>
      </c>
      <c r="J279" s="12" t="s">
        <v>4045</v>
      </c>
      <c r="K279" s="12"/>
      <c r="L279" s="12" t="s">
        <v>3704</v>
      </c>
      <c r="M279" s="12" t="s">
        <v>3705</v>
      </c>
    </row>
    <row r="280" spans="1:13" ht="105.6">
      <c r="A280" s="21" t="s">
        <v>3445</v>
      </c>
      <c r="B280" s="21" t="s">
        <v>748</v>
      </c>
      <c r="C280" s="21" t="s">
        <v>3446</v>
      </c>
      <c r="D280" s="21" t="s">
        <v>71</v>
      </c>
      <c r="E280" s="21" t="s">
        <v>3447</v>
      </c>
      <c r="F280" s="21" t="s">
        <v>748</v>
      </c>
      <c r="G280" s="21" t="s">
        <v>3448</v>
      </c>
      <c r="H280" s="21" t="s">
        <v>3449</v>
      </c>
      <c r="I280" s="12" t="s">
        <v>3486</v>
      </c>
      <c r="J280" s="12" t="s">
        <v>4046</v>
      </c>
      <c r="K280" s="12"/>
      <c r="L280" s="12" t="s">
        <v>3706</v>
      </c>
      <c r="M280" s="12" t="s">
        <v>3707</v>
      </c>
    </row>
    <row r="281" spans="1:13" ht="105.6">
      <c r="A281" s="21" t="s">
        <v>3445</v>
      </c>
      <c r="B281" s="21" t="s">
        <v>748</v>
      </c>
      <c r="C281" s="21" t="s">
        <v>3446</v>
      </c>
      <c r="D281" s="21" t="s">
        <v>71</v>
      </c>
      <c r="E281" s="21" t="s">
        <v>3447</v>
      </c>
      <c r="F281" s="21" t="s">
        <v>748</v>
      </c>
      <c r="G281" s="21" t="s">
        <v>3448</v>
      </c>
      <c r="H281" s="21" t="s">
        <v>3449</v>
      </c>
      <c r="I281" s="12" t="s">
        <v>3487</v>
      </c>
      <c r="J281" s="12" t="s">
        <v>4047</v>
      </c>
      <c r="K281" s="12"/>
      <c r="L281" s="12" t="s">
        <v>3708</v>
      </c>
      <c r="M281" s="12" t="s">
        <v>3709</v>
      </c>
    </row>
    <row r="282" spans="1:13" ht="105.6">
      <c r="A282" s="21" t="s">
        <v>3445</v>
      </c>
      <c r="B282" s="21" t="s">
        <v>748</v>
      </c>
      <c r="C282" s="21" t="s">
        <v>3446</v>
      </c>
      <c r="D282" s="21" t="s">
        <v>71</v>
      </c>
      <c r="E282" s="21" t="s">
        <v>3447</v>
      </c>
      <c r="F282" s="21" t="s">
        <v>748</v>
      </c>
      <c r="G282" s="21" t="s">
        <v>3448</v>
      </c>
      <c r="H282" s="21" t="s">
        <v>3449</v>
      </c>
      <c r="I282" s="12" t="s">
        <v>3488</v>
      </c>
      <c r="J282" s="12" t="s">
        <v>4048</v>
      </c>
      <c r="K282" s="12"/>
      <c r="L282" s="12" t="s">
        <v>3710</v>
      </c>
      <c r="M282" s="12" t="s">
        <v>3711</v>
      </c>
    </row>
    <row r="283" spans="1:13" ht="105.6">
      <c r="A283" s="21" t="s">
        <v>3445</v>
      </c>
      <c r="B283" s="21" t="s">
        <v>748</v>
      </c>
      <c r="C283" s="21" t="s">
        <v>3446</v>
      </c>
      <c r="D283" s="21" t="s">
        <v>71</v>
      </c>
      <c r="E283" s="21" t="s">
        <v>3447</v>
      </c>
      <c r="F283" s="21" t="s">
        <v>748</v>
      </c>
      <c r="G283" s="21" t="s">
        <v>3448</v>
      </c>
      <c r="H283" s="21" t="s">
        <v>3449</v>
      </c>
      <c r="I283" s="12" t="s">
        <v>3489</v>
      </c>
      <c r="J283" s="12" t="s">
        <v>4049</v>
      </c>
      <c r="K283" s="12"/>
      <c r="L283" s="12" t="s">
        <v>3712</v>
      </c>
      <c r="M283" s="12" t="s">
        <v>3713</v>
      </c>
    </row>
    <row r="284" spans="1:13" ht="105.6">
      <c r="A284" s="21" t="s">
        <v>3445</v>
      </c>
      <c r="B284" s="21" t="s">
        <v>748</v>
      </c>
      <c r="C284" s="21" t="s">
        <v>3446</v>
      </c>
      <c r="D284" s="21" t="s">
        <v>71</v>
      </c>
      <c r="E284" s="21" t="s">
        <v>3447</v>
      </c>
      <c r="F284" s="21" t="s">
        <v>748</v>
      </c>
      <c r="G284" s="21" t="s">
        <v>3448</v>
      </c>
      <c r="H284" s="21" t="s">
        <v>3449</v>
      </c>
      <c r="I284" s="12" t="s">
        <v>3490</v>
      </c>
      <c r="J284" s="12" t="s">
        <v>4050</v>
      </c>
      <c r="K284" s="12"/>
      <c r="L284" s="12" t="s">
        <v>3714</v>
      </c>
      <c r="M284" s="12" t="s">
        <v>3715</v>
      </c>
    </row>
    <row r="285" spans="1:13" ht="132">
      <c r="A285" s="21" t="s">
        <v>3445</v>
      </c>
      <c r="B285" s="21" t="s">
        <v>748</v>
      </c>
      <c r="C285" s="21" t="s">
        <v>3446</v>
      </c>
      <c r="D285" s="21" t="s">
        <v>71</v>
      </c>
      <c r="E285" s="21" t="s">
        <v>3447</v>
      </c>
      <c r="F285" s="21" t="s">
        <v>748</v>
      </c>
      <c r="G285" s="21" t="s">
        <v>3448</v>
      </c>
      <c r="H285" s="21" t="s">
        <v>3449</v>
      </c>
      <c r="I285" s="12" t="s">
        <v>3491</v>
      </c>
      <c r="J285" s="12" t="s">
        <v>4051</v>
      </c>
      <c r="K285" s="12"/>
      <c r="L285" s="12" t="s">
        <v>3716</v>
      </c>
      <c r="M285" s="12" t="s">
        <v>3717</v>
      </c>
    </row>
    <row r="286" spans="1:13" ht="105.6">
      <c r="A286" s="21" t="s">
        <v>3445</v>
      </c>
      <c r="B286" s="21" t="s">
        <v>748</v>
      </c>
      <c r="C286" s="21" t="s">
        <v>3446</v>
      </c>
      <c r="D286" s="21" t="s">
        <v>71</v>
      </c>
      <c r="E286" s="21" t="s">
        <v>3447</v>
      </c>
      <c r="F286" s="21" t="s">
        <v>748</v>
      </c>
      <c r="G286" s="21" t="s">
        <v>3448</v>
      </c>
      <c r="H286" s="21" t="s">
        <v>3449</v>
      </c>
      <c r="I286" s="12" t="s">
        <v>3492</v>
      </c>
      <c r="J286" s="12" t="s">
        <v>4052</v>
      </c>
      <c r="K286" s="12"/>
      <c r="L286" s="12" t="s">
        <v>3718</v>
      </c>
      <c r="M286" s="12" t="s">
        <v>3719</v>
      </c>
    </row>
    <row r="287" spans="1:13" ht="105.6">
      <c r="A287" s="21" t="s">
        <v>3445</v>
      </c>
      <c r="B287" s="21" t="s">
        <v>748</v>
      </c>
      <c r="C287" s="21" t="s">
        <v>3446</v>
      </c>
      <c r="D287" s="21" t="s">
        <v>71</v>
      </c>
      <c r="E287" s="21" t="s">
        <v>3447</v>
      </c>
      <c r="F287" s="21" t="s">
        <v>748</v>
      </c>
      <c r="G287" s="21" t="s">
        <v>3448</v>
      </c>
      <c r="H287" s="21" t="s">
        <v>3449</v>
      </c>
      <c r="I287" s="12" t="s">
        <v>3493</v>
      </c>
      <c r="J287" s="12" t="s">
        <v>4053</v>
      </c>
      <c r="K287" s="12"/>
      <c r="L287" s="12" t="s">
        <v>3720</v>
      </c>
      <c r="M287" s="12" t="s">
        <v>3721</v>
      </c>
    </row>
    <row r="288" spans="1:13" ht="105.6">
      <c r="A288" s="21" t="s">
        <v>3445</v>
      </c>
      <c r="B288" s="21" t="s">
        <v>748</v>
      </c>
      <c r="C288" s="21" t="s">
        <v>3446</v>
      </c>
      <c r="D288" s="21" t="s">
        <v>71</v>
      </c>
      <c r="E288" s="21" t="s">
        <v>3447</v>
      </c>
      <c r="F288" s="21" t="s">
        <v>748</v>
      </c>
      <c r="G288" s="21" t="s">
        <v>3448</v>
      </c>
      <c r="H288" s="21" t="s">
        <v>3449</v>
      </c>
      <c r="I288" s="12" t="s">
        <v>3494</v>
      </c>
      <c r="J288" s="12" t="s">
        <v>4054</v>
      </c>
      <c r="K288" s="12"/>
      <c r="L288" s="12" t="s">
        <v>3722</v>
      </c>
      <c r="M288" s="12" t="s">
        <v>3723</v>
      </c>
    </row>
    <row r="289" spans="1:13" ht="105.6">
      <c r="A289" s="21" t="s">
        <v>3445</v>
      </c>
      <c r="B289" s="21" t="s">
        <v>748</v>
      </c>
      <c r="C289" s="21" t="s">
        <v>3446</v>
      </c>
      <c r="D289" s="21" t="s">
        <v>71</v>
      </c>
      <c r="E289" s="21" t="s">
        <v>3447</v>
      </c>
      <c r="F289" s="21" t="s">
        <v>748</v>
      </c>
      <c r="G289" s="21" t="s">
        <v>3448</v>
      </c>
      <c r="H289" s="21" t="s">
        <v>3449</v>
      </c>
      <c r="I289" s="12" t="s">
        <v>3495</v>
      </c>
      <c r="J289" s="12" t="s">
        <v>4055</v>
      </c>
      <c r="K289" s="12"/>
      <c r="L289" s="12" t="s">
        <v>3724</v>
      </c>
      <c r="M289" s="12" t="s">
        <v>3725</v>
      </c>
    </row>
    <row r="290" spans="1:13" ht="105.6">
      <c r="A290" s="21" t="s">
        <v>3445</v>
      </c>
      <c r="B290" s="21" t="s">
        <v>748</v>
      </c>
      <c r="C290" s="21" t="s">
        <v>3446</v>
      </c>
      <c r="D290" s="21" t="s">
        <v>71</v>
      </c>
      <c r="E290" s="21" t="s">
        <v>3447</v>
      </c>
      <c r="F290" s="21" t="s">
        <v>748</v>
      </c>
      <c r="G290" s="21" t="s">
        <v>3448</v>
      </c>
      <c r="H290" s="21" t="s">
        <v>3449</v>
      </c>
      <c r="I290" s="12" t="s">
        <v>3496</v>
      </c>
      <c r="J290" s="12" t="s">
        <v>4056</v>
      </c>
      <c r="K290" s="12"/>
      <c r="L290" s="12" t="s">
        <v>3726</v>
      </c>
      <c r="M290" s="12" t="s">
        <v>3727</v>
      </c>
    </row>
    <row r="291" spans="1:13" ht="105.6">
      <c r="A291" s="21" t="s">
        <v>3445</v>
      </c>
      <c r="B291" s="21" t="s">
        <v>748</v>
      </c>
      <c r="C291" s="21" t="s">
        <v>3446</v>
      </c>
      <c r="D291" s="21" t="s">
        <v>71</v>
      </c>
      <c r="E291" s="21" t="s">
        <v>3447</v>
      </c>
      <c r="F291" s="21" t="s">
        <v>748</v>
      </c>
      <c r="G291" s="21" t="s">
        <v>3448</v>
      </c>
      <c r="H291" s="21" t="s">
        <v>3449</v>
      </c>
      <c r="I291" s="12" t="s">
        <v>3497</v>
      </c>
      <c r="J291" s="12" t="s">
        <v>4057</v>
      </c>
      <c r="K291" s="12"/>
      <c r="L291" s="12" t="s">
        <v>3728</v>
      </c>
      <c r="M291" s="12" t="s">
        <v>3729</v>
      </c>
    </row>
    <row r="292" spans="1:13" ht="105.6">
      <c r="A292" s="21" t="s">
        <v>3445</v>
      </c>
      <c r="B292" s="21" t="s">
        <v>748</v>
      </c>
      <c r="C292" s="21" t="s">
        <v>3446</v>
      </c>
      <c r="D292" s="21" t="s">
        <v>71</v>
      </c>
      <c r="E292" s="21" t="s">
        <v>3447</v>
      </c>
      <c r="F292" s="21" t="s">
        <v>748</v>
      </c>
      <c r="G292" s="21" t="s">
        <v>3448</v>
      </c>
      <c r="H292" s="21" t="s">
        <v>3449</v>
      </c>
      <c r="I292" s="12" t="s">
        <v>3498</v>
      </c>
      <c r="J292" s="12" t="s">
        <v>4058</v>
      </c>
      <c r="K292" s="12"/>
      <c r="L292" s="12" t="s">
        <v>3730</v>
      </c>
      <c r="M292" s="12" t="s">
        <v>3731</v>
      </c>
    </row>
    <row r="293" spans="1:13" ht="105.6">
      <c r="A293" s="21" t="s">
        <v>3445</v>
      </c>
      <c r="B293" s="21" t="s">
        <v>748</v>
      </c>
      <c r="C293" s="21" t="s">
        <v>3446</v>
      </c>
      <c r="D293" s="21" t="s">
        <v>71</v>
      </c>
      <c r="E293" s="21" t="s">
        <v>3447</v>
      </c>
      <c r="F293" s="21" t="s">
        <v>748</v>
      </c>
      <c r="G293" s="21" t="s">
        <v>3448</v>
      </c>
      <c r="H293" s="21" t="s">
        <v>3449</v>
      </c>
      <c r="I293" s="12" t="s">
        <v>3499</v>
      </c>
      <c r="J293" s="12" t="s">
        <v>4059</v>
      </c>
      <c r="K293" s="12"/>
      <c r="L293" s="12" t="s">
        <v>3732</v>
      </c>
      <c r="M293" s="12" t="s">
        <v>3733</v>
      </c>
    </row>
    <row r="294" spans="1:13" ht="105.6">
      <c r="A294" s="21" t="s">
        <v>3445</v>
      </c>
      <c r="B294" s="21" t="s">
        <v>748</v>
      </c>
      <c r="C294" s="21" t="s">
        <v>3446</v>
      </c>
      <c r="D294" s="21" t="s">
        <v>71</v>
      </c>
      <c r="E294" s="21" t="s">
        <v>3447</v>
      </c>
      <c r="F294" s="21" t="s">
        <v>748</v>
      </c>
      <c r="G294" s="21" t="s">
        <v>3448</v>
      </c>
      <c r="H294" s="21" t="s">
        <v>3449</v>
      </c>
      <c r="I294" s="12" t="s">
        <v>3500</v>
      </c>
      <c r="J294" s="12" t="s">
        <v>4060</v>
      </c>
      <c r="K294" s="12"/>
      <c r="L294" s="12" t="s">
        <v>3734</v>
      </c>
      <c r="M294" s="12" t="s">
        <v>3735</v>
      </c>
    </row>
    <row r="295" spans="1:13" ht="105.6">
      <c r="A295" s="21" t="s">
        <v>3445</v>
      </c>
      <c r="B295" s="21" t="s">
        <v>748</v>
      </c>
      <c r="C295" s="21" t="s">
        <v>3446</v>
      </c>
      <c r="D295" s="21" t="s">
        <v>71</v>
      </c>
      <c r="E295" s="21" t="s">
        <v>3447</v>
      </c>
      <c r="F295" s="21" t="s">
        <v>748</v>
      </c>
      <c r="G295" s="21" t="s">
        <v>3448</v>
      </c>
      <c r="H295" s="21" t="s">
        <v>3449</v>
      </c>
      <c r="I295" s="12" t="s">
        <v>3501</v>
      </c>
      <c r="J295" s="12" t="s">
        <v>4061</v>
      </c>
      <c r="K295" s="12"/>
      <c r="L295" s="12" t="s">
        <v>3736</v>
      </c>
      <c r="M295" s="12" t="s">
        <v>3737</v>
      </c>
    </row>
    <row r="296" spans="1:13" ht="118.8">
      <c r="A296" s="21" t="s">
        <v>3445</v>
      </c>
      <c r="B296" s="21" t="s">
        <v>748</v>
      </c>
      <c r="C296" s="21" t="s">
        <v>3446</v>
      </c>
      <c r="D296" s="21" t="s">
        <v>71</v>
      </c>
      <c r="E296" s="21" t="s">
        <v>3447</v>
      </c>
      <c r="F296" s="21" t="s">
        <v>748</v>
      </c>
      <c r="G296" s="21" t="s">
        <v>3448</v>
      </c>
      <c r="H296" s="21" t="s">
        <v>3449</v>
      </c>
      <c r="I296" s="12" t="s">
        <v>3502</v>
      </c>
      <c r="J296" s="12" t="s">
        <v>4062</v>
      </c>
      <c r="K296" s="12"/>
      <c r="L296" s="12" t="s">
        <v>3738</v>
      </c>
      <c r="M296" s="12" t="s">
        <v>3739</v>
      </c>
    </row>
    <row r="297" spans="1:13" ht="105.6">
      <c r="A297" s="21" t="s">
        <v>3445</v>
      </c>
      <c r="B297" s="21" t="s">
        <v>748</v>
      </c>
      <c r="C297" s="21" t="s">
        <v>3446</v>
      </c>
      <c r="D297" s="21" t="s">
        <v>71</v>
      </c>
      <c r="E297" s="21" t="s">
        <v>3447</v>
      </c>
      <c r="F297" s="21" t="s">
        <v>748</v>
      </c>
      <c r="G297" s="21" t="s">
        <v>3448</v>
      </c>
      <c r="H297" s="21" t="s">
        <v>3449</v>
      </c>
      <c r="I297" s="12" t="s">
        <v>3503</v>
      </c>
      <c r="J297" s="12" t="s">
        <v>4063</v>
      </c>
      <c r="K297" s="12" t="s">
        <v>3740</v>
      </c>
      <c r="L297" s="12" t="s">
        <v>3741</v>
      </c>
      <c r="M297" s="12" t="s">
        <v>3742</v>
      </c>
    </row>
    <row r="298" spans="1:13" ht="105.6">
      <c r="A298" s="21" t="s">
        <v>3445</v>
      </c>
      <c r="B298" s="21" t="s">
        <v>748</v>
      </c>
      <c r="C298" s="21" t="s">
        <v>3446</v>
      </c>
      <c r="D298" s="21" t="s">
        <v>71</v>
      </c>
      <c r="E298" s="21" t="s">
        <v>3447</v>
      </c>
      <c r="F298" s="21" t="s">
        <v>748</v>
      </c>
      <c r="G298" s="21" t="s">
        <v>3448</v>
      </c>
      <c r="H298" s="21" t="s">
        <v>3449</v>
      </c>
      <c r="I298" s="12" t="s">
        <v>3504</v>
      </c>
      <c r="J298" s="12" t="s">
        <v>4064</v>
      </c>
      <c r="K298" s="12"/>
      <c r="L298" s="12" t="s">
        <v>3743</v>
      </c>
      <c r="M298" s="12" t="s">
        <v>3744</v>
      </c>
    </row>
    <row r="299" spans="1:13" ht="105.6">
      <c r="A299" s="21" t="s">
        <v>3445</v>
      </c>
      <c r="B299" s="21" t="s">
        <v>748</v>
      </c>
      <c r="C299" s="21" t="s">
        <v>3446</v>
      </c>
      <c r="D299" s="21" t="s">
        <v>71</v>
      </c>
      <c r="E299" s="21" t="s">
        <v>3447</v>
      </c>
      <c r="F299" s="21" t="s">
        <v>748</v>
      </c>
      <c r="G299" s="21" t="s">
        <v>3448</v>
      </c>
      <c r="H299" s="21" t="s">
        <v>3449</v>
      </c>
      <c r="I299" s="12" t="s">
        <v>3505</v>
      </c>
      <c r="J299" s="12" t="s">
        <v>4065</v>
      </c>
      <c r="K299" s="12"/>
      <c r="L299" s="12" t="s">
        <v>3745</v>
      </c>
      <c r="M299" s="12" t="s">
        <v>3746</v>
      </c>
    </row>
    <row r="300" spans="1:13" ht="105.6">
      <c r="A300" s="21" t="s">
        <v>3445</v>
      </c>
      <c r="B300" s="21" t="s">
        <v>748</v>
      </c>
      <c r="C300" s="21" t="s">
        <v>3446</v>
      </c>
      <c r="D300" s="21" t="s">
        <v>71</v>
      </c>
      <c r="E300" s="21" t="s">
        <v>3447</v>
      </c>
      <c r="F300" s="21" t="s">
        <v>748</v>
      </c>
      <c r="G300" s="21" t="s">
        <v>3448</v>
      </c>
      <c r="H300" s="21" t="s">
        <v>3449</v>
      </c>
      <c r="I300" s="12" t="s">
        <v>3506</v>
      </c>
      <c r="J300" s="12" t="s">
        <v>4066</v>
      </c>
      <c r="K300" s="12"/>
      <c r="L300" s="12" t="s">
        <v>3747</v>
      </c>
      <c r="M300" s="12" t="s">
        <v>3748</v>
      </c>
    </row>
    <row r="301" spans="1:13" ht="105.6">
      <c r="A301" s="21" t="s">
        <v>3445</v>
      </c>
      <c r="B301" s="21" t="s">
        <v>748</v>
      </c>
      <c r="C301" s="21" t="s">
        <v>3446</v>
      </c>
      <c r="D301" s="21" t="s">
        <v>71</v>
      </c>
      <c r="E301" s="21" t="s">
        <v>3447</v>
      </c>
      <c r="F301" s="21" t="s">
        <v>748</v>
      </c>
      <c r="G301" s="21" t="s">
        <v>3448</v>
      </c>
      <c r="H301" s="21" t="s">
        <v>3449</v>
      </c>
      <c r="I301" s="12" t="s">
        <v>3507</v>
      </c>
      <c r="J301" s="12" t="s">
        <v>4067</v>
      </c>
      <c r="K301" s="12"/>
      <c r="L301" s="12" t="s">
        <v>3749</v>
      </c>
      <c r="M301" s="12" t="s">
        <v>3750</v>
      </c>
    </row>
    <row r="302" spans="1:13" ht="105.6">
      <c r="A302" s="21" t="s">
        <v>3445</v>
      </c>
      <c r="B302" s="21" t="s">
        <v>748</v>
      </c>
      <c r="C302" s="21" t="s">
        <v>3446</v>
      </c>
      <c r="D302" s="21" t="s">
        <v>71</v>
      </c>
      <c r="E302" s="21" t="s">
        <v>3447</v>
      </c>
      <c r="F302" s="21" t="s">
        <v>748</v>
      </c>
      <c r="G302" s="21" t="s">
        <v>3448</v>
      </c>
      <c r="H302" s="21" t="s">
        <v>3449</v>
      </c>
      <c r="I302" s="12" t="s">
        <v>3508</v>
      </c>
      <c r="J302" s="12" t="s">
        <v>4068</v>
      </c>
      <c r="K302" s="12"/>
      <c r="L302" s="12" t="s">
        <v>3751</v>
      </c>
      <c r="M302" s="12" t="s">
        <v>3752</v>
      </c>
    </row>
    <row r="303" spans="1:13" ht="105.6">
      <c r="A303" s="21" t="s">
        <v>3445</v>
      </c>
      <c r="B303" s="21" t="s">
        <v>748</v>
      </c>
      <c r="C303" s="21" t="s">
        <v>3446</v>
      </c>
      <c r="D303" s="21" t="s">
        <v>71</v>
      </c>
      <c r="E303" s="21" t="s">
        <v>3447</v>
      </c>
      <c r="F303" s="21" t="s">
        <v>748</v>
      </c>
      <c r="G303" s="21" t="s">
        <v>3448</v>
      </c>
      <c r="H303" s="21" t="s">
        <v>3449</v>
      </c>
      <c r="I303" s="12" t="s">
        <v>3509</v>
      </c>
      <c r="J303" s="12" t="s">
        <v>4069</v>
      </c>
      <c r="K303" s="12"/>
      <c r="L303" s="12" t="s">
        <v>3753</v>
      </c>
      <c r="M303" s="12" t="s">
        <v>3754</v>
      </c>
    </row>
    <row r="304" spans="1:13" ht="105.6">
      <c r="A304" s="21" t="s">
        <v>3445</v>
      </c>
      <c r="B304" s="21" t="s">
        <v>748</v>
      </c>
      <c r="C304" s="21" t="s">
        <v>3446</v>
      </c>
      <c r="D304" s="21" t="s">
        <v>71</v>
      </c>
      <c r="E304" s="21" t="s">
        <v>3447</v>
      </c>
      <c r="F304" s="21" t="s">
        <v>748</v>
      </c>
      <c r="G304" s="21" t="s">
        <v>3448</v>
      </c>
      <c r="H304" s="21" t="s">
        <v>3449</v>
      </c>
      <c r="I304" s="12" t="s">
        <v>3510</v>
      </c>
      <c r="J304" s="12" t="s">
        <v>4070</v>
      </c>
      <c r="K304" s="12"/>
      <c r="L304" s="12" t="s">
        <v>3755</v>
      </c>
      <c r="M304" s="12" t="s">
        <v>3756</v>
      </c>
    </row>
    <row r="305" spans="1:13" ht="105.6">
      <c r="A305" s="21" t="s">
        <v>3445</v>
      </c>
      <c r="B305" s="21" t="s">
        <v>748</v>
      </c>
      <c r="C305" s="21" t="s">
        <v>3446</v>
      </c>
      <c r="D305" s="21" t="s">
        <v>71</v>
      </c>
      <c r="E305" s="21" t="s">
        <v>3447</v>
      </c>
      <c r="F305" s="21" t="s">
        <v>748</v>
      </c>
      <c r="G305" s="21" t="s">
        <v>3448</v>
      </c>
      <c r="H305" s="21" t="s">
        <v>3449</v>
      </c>
      <c r="I305" s="12" t="s">
        <v>3511</v>
      </c>
      <c r="J305" s="12" t="s">
        <v>4071</v>
      </c>
      <c r="K305" s="12"/>
      <c r="L305" s="12" t="s">
        <v>3757</v>
      </c>
      <c r="M305" s="12" t="s">
        <v>3758</v>
      </c>
    </row>
    <row r="306" spans="1:13" ht="105.6">
      <c r="A306" s="21" t="s">
        <v>3445</v>
      </c>
      <c r="B306" s="21" t="s">
        <v>748</v>
      </c>
      <c r="C306" s="21" t="s">
        <v>3446</v>
      </c>
      <c r="D306" s="21" t="s">
        <v>71</v>
      </c>
      <c r="E306" s="21" t="s">
        <v>3447</v>
      </c>
      <c r="F306" s="21" t="s">
        <v>748</v>
      </c>
      <c r="G306" s="21" t="s">
        <v>3448</v>
      </c>
      <c r="H306" s="21" t="s">
        <v>3449</v>
      </c>
      <c r="I306" s="12" t="s">
        <v>3512</v>
      </c>
      <c r="J306" s="12" t="s">
        <v>4072</v>
      </c>
      <c r="K306" s="12"/>
      <c r="L306" s="12" t="s">
        <v>3759</v>
      </c>
      <c r="M306" s="12" t="s">
        <v>3760</v>
      </c>
    </row>
    <row r="307" spans="1:13" ht="105.6">
      <c r="A307" s="21" t="s">
        <v>3445</v>
      </c>
      <c r="B307" s="21" t="s">
        <v>748</v>
      </c>
      <c r="C307" s="21" t="s">
        <v>3446</v>
      </c>
      <c r="D307" s="21" t="s">
        <v>71</v>
      </c>
      <c r="E307" s="21" t="s">
        <v>3447</v>
      </c>
      <c r="F307" s="21" t="s">
        <v>748</v>
      </c>
      <c r="G307" s="21" t="s">
        <v>3448</v>
      </c>
      <c r="H307" s="21" t="s">
        <v>3449</v>
      </c>
      <c r="I307" s="12" t="s">
        <v>3513</v>
      </c>
      <c r="J307" s="12" t="s">
        <v>4073</v>
      </c>
      <c r="K307" s="12"/>
      <c r="L307" s="12" t="s">
        <v>3761</v>
      </c>
      <c r="M307" s="12" t="s">
        <v>3762</v>
      </c>
    </row>
    <row r="308" spans="1:13" ht="105.6">
      <c r="A308" s="21" t="s">
        <v>3445</v>
      </c>
      <c r="B308" s="21" t="s">
        <v>748</v>
      </c>
      <c r="C308" s="21" t="s">
        <v>3446</v>
      </c>
      <c r="D308" s="21" t="s">
        <v>71</v>
      </c>
      <c r="E308" s="21" t="s">
        <v>3447</v>
      </c>
      <c r="F308" s="21" t="s">
        <v>748</v>
      </c>
      <c r="G308" s="21" t="s">
        <v>3448</v>
      </c>
      <c r="H308" s="21" t="s">
        <v>3449</v>
      </c>
      <c r="I308" s="12" t="s">
        <v>3514</v>
      </c>
      <c r="J308" s="12" t="s">
        <v>4074</v>
      </c>
      <c r="K308" s="12"/>
      <c r="L308" s="12" t="s">
        <v>3763</v>
      </c>
      <c r="M308" s="12" t="s">
        <v>3764</v>
      </c>
    </row>
    <row r="309" spans="1:13" ht="105.6">
      <c r="A309" s="21" t="s">
        <v>3445</v>
      </c>
      <c r="B309" s="21" t="s">
        <v>748</v>
      </c>
      <c r="C309" s="21" t="s">
        <v>3446</v>
      </c>
      <c r="D309" s="21" t="s">
        <v>71</v>
      </c>
      <c r="E309" s="21" t="s">
        <v>3447</v>
      </c>
      <c r="F309" s="21" t="s">
        <v>748</v>
      </c>
      <c r="G309" s="21" t="s">
        <v>3448</v>
      </c>
      <c r="H309" s="21" t="s">
        <v>3449</v>
      </c>
      <c r="I309" s="12" t="s">
        <v>3515</v>
      </c>
      <c r="J309" s="12" t="s">
        <v>4075</v>
      </c>
      <c r="K309" s="12"/>
      <c r="L309" s="12" t="s">
        <v>3765</v>
      </c>
      <c r="M309" s="12" t="s">
        <v>3766</v>
      </c>
    </row>
    <row r="310" spans="1:13" ht="105.6">
      <c r="A310" s="21" t="s">
        <v>3445</v>
      </c>
      <c r="B310" s="21" t="s">
        <v>748</v>
      </c>
      <c r="C310" s="21" t="s">
        <v>3446</v>
      </c>
      <c r="D310" s="21" t="s">
        <v>71</v>
      </c>
      <c r="E310" s="21" t="s">
        <v>3447</v>
      </c>
      <c r="F310" s="21" t="s">
        <v>748</v>
      </c>
      <c r="G310" s="21" t="s">
        <v>3448</v>
      </c>
      <c r="H310" s="21" t="s">
        <v>3449</v>
      </c>
      <c r="I310" s="12" t="s">
        <v>3516</v>
      </c>
      <c r="J310" s="12" t="s">
        <v>4076</v>
      </c>
      <c r="K310" s="12"/>
      <c r="L310" s="12" t="s">
        <v>3767</v>
      </c>
      <c r="M310" s="12" t="s">
        <v>3768</v>
      </c>
    </row>
    <row r="311" spans="1:13" ht="105.6">
      <c r="A311" s="21" t="s">
        <v>3445</v>
      </c>
      <c r="B311" s="21" t="s">
        <v>748</v>
      </c>
      <c r="C311" s="21" t="s">
        <v>3446</v>
      </c>
      <c r="D311" s="21" t="s">
        <v>71</v>
      </c>
      <c r="E311" s="21" t="s">
        <v>3447</v>
      </c>
      <c r="F311" s="21" t="s">
        <v>748</v>
      </c>
      <c r="G311" s="21" t="s">
        <v>3448</v>
      </c>
      <c r="H311" s="21" t="s">
        <v>3449</v>
      </c>
      <c r="I311" s="12" t="s">
        <v>3517</v>
      </c>
      <c r="J311" s="12" t="s">
        <v>4077</v>
      </c>
      <c r="K311" s="12"/>
      <c r="L311" s="12" t="s">
        <v>3769</v>
      </c>
      <c r="M311" s="12" t="s">
        <v>3770</v>
      </c>
    </row>
    <row r="312" spans="1:13" ht="105.6">
      <c r="A312" s="21" t="s">
        <v>3445</v>
      </c>
      <c r="B312" s="21" t="s">
        <v>748</v>
      </c>
      <c r="C312" s="21" t="s">
        <v>3446</v>
      </c>
      <c r="D312" s="21" t="s">
        <v>71</v>
      </c>
      <c r="E312" s="21" t="s">
        <v>3447</v>
      </c>
      <c r="F312" s="21" t="s">
        <v>748</v>
      </c>
      <c r="G312" s="21" t="s">
        <v>3448</v>
      </c>
      <c r="H312" s="21" t="s">
        <v>3449</v>
      </c>
      <c r="I312" s="12" t="s">
        <v>3518</v>
      </c>
      <c r="J312" s="12" t="s">
        <v>4078</v>
      </c>
      <c r="K312" s="12"/>
      <c r="L312" s="12" t="s">
        <v>3771</v>
      </c>
      <c r="M312" s="12" t="s">
        <v>3772</v>
      </c>
    </row>
    <row r="313" spans="1:13" ht="105.6">
      <c r="A313" s="21" t="s">
        <v>3445</v>
      </c>
      <c r="B313" s="21" t="s">
        <v>748</v>
      </c>
      <c r="C313" s="21" t="s">
        <v>3446</v>
      </c>
      <c r="D313" s="21" t="s">
        <v>71</v>
      </c>
      <c r="E313" s="21" t="s">
        <v>3447</v>
      </c>
      <c r="F313" s="21" t="s">
        <v>748</v>
      </c>
      <c r="G313" s="21" t="s">
        <v>3448</v>
      </c>
      <c r="H313" s="21" t="s">
        <v>3449</v>
      </c>
      <c r="I313" s="12" t="s">
        <v>3519</v>
      </c>
      <c r="J313" s="12" t="s">
        <v>4079</v>
      </c>
      <c r="K313" s="12"/>
      <c r="L313" s="12" t="s">
        <v>3773</v>
      </c>
      <c r="M313" s="12" t="s">
        <v>3774</v>
      </c>
    </row>
    <row r="314" spans="1:13" ht="105.6">
      <c r="A314" s="21" t="s">
        <v>3445</v>
      </c>
      <c r="B314" s="21" t="s">
        <v>748</v>
      </c>
      <c r="C314" s="21" t="s">
        <v>3446</v>
      </c>
      <c r="D314" s="21" t="s">
        <v>71</v>
      </c>
      <c r="E314" s="21" t="s">
        <v>3447</v>
      </c>
      <c r="F314" s="21" t="s">
        <v>748</v>
      </c>
      <c r="G314" s="21" t="s">
        <v>3448</v>
      </c>
      <c r="H314" s="21" t="s">
        <v>3449</v>
      </c>
      <c r="I314" s="12" t="s">
        <v>3520</v>
      </c>
      <c r="J314" s="12" t="s">
        <v>4080</v>
      </c>
      <c r="K314" s="12" t="s">
        <v>3775</v>
      </c>
      <c r="L314" s="12" t="s">
        <v>3776</v>
      </c>
      <c r="M314" s="12" t="s">
        <v>3777</v>
      </c>
    </row>
    <row r="315" spans="1:13" ht="105.6">
      <c r="A315" s="21" t="s">
        <v>3445</v>
      </c>
      <c r="B315" s="21" t="s">
        <v>748</v>
      </c>
      <c r="C315" s="21" t="s">
        <v>3446</v>
      </c>
      <c r="D315" s="21" t="s">
        <v>71</v>
      </c>
      <c r="E315" s="21" t="s">
        <v>3447</v>
      </c>
      <c r="F315" s="21" t="s">
        <v>748</v>
      </c>
      <c r="G315" s="21" t="s">
        <v>3448</v>
      </c>
      <c r="H315" s="21" t="s">
        <v>3449</v>
      </c>
      <c r="I315" s="12" t="s">
        <v>3521</v>
      </c>
      <c r="J315" s="12" t="s">
        <v>4081</v>
      </c>
      <c r="K315" s="12"/>
      <c r="L315" s="12" t="s">
        <v>3778</v>
      </c>
      <c r="M315" s="12" t="s">
        <v>3779</v>
      </c>
    </row>
    <row r="316" spans="1:13" ht="105.6">
      <c r="A316" s="21" t="s">
        <v>3445</v>
      </c>
      <c r="B316" s="21" t="s">
        <v>748</v>
      </c>
      <c r="C316" s="21" t="s">
        <v>3446</v>
      </c>
      <c r="D316" s="21" t="s">
        <v>71</v>
      </c>
      <c r="E316" s="21" t="s">
        <v>3447</v>
      </c>
      <c r="F316" s="21" t="s">
        <v>748</v>
      </c>
      <c r="G316" s="21" t="s">
        <v>3448</v>
      </c>
      <c r="H316" s="21" t="s">
        <v>3449</v>
      </c>
      <c r="I316" s="12" t="s">
        <v>3522</v>
      </c>
      <c r="J316" s="12" t="s">
        <v>4082</v>
      </c>
      <c r="K316" s="12"/>
      <c r="L316" s="12" t="s">
        <v>3780</v>
      </c>
      <c r="M316" s="12" t="s">
        <v>3781</v>
      </c>
    </row>
    <row r="317" spans="1:13" ht="105.6">
      <c r="A317" s="21" t="s">
        <v>3445</v>
      </c>
      <c r="B317" s="21" t="s">
        <v>748</v>
      </c>
      <c r="C317" s="21" t="s">
        <v>3446</v>
      </c>
      <c r="D317" s="21" t="s">
        <v>71</v>
      </c>
      <c r="E317" s="21" t="s">
        <v>3447</v>
      </c>
      <c r="F317" s="21" t="s">
        <v>748</v>
      </c>
      <c r="G317" s="21" t="s">
        <v>3448</v>
      </c>
      <c r="H317" s="21" t="s">
        <v>3449</v>
      </c>
      <c r="I317" s="12" t="s">
        <v>3523</v>
      </c>
      <c r="J317" s="12" t="s">
        <v>4083</v>
      </c>
      <c r="K317" s="12"/>
      <c r="L317" s="12" t="s">
        <v>3782</v>
      </c>
      <c r="M317" s="12" t="s">
        <v>3783</v>
      </c>
    </row>
    <row r="318" spans="1:13" ht="105.6">
      <c r="A318" s="21" t="s">
        <v>3445</v>
      </c>
      <c r="B318" s="21" t="s">
        <v>748</v>
      </c>
      <c r="C318" s="21" t="s">
        <v>3446</v>
      </c>
      <c r="D318" s="21" t="s">
        <v>71</v>
      </c>
      <c r="E318" s="21" t="s">
        <v>3447</v>
      </c>
      <c r="F318" s="21" t="s">
        <v>748</v>
      </c>
      <c r="G318" s="21" t="s">
        <v>3448</v>
      </c>
      <c r="H318" s="21" t="s">
        <v>3449</v>
      </c>
      <c r="I318" s="12" t="s">
        <v>3524</v>
      </c>
      <c r="J318" s="12" t="s">
        <v>4084</v>
      </c>
      <c r="K318" s="12"/>
      <c r="L318" s="12" t="s">
        <v>3784</v>
      </c>
      <c r="M318" s="12" t="s">
        <v>3785</v>
      </c>
    </row>
    <row r="319" spans="1:13" ht="105.6">
      <c r="A319" s="21" t="s">
        <v>3445</v>
      </c>
      <c r="B319" s="21" t="s">
        <v>748</v>
      </c>
      <c r="C319" s="21" t="s">
        <v>3446</v>
      </c>
      <c r="D319" s="21" t="s">
        <v>71</v>
      </c>
      <c r="E319" s="21" t="s">
        <v>3447</v>
      </c>
      <c r="F319" s="21" t="s">
        <v>748</v>
      </c>
      <c r="G319" s="21" t="s">
        <v>3448</v>
      </c>
      <c r="H319" s="21" t="s">
        <v>3449</v>
      </c>
      <c r="I319" s="12" t="s">
        <v>3525</v>
      </c>
      <c r="J319" s="12" t="s">
        <v>4085</v>
      </c>
      <c r="K319" s="12"/>
      <c r="L319" s="12" t="s">
        <v>3786</v>
      </c>
      <c r="M319" s="12" t="s">
        <v>3787</v>
      </c>
    </row>
    <row r="320" spans="1:13" ht="105.6">
      <c r="A320" s="21" t="s">
        <v>3445</v>
      </c>
      <c r="B320" s="21" t="s">
        <v>748</v>
      </c>
      <c r="C320" s="21" t="s">
        <v>3446</v>
      </c>
      <c r="D320" s="21" t="s">
        <v>71</v>
      </c>
      <c r="E320" s="21" t="s">
        <v>3447</v>
      </c>
      <c r="F320" s="21" t="s">
        <v>748</v>
      </c>
      <c r="G320" s="21" t="s">
        <v>3448</v>
      </c>
      <c r="H320" s="21" t="s">
        <v>3449</v>
      </c>
      <c r="I320" s="12" t="s">
        <v>3526</v>
      </c>
      <c r="J320" s="12" t="s">
        <v>4086</v>
      </c>
      <c r="K320" s="12"/>
      <c r="L320" s="12" t="s">
        <v>3788</v>
      </c>
      <c r="M320" s="12" t="s">
        <v>3789</v>
      </c>
    </row>
    <row r="321" spans="1:13" ht="105.6">
      <c r="A321" s="21" t="s">
        <v>3445</v>
      </c>
      <c r="B321" s="21" t="s">
        <v>748</v>
      </c>
      <c r="C321" s="21" t="s">
        <v>3446</v>
      </c>
      <c r="D321" s="21" t="s">
        <v>71</v>
      </c>
      <c r="E321" s="21" t="s">
        <v>3447</v>
      </c>
      <c r="F321" s="21" t="s">
        <v>748</v>
      </c>
      <c r="G321" s="21" t="s">
        <v>3448</v>
      </c>
      <c r="H321" s="21" t="s">
        <v>3449</v>
      </c>
      <c r="I321" s="12" t="s">
        <v>3527</v>
      </c>
      <c r="J321" s="12" t="s">
        <v>4087</v>
      </c>
      <c r="K321" s="12"/>
      <c r="L321" s="12" t="s">
        <v>3790</v>
      </c>
      <c r="M321" s="12" t="s">
        <v>3791</v>
      </c>
    </row>
    <row r="322" spans="1:13" ht="105.6">
      <c r="A322" s="21" t="s">
        <v>3445</v>
      </c>
      <c r="B322" s="21" t="s">
        <v>748</v>
      </c>
      <c r="C322" s="21" t="s">
        <v>3446</v>
      </c>
      <c r="D322" s="21" t="s">
        <v>71</v>
      </c>
      <c r="E322" s="21" t="s">
        <v>3447</v>
      </c>
      <c r="F322" s="21" t="s">
        <v>748</v>
      </c>
      <c r="G322" s="21" t="s">
        <v>3448</v>
      </c>
      <c r="H322" s="21" t="s">
        <v>3449</v>
      </c>
      <c r="I322" s="12" t="s">
        <v>3528</v>
      </c>
      <c r="J322" s="12" t="s">
        <v>4088</v>
      </c>
      <c r="K322" s="12"/>
      <c r="L322" s="12" t="s">
        <v>3792</v>
      </c>
      <c r="M322" s="12" t="s">
        <v>3793</v>
      </c>
    </row>
    <row r="323" spans="1:13" ht="105.6">
      <c r="A323" s="21" t="s">
        <v>3445</v>
      </c>
      <c r="B323" s="21" t="s">
        <v>748</v>
      </c>
      <c r="C323" s="21" t="s">
        <v>3446</v>
      </c>
      <c r="D323" s="21" t="s">
        <v>71</v>
      </c>
      <c r="E323" s="21" t="s">
        <v>3447</v>
      </c>
      <c r="F323" s="21" t="s">
        <v>748</v>
      </c>
      <c r="G323" s="21" t="s">
        <v>3448</v>
      </c>
      <c r="H323" s="21" t="s">
        <v>3449</v>
      </c>
      <c r="I323" s="12" t="s">
        <v>3529</v>
      </c>
      <c r="J323" s="12" t="s">
        <v>4089</v>
      </c>
      <c r="K323" s="12"/>
      <c r="L323" s="12" t="s">
        <v>3794</v>
      </c>
      <c r="M323" s="12" t="s">
        <v>3795</v>
      </c>
    </row>
    <row r="324" spans="1:13" ht="105.6">
      <c r="A324" s="21" t="s">
        <v>3445</v>
      </c>
      <c r="B324" s="21" t="s">
        <v>748</v>
      </c>
      <c r="C324" s="21" t="s">
        <v>3446</v>
      </c>
      <c r="D324" s="21" t="s">
        <v>71</v>
      </c>
      <c r="E324" s="21" t="s">
        <v>3447</v>
      </c>
      <c r="F324" s="21" t="s">
        <v>748</v>
      </c>
      <c r="G324" s="21" t="s">
        <v>3448</v>
      </c>
      <c r="H324" s="21" t="s">
        <v>3449</v>
      </c>
      <c r="I324" s="12" t="s">
        <v>3530</v>
      </c>
      <c r="J324" s="12" t="s">
        <v>4090</v>
      </c>
      <c r="K324" s="12"/>
      <c r="L324" s="12" t="s">
        <v>3796</v>
      </c>
      <c r="M324" s="12" t="s">
        <v>3797</v>
      </c>
    </row>
    <row r="325" spans="1:13" ht="105.6">
      <c r="A325" s="21" t="s">
        <v>3445</v>
      </c>
      <c r="B325" s="21" t="s">
        <v>748</v>
      </c>
      <c r="C325" s="21" t="s">
        <v>3446</v>
      </c>
      <c r="D325" s="21" t="s">
        <v>71</v>
      </c>
      <c r="E325" s="21" t="s">
        <v>3447</v>
      </c>
      <c r="F325" s="21" t="s">
        <v>748</v>
      </c>
      <c r="G325" s="21" t="s">
        <v>3448</v>
      </c>
      <c r="H325" s="21" t="s">
        <v>3449</v>
      </c>
      <c r="I325" s="12" t="s">
        <v>3531</v>
      </c>
      <c r="J325" s="12" t="s">
        <v>4091</v>
      </c>
      <c r="K325" s="12"/>
      <c r="L325" s="12" t="s">
        <v>3798</v>
      </c>
      <c r="M325" s="12" t="s">
        <v>3799</v>
      </c>
    </row>
    <row r="326" spans="1:13" ht="105.6">
      <c r="A326" s="21" t="s">
        <v>3445</v>
      </c>
      <c r="B326" s="21" t="s">
        <v>748</v>
      </c>
      <c r="C326" s="21" t="s">
        <v>3446</v>
      </c>
      <c r="D326" s="21" t="s">
        <v>71</v>
      </c>
      <c r="E326" s="21" t="s">
        <v>3447</v>
      </c>
      <c r="F326" s="21" t="s">
        <v>748</v>
      </c>
      <c r="G326" s="21" t="s">
        <v>3448</v>
      </c>
      <c r="H326" s="21" t="s">
        <v>3449</v>
      </c>
      <c r="I326" s="12" t="s">
        <v>3532</v>
      </c>
      <c r="J326" s="12" t="s">
        <v>4092</v>
      </c>
      <c r="K326" s="12"/>
      <c r="L326" s="12" t="s">
        <v>3800</v>
      </c>
      <c r="M326" s="12" t="s">
        <v>3801</v>
      </c>
    </row>
    <row r="327" spans="1:13" ht="105.6">
      <c r="A327" s="21" t="s">
        <v>3445</v>
      </c>
      <c r="B327" s="21" t="s">
        <v>748</v>
      </c>
      <c r="C327" s="21" t="s">
        <v>3446</v>
      </c>
      <c r="D327" s="21" t="s">
        <v>71</v>
      </c>
      <c r="E327" s="21" t="s">
        <v>3447</v>
      </c>
      <c r="F327" s="21" t="s">
        <v>748</v>
      </c>
      <c r="G327" s="21" t="s">
        <v>3448</v>
      </c>
      <c r="H327" s="21" t="s">
        <v>3449</v>
      </c>
      <c r="I327" s="12" t="s">
        <v>3533</v>
      </c>
      <c r="J327" s="12" t="s">
        <v>4093</v>
      </c>
      <c r="K327" s="12"/>
      <c r="L327" s="12" t="s">
        <v>3802</v>
      </c>
      <c r="M327" s="12" t="s">
        <v>3803</v>
      </c>
    </row>
    <row r="328" spans="1:13" ht="105.6">
      <c r="A328" s="21" t="s">
        <v>3445</v>
      </c>
      <c r="B328" s="21" t="s">
        <v>748</v>
      </c>
      <c r="C328" s="21" t="s">
        <v>3446</v>
      </c>
      <c r="D328" s="21" t="s">
        <v>71</v>
      </c>
      <c r="E328" s="21" t="s">
        <v>3447</v>
      </c>
      <c r="F328" s="21" t="s">
        <v>748</v>
      </c>
      <c r="G328" s="21" t="s">
        <v>3448</v>
      </c>
      <c r="H328" s="21" t="s">
        <v>3449</v>
      </c>
      <c r="I328" s="12" t="s">
        <v>3534</v>
      </c>
      <c r="J328" s="12" t="s">
        <v>4094</v>
      </c>
      <c r="K328" s="12"/>
      <c r="L328" s="12" t="s">
        <v>3804</v>
      </c>
      <c r="M328" s="12" t="s">
        <v>3805</v>
      </c>
    </row>
    <row r="329" spans="1:13" ht="105.6">
      <c r="A329" s="21" t="s">
        <v>3445</v>
      </c>
      <c r="B329" s="21" t="s">
        <v>748</v>
      </c>
      <c r="C329" s="21" t="s">
        <v>3446</v>
      </c>
      <c r="D329" s="21" t="s">
        <v>71</v>
      </c>
      <c r="E329" s="21" t="s">
        <v>3447</v>
      </c>
      <c r="F329" s="21" t="s">
        <v>748</v>
      </c>
      <c r="G329" s="21" t="s">
        <v>3448</v>
      </c>
      <c r="H329" s="21" t="s">
        <v>3449</v>
      </c>
      <c r="I329" s="12" t="s">
        <v>3535</v>
      </c>
      <c r="J329" s="12" t="s">
        <v>4095</v>
      </c>
      <c r="K329" s="12"/>
      <c r="L329" s="12" t="s">
        <v>3806</v>
      </c>
      <c r="M329" s="12" t="s">
        <v>3807</v>
      </c>
    </row>
    <row r="330" spans="1:13" ht="132">
      <c r="A330" s="21" t="s">
        <v>3445</v>
      </c>
      <c r="B330" s="21" t="s">
        <v>748</v>
      </c>
      <c r="C330" s="21" t="s">
        <v>3446</v>
      </c>
      <c r="D330" s="21" t="s">
        <v>71</v>
      </c>
      <c r="E330" s="21" t="s">
        <v>3447</v>
      </c>
      <c r="F330" s="21" t="s">
        <v>748</v>
      </c>
      <c r="G330" s="21" t="s">
        <v>3448</v>
      </c>
      <c r="H330" s="21" t="s">
        <v>3449</v>
      </c>
      <c r="I330" s="12" t="s">
        <v>3536</v>
      </c>
      <c r="J330" s="12" t="s">
        <v>4096</v>
      </c>
      <c r="K330" s="12"/>
      <c r="L330" s="12" t="s">
        <v>3808</v>
      </c>
      <c r="M330" s="12" t="s">
        <v>3809</v>
      </c>
    </row>
    <row r="331" spans="1:13" ht="105.6">
      <c r="A331" s="21" t="s">
        <v>3445</v>
      </c>
      <c r="B331" s="21" t="s">
        <v>748</v>
      </c>
      <c r="C331" s="21" t="s">
        <v>3446</v>
      </c>
      <c r="D331" s="21" t="s">
        <v>71</v>
      </c>
      <c r="E331" s="21" t="s">
        <v>3447</v>
      </c>
      <c r="F331" s="21" t="s">
        <v>748</v>
      </c>
      <c r="G331" s="21" t="s">
        <v>3448</v>
      </c>
      <c r="H331" s="21" t="s">
        <v>3449</v>
      </c>
      <c r="I331" s="12" t="s">
        <v>3537</v>
      </c>
      <c r="J331" s="12" t="s">
        <v>4097</v>
      </c>
      <c r="K331" s="12"/>
      <c r="L331" s="12" t="s">
        <v>3810</v>
      </c>
      <c r="M331" s="12" t="s">
        <v>3811</v>
      </c>
    </row>
    <row r="332" spans="1:13" ht="105.6">
      <c r="A332" s="21" t="s">
        <v>3445</v>
      </c>
      <c r="B332" s="21" t="s">
        <v>748</v>
      </c>
      <c r="C332" s="21" t="s">
        <v>3446</v>
      </c>
      <c r="D332" s="21" t="s">
        <v>71</v>
      </c>
      <c r="E332" s="21" t="s">
        <v>3447</v>
      </c>
      <c r="F332" s="21" t="s">
        <v>748</v>
      </c>
      <c r="G332" s="21" t="s">
        <v>3448</v>
      </c>
      <c r="H332" s="21" t="s">
        <v>3449</v>
      </c>
      <c r="I332" s="12" t="s">
        <v>3538</v>
      </c>
      <c r="J332" s="12" t="s">
        <v>4098</v>
      </c>
      <c r="K332" s="12"/>
      <c r="L332" s="12" t="s">
        <v>3812</v>
      </c>
      <c r="M332" s="12" t="s">
        <v>3813</v>
      </c>
    </row>
    <row r="333" spans="1:13" ht="105.6">
      <c r="A333" s="21" t="s">
        <v>3445</v>
      </c>
      <c r="B333" s="21" t="s">
        <v>748</v>
      </c>
      <c r="C333" s="21" t="s">
        <v>3446</v>
      </c>
      <c r="D333" s="21" t="s">
        <v>71</v>
      </c>
      <c r="E333" s="21" t="s">
        <v>3447</v>
      </c>
      <c r="F333" s="21" t="s">
        <v>748</v>
      </c>
      <c r="G333" s="21" t="s">
        <v>3448</v>
      </c>
      <c r="H333" s="21" t="s">
        <v>3449</v>
      </c>
      <c r="I333" s="12" t="s">
        <v>3539</v>
      </c>
      <c r="J333" s="12" t="s">
        <v>4099</v>
      </c>
      <c r="K333" s="12"/>
      <c r="L333" s="12" t="s">
        <v>3814</v>
      </c>
      <c r="M333" s="12" t="s">
        <v>3815</v>
      </c>
    </row>
    <row r="334" spans="1:13" ht="105.6">
      <c r="A334" s="21" t="s">
        <v>3445</v>
      </c>
      <c r="B334" s="21" t="s">
        <v>748</v>
      </c>
      <c r="C334" s="21" t="s">
        <v>3446</v>
      </c>
      <c r="D334" s="21" t="s">
        <v>71</v>
      </c>
      <c r="E334" s="21" t="s">
        <v>3447</v>
      </c>
      <c r="F334" s="21" t="s">
        <v>748</v>
      </c>
      <c r="G334" s="21" t="s">
        <v>3448</v>
      </c>
      <c r="H334" s="21" t="s">
        <v>3449</v>
      </c>
      <c r="I334" s="12" t="s">
        <v>3540</v>
      </c>
      <c r="J334" s="12" t="s">
        <v>4100</v>
      </c>
      <c r="K334" s="12"/>
      <c r="L334" s="12" t="s">
        <v>3816</v>
      </c>
      <c r="M334" s="12" t="s">
        <v>3817</v>
      </c>
    </row>
    <row r="335" spans="1:13" ht="105.6">
      <c r="A335" s="21" t="s">
        <v>3445</v>
      </c>
      <c r="B335" s="21" t="s">
        <v>748</v>
      </c>
      <c r="C335" s="21" t="s">
        <v>3446</v>
      </c>
      <c r="D335" s="21" t="s">
        <v>71</v>
      </c>
      <c r="E335" s="21" t="s">
        <v>3447</v>
      </c>
      <c r="F335" s="21" t="s">
        <v>748</v>
      </c>
      <c r="G335" s="21" t="s">
        <v>3448</v>
      </c>
      <c r="H335" s="21" t="s">
        <v>3449</v>
      </c>
      <c r="I335" s="12" t="s">
        <v>3541</v>
      </c>
      <c r="J335" s="12" t="s">
        <v>4101</v>
      </c>
      <c r="K335" s="12"/>
      <c r="L335" s="12" t="s">
        <v>3818</v>
      </c>
      <c r="M335" s="12" t="s">
        <v>3819</v>
      </c>
    </row>
    <row r="336" spans="1:13" ht="105.6">
      <c r="A336" s="21" t="s">
        <v>3445</v>
      </c>
      <c r="B336" s="21" t="s">
        <v>748</v>
      </c>
      <c r="C336" s="21" t="s">
        <v>3446</v>
      </c>
      <c r="D336" s="21" t="s">
        <v>71</v>
      </c>
      <c r="E336" s="21" t="s">
        <v>3447</v>
      </c>
      <c r="F336" s="21" t="s">
        <v>748</v>
      </c>
      <c r="G336" s="21" t="s">
        <v>3448</v>
      </c>
      <c r="H336" s="21" t="s">
        <v>3449</v>
      </c>
      <c r="I336" s="12" t="s">
        <v>3542</v>
      </c>
      <c r="J336" s="12" t="s">
        <v>4102</v>
      </c>
      <c r="K336" s="12"/>
      <c r="L336" s="12" t="s">
        <v>3820</v>
      </c>
      <c r="M336" s="12" t="s">
        <v>3821</v>
      </c>
    </row>
    <row r="337" spans="1:13" ht="105.6">
      <c r="A337" s="21" t="s">
        <v>3445</v>
      </c>
      <c r="B337" s="21" t="s">
        <v>748</v>
      </c>
      <c r="C337" s="21" t="s">
        <v>3446</v>
      </c>
      <c r="D337" s="21" t="s">
        <v>71</v>
      </c>
      <c r="E337" s="21" t="s">
        <v>3447</v>
      </c>
      <c r="F337" s="21" t="s">
        <v>748</v>
      </c>
      <c r="G337" s="21" t="s">
        <v>3448</v>
      </c>
      <c r="H337" s="21" t="s">
        <v>3449</v>
      </c>
      <c r="I337" s="12" t="s">
        <v>3543</v>
      </c>
      <c r="J337" s="12" t="s">
        <v>4103</v>
      </c>
      <c r="K337" s="12"/>
      <c r="L337" s="12" t="s">
        <v>3822</v>
      </c>
      <c r="M337" s="12" t="s">
        <v>3823</v>
      </c>
    </row>
    <row r="338" spans="1:13" ht="105.6">
      <c r="A338" s="21" t="s">
        <v>3445</v>
      </c>
      <c r="B338" s="21" t="s">
        <v>748</v>
      </c>
      <c r="C338" s="21" t="s">
        <v>3446</v>
      </c>
      <c r="D338" s="21" t="s">
        <v>71</v>
      </c>
      <c r="E338" s="21" t="s">
        <v>3447</v>
      </c>
      <c r="F338" s="21" t="s">
        <v>748</v>
      </c>
      <c r="G338" s="21" t="s">
        <v>3448</v>
      </c>
      <c r="H338" s="21" t="s">
        <v>3449</v>
      </c>
      <c r="I338" s="12" t="s">
        <v>3544</v>
      </c>
      <c r="J338" s="12" t="s">
        <v>4104</v>
      </c>
      <c r="K338" s="12"/>
      <c r="L338" s="12" t="s">
        <v>3824</v>
      </c>
      <c r="M338" s="12" t="s">
        <v>3825</v>
      </c>
    </row>
    <row r="339" spans="1:13" ht="105.6">
      <c r="A339" s="21" t="s">
        <v>3445</v>
      </c>
      <c r="B339" s="21" t="s">
        <v>748</v>
      </c>
      <c r="C339" s="21" t="s">
        <v>3446</v>
      </c>
      <c r="D339" s="21" t="s">
        <v>71</v>
      </c>
      <c r="E339" s="21" t="s">
        <v>3447</v>
      </c>
      <c r="F339" s="21" t="s">
        <v>748</v>
      </c>
      <c r="G339" s="21" t="s">
        <v>3448</v>
      </c>
      <c r="H339" s="21" t="s">
        <v>3449</v>
      </c>
      <c r="I339" s="12" t="s">
        <v>3545</v>
      </c>
      <c r="J339" s="12" t="s">
        <v>4105</v>
      </c>
      <c r="K339" s="12"/>
      <c r="L339" s="12" t="s">
        <v>3826</v>
      </c>
      <c r="M339" s="12" t="s">
        <v>3827</v>
      </c>
    </row>
    <row r="340" spans="1:13" ht="105.6">
      <c r="A340" s="21" t="s">
        <v>3445</v>
      </c>
      <c r="B340" s="21" t="s">
        <v>748</v>
      </c>
      <c r="C340" s="21" t="s">
        <v>3446</v>
      </c>
      <c r="D340" s="21" t="s">
        <v>71</v>
      </c>
      <c r="E340" s="21" t="s">
        <v>3447</v>
      </c>
      <c r="F340" s="21" t="s">
        <v>748</v>
      </c>
      <c r="G340" s="21" t="s">
        <v>3448</v>
      </c>
      <c r="H340" s="21" t="s">
        <v>3449</v>
      </c>
      <c r="I340" s="12" t="s">
        <v>3546</v>
      </c>
      <c r="J340" s="12" t="s">
        <v>4106</v>
      </c>
      <c r="K340" s="12"/>
      <c r="L340" s="12" t="s">
        <v>3828</v>
      </c>
      <c r="M340" s="12" t="s">
        <v>3829</v>
      </c>
    </row>
    <row r="341" spans="1:13" ht="105.6">
      <c r="A341" s="21" t="s">
        <v>3445</v>
      </c>
      <c r="B341" s="21" t="s">
        <v>748</v>
      </c>
      <c r="C341" s="21" t="s">
        <v>3446</v>
      </c>
      <c r="D341" s="21" t="s">
        <v>71</v>
      </c>
      <c r="E341" s="21" t="s">
        <v>3447</v>
      </c>
      <c r="F341" s="21" t="s">
        <v>748</v>
      </c>
      <c r="G341" s="21" t="s">
        <v>3448</v>
      </c>
      <c r="H341" s="21" t="s">
        <v>3449</v>
      </c>
      <c r="I341" s="12" t="s">
        <v>3547</v>
      </c>
      <c r="J341" s="12" t="s">
        <v>4107</v>
      </c>
      <c r="K341" s="12"/>
      <c r="L341" s="12" t="s">
        <v>3830</v>
      </c>
      <c r="M341" s="12" t="s">
        <v>3831</v>
      </c>
    </row>
    <row r="342" spans="1:13" ht="105.6">
      <c r="A342" s="21" t="s">
        <v>3445</v>
      </c>
      <c r="B342" s="21" t="s">
        <v>748</v>
      </c>
      <c r="C342" s="21" t="s">
        <v>3446</v>
      </c>
      <c r="D342" s="21" t="s">
        <v>71</v>
      </c>
      <c r="E342" s="21" t="s">
        <v>3447</v>
      </c>
      <c r="F342" s="21" t="s">
        <v>748</v>
      </c>
      <c r="G342" s="21" t="s">
        <v>3448</v>
      </c>
      <c r="H342" s="21" t="s">
        <v>3449</v>
      </c>
      <c r="I342" s="12" t="s">
        <v>3548</v>
      </c>
      <c r="J342" s="12" t="s">
        <v>4108</v>
      </c>
      <c r="K342" s="12"/>
      <c r="L342" s="12" t="s">
        <v>3832</v>
      </c>
      <c r="M342" s="12" t="s">
        <v>3833</v>
      </c>
    </row>
    <row r="343" spans="1:13" ht="118.8">
      <c r="A343" s="21" t="s">
        <v>3445</v>
      </c>
      <c r="B343" s="21" t="s">
        <v>748</v>
      </c>
      <c r="C343" s="21" t="s">
        <v>3446</v>
      </c>
      <c r="D343" s="21" t="s">
        <v>71</v>
      </c>
      <c r="E343" s="21" t="s">
        <v>3447</v>
      </c>
      <c r="F343" s="21" t="s">
        <v>748</v>
      </c>
      <c r="G343" s="21" t="s">
        <v>3448</v>
      </c>
      <c r="H343" s="21" t="s">
        <v>3449</v>
      </c>
      <c r="I343" s="12" t="s">
        <v>3549</v>
      </c>
      <c r="J343" s="12" t="s">
        <v>4109</v>
      </c>
      <c r="K343" s="12"/>
      <c r="L343" s="12" t="s">
        <v>3834</v>
      </c>
      <c r="M343" s="12" t="s">
        <v>3835</v>
      </c>
    </row>
    <row r="344" spans="1:13" ht="105.6">
      <c r="A344" s="21" t="s">
        <v>3445</v>
      </c>
      <c r="B344" s="21" t="s">
        <v>748</v>
      </c>
      <c r="C344" s="21" t="s">
        <v>3446</v>
      </c>
      <c r="D344" s="21" t="s">
        <v>71</v>
      </c>
      <c r="E344" s="21" t="s">
        <v>3447</v>
      </c>
      <c r="F344" s="21" t="s">
        <v>748</v>
      </c>
      <c r="G344" s="21" t="s">
        <v>3448</v>
      </c>
      <c r="H344" s="21" t="s">
        <v>3449</v>
      </c>
      <c r="I344" s="12" t="s">
        <v>3550</v>
      </c>
      <c r="J344" s="12" t="s">
        <v>4110</v>
      </c>
      <c r="K344" s="12"/>
      <c r="L344" s="12" t="s">
        <v>3836</v>
      </c>
      <c r="M344" s="12" t="s">
        <v>3837</v>
      </c>
    </row>
    <row r="345" spans="1:13" ht="105.6">
      <c r="A345" s="21" t="s">
        <v>3445</v>
      </c>
      <c r="B345" s="21" t="s">
        <v>748</v>
      </c>
      <c r="C345" s="21" t="s">
        <v>3446</v>
      </c>
      <c r="D345" s="21" t="s">
        <v>71</v>
      </c>
      <c r="E345" s="21" t="s">
        <v>3447</v>
      </c>
      <c r="F345" s="21" t="s">
        <v>748</v>
      </c>
      <c r="G345" s="21" t="s">
        <v>3448</v>
      </c>
      <c r="H345" s="21" t="s">
        <v>3449</v>
      </c>
      <c r="I345" s="12" t="s">
        <v>3551</v>
      </c>
      <c r="J345" s="12" t="s">
        <v>4111</v>
      </c>
      <c r="K345" s="12"/>
      <c r="L345" s="12" t="s">
        <v>3838</v>
      </c>
      <c r="M345" s="12" t="s">
        <v>3839</v>
      </c>
    </row>
    <row r="346" spans="1:13" ht="105.6">
      <c r="A346" s="21" t="s">
        <v>3445</v>
      </c>
      <c r="B346" s="21" t="s">
        <v>748</v>
      </c>
      <c r="C346" s="21" t="s">
        <v>3446</v>
      </c>
      <c r="D346" s="21" t="s">
        <v>71</v>
      </c>
      <c r="E346" s="21" t="s">
        <v>3447</v>
      </c>
      <c r="F346" s="21" t="s">
        <v>748</v>
      </c>
      <c r="G346" s="21" t="s">
        <v>3448</v>
      </c>
      <c r="H346" s="21" t="s">
        <v>3449</v>
      </c>
      <c r="I346" s="12" t="s">
        <v>3552</v>
      </c>
      <c r="J346" s="12" t="s">
        <v>4112</v>
      </c>
      <c r="K346" s="12"/>
      <c r="L346" s="12" t="s">
        <v>3840</v>
      </c>
      <c r="M346" s="12" t="s">
        <v>3841</v>
      </c>
    </row>
    <row r="347" spans="1:13" ht="105.6">
      <c r="A347" s="21" t="s">
        <v>3445</v>
      </c>
      <c r="B347" s="21" t="s">
        <v>748</v>
      </c>
      <c r="C347" s="21" t="s">
        <v>3446</v>
      </c>
      <c r="D347" s="21" t="s">
        <v>71</v>
      </c>
      <c r="E347" s="21" t="s">
        <v>3447</v>
      </c>
      <c r="F347" s="21" t="s">
        <v>748</v>
      </c>
      <c r="G347" s="21" t="s">
        <v>3448</v>
      </c>
      <c r="H347" s="21" t="s">
        <v>3449</v>
      </c>
      <c r="I347" s="12" t="s">
        <v>3553</v>
      </c>
      <c r="J347" s="12" t="s">
        <v>4113</v>
      </c>
      <c r="K347" s="12"/>
      <c r="L347" s="12" t="s">
        <v>3842</v>
      </c>
      <c r="M347" s="12" t="s">
        <v>3843</v>
      </c>
    </row>
    <row r="348" spans="1:13" ht="105.6">
      <c r="A348" s="21" t="s">
        <v>3445</v>
      </c>
      <c r="B348" s="21" t="s">
        <v>748</v>
      </c>
      <c r="C348" s="21" t="s">
        <v>3446</v>
      </c>
      <c r="D348" s="21" t="s">
        <v>71</v>
      </c>
      <c r="E348" s="21" t="s">
        <v>3447</v>
      </c>
      <c r="F348" s="21" t="s">
        <v>748</v>
      </c>
      <c r="G348" s="21" t="s">
        <v>3448</v>
      </c>
      <c r="H348" s="21" t="s">
        <v>3449</v>
      </c>
      <c r="I348" s="12" t="s">
        <v>2638</v>
      </c>
      <c r="J348" s="12" t="s">
        <v>4114</v>
      </c>
      <c r="K348" s="12"/>
      <c r="L348" s="12" t="s">
        <v>3844</v>
      </c>
      <c r="M348" s="12" t="s">
        <v>3845</v>
      </c>
    </row>
    <row r="349" spans="1:13" ht="105.6">
      <c r="A349" s="21" t="s">
        <v>3445</v>
      </c>
      <c r="B349" s="21" t="s">
        <v>748</v>
      </c>
      <c r="C349" s="21" t="s">
        <v>3446</v>
      </c>
      <c r="D349" s="21" t="s">
        <v>71</v>
      </c>
      <c r="E349" s="21" t="s">
        <v>3447</v>
      </c>
      <c r="F349" s="21" t="s">
        <v>748</v>
      </c>
      <c r="G349" s="21" t="s">
        <v>3448</v>
      </c>
      <c r="H349" s="21" t="s">
        <v>3449</v>
      </c>
      <c r="I349" s="12" t="s">
        <v>3554</v>
      </c>
      <c r="J349" s="12" t="s">
        <v>4115</v>
      </c>
      <c r="K349" s="12"/>
      <c r="L349" s="12" t="s">
        <v>3846</v>
      </c>
      <c r="M349" s="12" t="s">
        <v>3847</v>
      </c>
    </row>
    <row r="350" spans="1:13" ht="145.19999999999999">
      <c r="A350" s="21" t="s">
        <v>3445</v>
      </c>
      <c r="B350" s="21" t="s">
        <v>748</v>
      </c>
      <c r="C350" s="21" t="s">
        <v>3446</v>
      </c>
      <c r="D350" s="21" t="s">
        <v>71</v>
      </c>
      <c r="E350" s="21" t="s">
        <v>3447</v>
      </c>
      <c r="F350" s="21" t="s">
        <v>748</v>
      </c>
      <c r="G350" s="21" t="s">
        <v>3448</v>
      </c>
      <c r="H350" s="21" t="s">
        <v>3449</v>
      </c>
      <c r="I350" s="12" t="s">
        <v>3555</v>
      </c>
      <c r="J350" s="12" t="s">
        <v>4116</v>
      </c>
      <c r="K350" s="12" t="s">
        <v>3848</v>
      </c>
      <c r="L350" s="12" t="s">
        <v>3849</v>
      </c>
      <c r="M350" s="12" t="s">
        <v>3850</v>
      </c>
    </row>
    <row r="351" spans="1:13" ht="105.6">
      <c r="A351" s="21" t="s">
        <v>3445</v>
      </c>
      <c r="B351" s="21" t="s">
        <v>748</v>
      </c>
      <c r="C351" s="21" t="s">
        <v>3446</v>
      </c>
      <c r="D351" s="21" t="s">
        <v>71</v>
      </c>
      <c r="E351" s="21" t="s">
        <v>3447</v>
      </c>
      <c r="F351" s="21" t="s">
        <v>748</v>
      </c>
      <c r="G351" s="21" t="s">
        <v>3448</v>
      </c>
      <c r="H351" s="21" t="s">
        <v>3449</v>
      </c>
      <c r="I351" s="12" t="s">
        <v>3556</v>
      </c>
      <c r="J351" s="12" t="s">
        <v>4117</v>
      </c>
      <c r="K351" s="12"/>
      <c r="L351" s="12" t="s">
        <v>3851</v>
      </c>
      <c r="M351" s="12" t="s">
        <v>3852</v>
      </c>
    </row>
    <row r="352" spans="1:13" ht="105.6">
      <c r="A352" s="21" t="s">
        <v>3445</v>
      </c>
      <c r="B352" s="21" t="s">
        <v>748</v>
      </c>
      <c r="C352" s="21" t="s">
        <v>3446</v>
      </c>
      <c r="D352" s="21" t="s">
        <v>71</v>
      </c>
      <c r="E352" s="21" t="s">
        <v>3447</v>
      </c>
      <c r="F352" s="21" t="s">
        <v>748</v>
      </c>
      <c r="G352" s="21" t="s">
        <v>3448</v>
      </c>
      <c r="H352" s="21" t="s">
        <v>3449</v>
      </c>
      <c r="I352" s="12" t="s">
        <v>3557</v>
      </c>
      <c r="J352" s="12" t="s">
        <v>4118</v>
      </c>
      <c r="K352" s="12"/>
      <c r="L352" s="12" t="s">
        <v>3853</v>
      </c>
      <c r="M352" s="12" t="s">
        <v>3854</v>
      </c>
    </row>
    <row r="353" spans="1:13" ht="105.6">
      <c r="A353" s="21" t="s">
        <v>3445</v>
      </c>
      <c r="B353" s="21" t="s">
        <v>748</v>
      </c>
      <c r="C353" s="21" t="s">
        <v>3446</v>
      </c>
      <c r="D353" s="21" t="s">
        <v>71</v>
      </c>
      <c r="E353" s="21" t="s">
        <v>3447</v>
      </c>
      <c r="F353" s="21" t="s">
        <v>748</v>
      </c>
      <c r="G353" s="21" t="s">
        <v>3448</v>
      </c>
      <c r="H353" s="21" t="s">
        <v>3449</v>
      </c>
      <c r="I353" s="12" t="s">
        <v>3558</v>
      </c>
      <c r="J353" s="12" t="s">
        <v>4119</v>
      </c>
      <c r="K353" s="12"/>
      <c r="L353" s="12" t="s">
        <v>3855</v>
      </c>
      <c r="M353" s="12" t="s">
        <v>3856</v>
      </c>
    </row>
    <row r="354" spans="1:13" ht="105.6">
      <c r="A354" s="21" t="s">
        <v>3445</v>
      </c>
      <c r="B354" s="21" t="s">
        <v>748</v>
      </c>
      <c r="C354" s="21" t="s">
        <v>3446</v>
      </c>
      <c r="D354" s="21" t="s">
        <v>71</v>
      </c>
      <c r="E354" s="21" t="s">
        <v>3447</v>
      </c>
      <c r="F354" s="21" t="s">
        <v>748</v>
      </c>
      <c r="G354" s="21" t="s">
        <v>3448</v>
      </c>
      <c r="H354" s="21" t="s">
        <v>3449</v>
      </c>
      <c r="I354" s="12" t="s">
        <v>3559</v>
      </c>
      <c r="J354" s="12" t="s">
        <v>4120</v>
      </c>
      <c r="K354" s="12"/>
      <c r="L354" s="12" t="s">
        <v>3857</v>
      </c>
      <c r="M354" s="12" t="s">
        <v>3858</v>
      </c>
    </row>
    <row r="355" spans="1:13" ht="105.6">
      <c r="A355" s="21" t="s">
        <v>3445</v>
      </c>
      <c r="B355" s="21" t="s">
        <v>748</v>
      </c>
      <c r="C355" s="21" t="s">
        <v>3446</v>
      </c>
      <c r="D355" s="21" t="s">
        <v>71</v>
      </c>
      <c r="E355" s="21" t="s">
        <v>3447</v>
      </c>
      <c r="F355" s="21" t="s">
        <v>748</v>
      </c>
      <c r="G355" s="21" t="s">
        <v>3448</v>
      </c>
      <c r="H355" s="21" t="s">
        <v>3449</v>
      </c>
      <c r="I355" s="12" t="s">
        <v>3560</v>
      </c>
      <c r="J355" s="12" t="s">
        <v>4121</v>
      </c>
      <c r="K355" s="12"/>
      <c r="L355" s="12" t="s">
        <v>3859</v>
      </c>
      <c r="M355" s="12" t="s">
        <v>3860</v>
      </c>
    </row>
    <row r="356" spans="1:13" ht="105.6">
      <c r="A356" s="21" t="s">
        <v>3445</v>
      </c>
      <c r="B356" s="21" t="s">
        <v>748</v>
      </c>
      <c r="C356" s="21" t="s">
        <v>3446</v>
      </c>
      <c r="D356" s="21" t="s">
        <v>71</v>
      </c>
      <c r="E356" s="21" t="s">
        <v>3447</v>
      </c>
      <c r="F356" s="21" t="s">
        <v>748</v>
      </c>
      <c r="G356" s="21" t="s">
        <v>3448</v>
      </c>
      <c r="H356" s="21" t="s">
        <v>3449</v>
      </c>
      <c r="I356" s="12" t="s">
        <v>3561</v>
      </c>
      <c r="J356" s="12" t="s">
        <v>4122</v>
      </c>
      <c r="K356" s="12"/>
      <c r="L356" s="12" t="s">
        <v>3861</v>
      </c>
      <c r="M356" s="12" t="s">
        <v>3862</v>
      </c>
    </row>
    <row r="357" spans="1:13" ht="105.6">
      <c r="A357" s="21" t="s">
        <v>3445</v>
      </c>
      <c r="B357" s="21" t="s">
        <v>748</v>
      </c>
      <c r="C357" s="21" t="s">
        <v>3446</v>
      </c>
      <c r="D357" s="21" t="s">
        <v>71</v>
      </c>
      <c r="E357" s="21" t="s">
        <v>3447</v>
      </c>
      <c r="F357" s="21" t="s">
        <v>748</v>
      </c>
      <c r="G357" s="21" t="s">
        <v>3448</v>
      </c>
      <c r="H357" s="21" t="s">
        <v>3449</v>
      </c>
      <c r="I357" s="12" t="s">
        <v>3562</v>
      </c>
      <c r="J357" s="12" t="s">
        <v>4123</v>
      </c>
      <c r="K357" s="12"/>
      <c r="L357" s="12" t="s">
        <v>3863</v>
      </c>
      <c r="M357" s="12" t="s">
        <v>3864</v>
      </c>
    </row>
    <row r="358" spans="1:13" ht="105.6">
      <c r="A358" s="21" t="s">
        <v>3445</v>
      </c>
      <c r="B358" s="21" t="s">
        <v>748</v>
      </c>
      <c r="C358" s="21" t="s">
        <v>3446</v>
      </c>
      <c r="D358" s="21" t="s">
        <v>71</v>
      </c>
      <c r="E358" s="21" t="s">
        <v>3447</v>
      </c>
      <c r="F358" s="21" t="s">
        <v>748</v>
      </c>
      <c r="G358" s="21" t="s">
        <v>3448</v>
      </c>
      <c r="H358" s="21" t="s">
        <v>3449</v>
      </c>
      <c r="I358" s="12" t="s">
        <v>3563</v>
      </c>
      <c r="J358" s="12" t="s">
        <v>4124</v>
      </c>
      <c r="K358" s="12"/>
      <c r="L358" s="12" t="s">
        <v>3865</v>
      </c>
      <c r="M358" s="12" t="s">
        <v>3866</v>
      </c>
    </row>
    <row r="359" spans="1:13" ht="105.6">
      <c r="A359" s="21" t="s">
        <v>3445</v>
      </c>
      <c r="B359" s="21" t="s">
        <v>748</v>
      </c>
      <c r="C359" s="21" t="s">
        <v>3446</v>
      </c>
      <c r="D359" s="21" t="s">
        <v>71</v>
      </c>
      <c r="E359" s="21" t="s">
        <v>3447</v>
      </c>
      <c r="F359" s="21" t="s">
        <v>748</v>
      </c>
      <c r="G359" s="21" t="s">
        <v>3448</v>
      </c>
      <c r="H359" s="21" t="s">
        <v>3449</v>
      </c>
      <c r="I359" s="12" t="s">
        <v>3564</v>
      </c>
      <c r="J359" s="12" t="s">
        <v>4125</v>
      </c>
      <c r="K359" s="12"/>
      <c r="L359" s="12" t="s">
        <v>3867</v>
      </c>
      <c r="M359" s="12" t="s">
        <v>3868</v>
      </c>
    </row>
    <row r="360" spans="1:13" ht="105.6">
      <c r="A360" s="21" t="s">
        <v>3445</v>
      </c>
      <c r="B360" s="21" t="s">
        <v>748</v>
      </c>
      <c r="C360" s="21" t="s">
        <v>3446</v>
      </c>
      <c r="D360" s="21" t="s">
        <v>71</v>
      </c>
      <c r="E360" s="21" t="s">
        <v>3447</v>
      </c>
      <c r="F360" s="21" t="s">
        <v>748</v>
      </c>
      <c r="G360" s="21" t="s">
        <v>3448</v>
      </c>
      <c r="H360" s="21" t="s">
        <v>3449</v>
      </c>
      <c r="I360" s="12" t="s">
        <v>3565</v>
      </c>
      <c r="J360" s="12" t="s">
        <v>4126</v>
      </c>
      <c r="K360" s="12"/>
      <c r="L360" s="12" t="s">
        <v>3869</v>
      </c>
      <c r="M360" s="12" t="s">
        <v>3870</v>
      </c>
    </row>
    <row r="361" spans="1:13" ht="105.6">
      <c r="A361" s="21" t="s">
        <v>3445</v>
      </c>
      <c r="B361" s="21" t="s">
        <v>748</v>
      </c>
      <c r="C361" s="21" t="s">
        <v>3446</v>
      </c>
      <c r="D361" s="21" t="s">
        <v>71</v>
      </c>
      <c r="E361" s="21" t="s">
        <v>3447</v>
      </c>
      <c r="F361" s="21" t="s">
        <v>748</v>
      </c>
      <c r="G361" s="21" t="s">
        <v>3448</v>
      </c>
      <c r="H361" s="21" t="s">
        <v>3449</v>
      </c>
      <c r="I361" s="12" t="s">
        <v>3566</v>
      </c>
      <c r="J361" s="12" t="s">
        <v>4127</v>
      </c>
      <c r="K361" s="12"/>
      <c r="L361" s="12" t="s">
        <v>3871</v>
      </c>
      <c r="M361" s="12" t="s">
        <v>3872</v>
      </c>
    </row>
    <row r="362" spans="1:13" ht="105.6">
      <c r="A362" s="21" t="s">
        <v>3445</v>
      </c>
      <c r="B362" s="21" t="s">
        <v>748</v>
      </c>
      <c r="C362" s="21" t="s">
        <v>3446</v>
      </c>
      <c r="D362" s="21" t="s">
        <v>71</v>
      </c>
      <c r="E362" s="21" t="s">
        <v>3447</v>
      </c>
      <c r="F362" s="21" t="s">
        <v>748</v>
      </c>
      <c r="G362" s="21" t="s">
        <v>3448</v>
      </c>
      <c r="H362" s="21" t="s">
        <v>3449</v>
      </c>
      <c r="I362" s="12" t="s">
        <v>3567</v>
      </c>
      <c r="J362" s="12" t="s">
        <v>4128</v>
      </c>
      <c r="K362" s="12"/>
      <c r="L362" s="12" t="s">
        <v>3873</v>
      </c>
      <c r="M362" s="12" t="s">
        <v>3874</v>
      </c>
    </row>
    <row r="363" spans="1:13" ht="105.6">
      <c r="A363" s="21" t="s">
        <v>3445</v>
      </c>
      <c r="B363" s="21" t="s">
        <v>748</v>
      </c>
      <c r="C363" s="21" t="s">
        <v>3446</v>
      </c>
      <c r="D363" s="21" t="s">
        <v>71</v>
      </c>
      <c r="E363" s="21" t="s">
        <v>3447</v>
      </c>
      <c r="F363" s="21" t="s">
        <v>748</v>
      </c>
      <c r="G363" s="21" t="s">
        <v>3448</v>
      </c>
      <c r="H363" s="21" t="s">
        <v>3449</v>
      </c>
      <c r="I363" s="12" t="s">
        <v>3568</v>
      </c>
      <c r="J363" s="12" t="s">
        <v>4129</v>
      </c>
      <c r="K363" s="12"/>
      <c r="L363" s="12" t="s">
        <v>3875</v>
      </c>
      <c r="M363" s="12" t="s">
        <v>3876</v>
      </c>
    </row>
    <row r="364" spans="1:13" ht="105.6">
      <c r="A364" s="21" t="s">
        <v>3445</v>
      </c>
      <c r="B364" s="21" t="s">
        <v>748</v>
      </c>
      <c r="C364" s="21" t="s">
        <v>3446</v>
      </c>
      <c r="D364" s="21" t="s">
        <v>71</v>
      </c>
      <c r="E364" s="21" t="s">
        <v>3447</v>
      </c>
      <c r="F364" s="21" t="s">
        <v>748</v>
      </c>
      <c r="G364" s="21" t="s">
        <v>3448</v>
      </c>
      <c r="H364" s="21" t="s">
        <v>3449</v>
      </c>
      <c r="I364" s="12" t="s">
        <v>3569</v>
      </c>
      <c r="J364" s="12" t="s">
        <v>4130</v>
      </c>
      <c r="K364" s="12"/>
      <c r="L364" s="12" t="s">
        <v>3877</v>
      </c>
      <c r="M364" s="12" t="s">
        <v>3878</v>
      </c>
    </row>
    <row r="365" spans="1:13" ht="105.6">
      <c r="A365" s="21" t="s">
        <v>3445</v>
      </c>
      <c r="B365" s="21" t="s">
        <v>748</v>
      </c>
      <c r="C365" s="21" t="s">
        <v>3446</v>
      </c>
      <c r="D365" s="21" t="s">
        <v>71</v>
      </c>
      <c r="E365" s="21" t="s">
        <v>3447</v>
      </c>
      <c r="F365" s="21" t="s">
        <v>748</v>
      </c>
      <c r="G365" s="21" t="s">
        <v>3448</v>
      </c>
      <c r="H365" s="21" t="s">
        <v>3449</v>
      </c>
      <c r="I365" s="12" t="s">
        <v>3570</v>
      </c>
      <c r="J365" s="12" t="s">
        <v>4131</v>
      </c>
      <c r="K365" s="12"/>
      <c r="L365" s="12" t="s">
        <v>3879</v>
      </c>
      <c r="M365" s="12" t="s">
        <v>3880</v>
      </c>
    </row>
    <row r="366" spans="1:13" ht="105.6">
      <c r="A366" s="21" t="s">
        <v>3445</v>
      </c>
      <c r="B366" s="21" t="s">
        <v>748</v>
      </c>
      <c r="C366" s="21" t="s">
        <v>3446</v>
      </c>
      <c r="D366" s="21" t="s">
        <v>71</v>
      </c>
      <c r="E366" s="21" t="s">
        <v>3447</v>
      </c>
      <c r="F366" s="21" t="s">
        <v>748</v>
      </c>
      <c r="G366" s="21" t="s">
        <v>3448</v>
      </c>
      <c r="H366" s="21" t="s">
        <v>3449</v>
      </c>
      <c r="I366" s="12" t="s">
        <v>3571</v>
      </c>
      <c r="J366" s="12" t="s">
        <v>4132</v>
      </c>
      <c r="K366" s="12"/>
      <c r="L366" s="12" t="s">
        <v>3881</v>
      </c>
      <c r="M366" s="12" t="s">
        <v>3882</v>
      </c>
    </row>
    <row r="367" spans="1:13" ht="105.6">
      <c r="A367" s="21" t="s">
        <v>3445</v>
      </c>
      <c r="B367" s="21" t="s">
        <v>748</v>
      </c>
      <c r="C367" s="21" t="s">
        <v>3446</v>
      </c>
      <c r="D367" s="21" t="s">
        <v>71</v>
      </c>
      <c r="E367" s="21" t="s">
        <v>3447</v>
      </c>
      <c r="F367" s="21" t="s">
        <v>748</v>
      </c>
      <c r="G367" s="21" t="s">
        <v>3448</v>
      </c>
      <c r="H367" s="21" t="s">
        <v>3449</v>
      </c>
      <c r="I367" s="12" t="s">
        <v>3572</v>
      </c>
      <c r="J367" s="12" t="s">
        <v>4133</v>
      </c>
      <c r="K367" s="12"/>
      <c r="L367" s="12" t="s">
        <v>3883</v>
      </c>
      <c r="M367" s="12" t="s">
        <v>3884</v>
      </c>
    </row>
    <row r="368" spans="1:13" ht="105.6">
      <c r="A368" s="21" t="s">
        <v>3445</v>
      </c>
      <c r="B368" s="21" t="s">
        <v>748</v>
      </c>
      <c r="C368" s="21" t="s">
        <v>3446</v>
      </c>
      <c r="D368" s="21" t="s">
        <v>71</v>
      </c>
      <c r="E368" s="21" t="s">
        <v>3447</v>
      </c>
      <c r="F368" s="21" t="s">
        <v>748</v>
      </c>
      <c r="G368" s="21" t="s">
        <v>3448</v>
      </c>
      <c r="H368" s="21" t="s">
        <v>3449</v>
      </c>
      <c r="I368" s="12" t="s">
        <v>3573</v>
      </c>
      <c r="J368" s="12" t="s">
        <v>4134</v>
      </c>
      <c r="K368" s="12"/>
      <c r="L368" s="12" t="s">
        <v>3885</v>
      </c>
      <c r="M368" s="12" t="s">
        <v>3886</v>
      </c>
    </row>
    <row r="369" spans="1:13" ht="105.6">
      <c r="A369" s="21" t="s">
        <v>3445</v>
      </c>
      <c r="B369" s="21" t="s">
        <v>748</v>
      </c>
      <c r="C369" s="21" t="s">
        <v>3446</v>
      </c>
      <c r="D369" s="21" t="s">
        <v>71</v>
      </c>
      <c r="E369" s="21" t="s">
        <v>3447</v>
      </c>
      <c r="F369" s="21" t="s">
        <v>748</v>
      </c>
      <c r="G369" s="21" t="s">
        <v>3448</v>
      </c>
      <c r="H369" s="21" t="s">
        <v>3449</v>
      </c>
      <c r="I369" s="12" t="s">
        <v>3574</v>
      </c>
      <c r="J369" s="12" t="s">
        <v>4135</v>
      </c>
      <c r="K369" s="12"/>
      <c r="L369" s="12" t="s">
        <v>3887</v>
      </c>
      <c r="M369" s="12" t="s">
        <v>3888</v>
      </c>
    </row>
    <row r="370" spans="1:13" ht="105.6">
      <c r="A370" s="21" t="s">
        <v>3445</v>
      </c>
      <c r="B370" s="21" t="s">
        <v>748</v>
      </c>
      <c r="C370" s="21" t="s">
        <v>3446</v>
      </c>
      <c r="D370" s="21" t="s">
        <v>71</v>
      </c>
      <c r="E370" s="21" t="s">
        <v>3447</v>
      </c>
      <c r="F370" s="21" t="s">
        <v>748</v>
      </c>
      <c r="G370" s="21" t="s">
        <v>3448</v>
      </c>
      <c r="H370" s="21" t="s">
        <v>3449</v>
      </c>
      <c r="I370" s="12" t="s">
        <v>3575</v>
      </c>
      <c r="J370" s="12" t="s">
        <v>4136</v>
      </c>
      <c r="K370" s="12"/>
      <c r="L370" s="12" t="s">
        <v>3889</v>
      </c>
      <c r="M370" s="12" t="s">
        <v>3890</v>
      </c>
    </row>
    <row r="371" spans="1:13" ht="105.6">
      <c r="A371" s="21" t="s">
        <v>3445</v>
      </c>
      <c r="B371" s="21" t="s">
        <v>748</v>
      </c>
      <c r="C371" s="21" t="s">
        <v>3446</v>
      </c>
      <c r="D371" s="21" t="s">
        <v>71</v>
      </c>
      <c r="E371" s="21" t="s">
        <v>3447</v>
      </c>
      <c r="F371" s="21" t="s">
        <v>748</v>
      </c>
      <c r="G371" s="21" t="s">
        <v>3448</v>
      </c>
      <c r="H371" s="21" t="s">
        <v>3449</v>
      </c>
      <c r="I371" s="12" t="s">
        <v>3576</v>
      </c>
      <c r="J371" s="12" t="s">
        <v>4137</v>
      </c>
      <c r="K371" s="12"/>
      <c r="L371" s="12" t="s">
        <v>3891</v>
      </c>
      <c r="M371" s="12" t="s">
        <v>3892</v>
      </c>
    </row>
    <row r="372" spans="1:13" ht="105.6">
      <c r="A372" s="21" t="s">
        <v>3445</v>
      </c>
      <c r="B372" s="21" t="s">
        <v>748</v>
      </c>
      <c r="C372" s="21" t="s">
        <v>3446</v>
      </c>
      <c r="D372" s="21" t="s">
        <v>71</v>
      </c>
      <c r="E372" s="21" t="s">
        <v>3447</v>
      </c>
      <c r="F372" s="21" t="s">
        <v>748</v>
      </c>
      <c r="G372" s="21" t="s">
        <v>3448</v>
      </c>
      <c r="H372" s="21" t="s">
        <v>3449</v>
      </c>
      <c r="I372" s="12" t="s">
        <v>3577</v>
      </c>
      <c r="J372" s="12" t="s">
        <v>4138</v>
      </c>
      <c r="K372" s="12"/>
      <c r="L372" s="12" t="s">
        <v>3893</v>
      </c>
      <c r="M372" s="12" t="s">
        <v>3894</v>
      </c>
    </row>
    <row r="373" spans="1:13" ht="105.6">
      <c r="A373" s="21" t="s">
        <v>3445</v>
      </c>
      <c r="B373" s="21" t="s">
        <v>748</v>
      </c>
      <c r="C373" s="21" t="s">
        <v>3446</v>
      </c>
      <c r="D373" s="21" t="s">
        <v>71</v>
      </c>
      <c r="E373" s="21" t="s">
        <v>3447</v>
      </c>
      <c r="F373" s="21" t="s">
        <v>748</v>
      </c>
      <c r="G373" s="21" t="s">
        <v>3448</v>
      </c>
      <c r="H373" s="21" t="s">
        <v>3449</v>
      </c>
      <c r="I373" s="12" t="s">
        <v>3578</v>
      </c>
      <c r="J373" s="12" t="s">
        <v>4139</v>
      </c>
      <c r="K373" s="12"/>
      <c r="L373" s="12" t="s">
        <v>3895</v>
      </c>
      <c r="M373" s="12" t="s">
        <v>3896</v>
      </c>
    </row>
    <row r="374" spans="1:13" ht="105.6">
      <c r="A374" s="21" t="s">
        <v>3445</v>
      </c>
      <c r="B374" s="21" t="s">
        <v>748</v>
      </c>
      <c r="C374" s="21" t="s">
        <v>3446</v>
      </c>
      <c r="D374" s="21" t="s">
        <v>71</v>
      </c>
      <c r="E374" s="21" t="s">
        <v>3447</v>
      </c>
      <c r="F374" s="21" t="s">
        <v>748</v>
      </c>
      <c r="G374" s="21" t="s">
        <v>3448</v>
      </c>
      <c r="H374" s="21" t="s">
        <v>3449</v>
      </c>
      <c r="I374" s="12" t="s">
        <v>3579</v>
      </c>
      <c r="J374" s="12" t="s">
        <v>4140</v>
      </c>
      <c r="K374" s="12"/>
      <c r="L374" s="12" t="s">
        <v>3897</v>
      </c>
      <c r="M374" s="12" t="s">
        <v>3898</v>
      </c>
    </row>
    <row r="375" spans="1:13" ht="105.6">
      <c r="A375" s="21" t="s">
        <v>3445</v>
      </c>
      <c r="B375" s="21" t="s">
        <v>748</v>
      </c>
      <c r="C375" s="21" t="s">
        <v>3446</v>
      </c>
      <c r="D375" s="21" t="s">
        <v>71</v>
      </c>
      <c r="E375" s="21" t="s">
        <v>3447</v>
      </c>
      <c r="F375" s="21" t="s">
        <v>748</v>
      </c>
      <c r="G375" s="21" t="s">
        <v>3448</v>
      </c>
      <c r="H375" s="21" t="s">
        <v>3449</v>
      </c>
      <c r="I375" s="12" t="s">
        <v>3580</v>
      </c>
      <c r="J375" s="12" t="s">
        <v>4141</v>
      </c>
      <c r="K375" s="12"/>
      <c r="L375" s="12" t="s">
        <v>3899</v>
      </c>
      <c r="M375" s="12" t="s">
        <v>3900</v>
      </c>
    </row>
    <row r="376" spans="1:13" ht="105.6">
      <c r="A376" s="21" t="s">
        <v>3445</v>
      </c>
      <c r="B376" s="21" t="s">
        <v>748</v>
      </c>
      <c r="C376" s="21" t="s">
        <v>3446</v>
      </c>
      <c r="D376" s="21" t="s">
        <v>71</v>
      </c>
      <c r="E376" s="21" t="s">
        <v>3447</v>
      </c>
      <c r="F376" s="21" t="s">
        <v>748</v>
      </c>
      <c r="G376" s="21" t="s">
        <v>3448</v>
      </c>
      <c r="H376" s="21" t="s">
        <v>3449</v>
      </c>
      <c r="I376" s="12" t="s">
        <v>3581</v>
      </c>
      <c r="J376" s="12" t="s">
        <v>4142</v>
      </c>
      <c r="K376" s="12"/>
      <c r="L376" s="12" t="s">
        <v>3901</v>
      </c>
      <c r="M376" s="12" t="s">
        <v>3902</v>
      </c>
    </row>
    <row r="377" spans="1:13" ht="105.6">
      <c r="A377" s="21" t="s">
        <v>3445</v>
      </c>
      <c r="B377" s="21" t="s">
        <v>748</v>
      </c>
      <c r="C377" s="21" t="s">
        <v>3446</v>
      </c>
      <c r="D377" s="21" t="s">
        <v>71</v>
      </c>
      <c r="E377" s="21" t="s">
        <v>3447</v>
      </c>
      <c r="F377" s="21" t="s">
        <v>748</v>
      </c>
      <c r="G377" s="21" t="s">
        <v>3448</v>
      </c>
      <c r="H377" s="21" t="s">
        <v>3449</v>
      </c>
      <c r="I377" s="12" t="s">
        <v>3582</v>
      </c>
      <c r="J377" s="12" t="s">
        <v>4143</v>
      </c>
      <c r="K377" s="12"/>
      <c r="L377" s="12" t="s">
        <v>3903</v>
      </c>
      <c r="M377" s="12" t="s">
        <v>3904</v>
      </c>
    </row>
    <row r="378" spans="1:13" ht="105.6">
      <c r="A378" s="21" t="s">
        <v>3445</v>
      </c>
      <c r="B378" s="21" t="s">
        <v>748</v>
      </c>
      <c r="C378" s="21" t="s">
        <v>3446</v>
      </c>
      <c r="D378" s="21" t="s">
        <v>71</v>
      </c>
      <c r="E378" s="21" t="s">
        <v>3447</v>
      </c>
      <c r="F378" s="21" t="s">
        <v>748</v>
      </c>
      <c r="G378" s="21" t="s">
        <v>3448</v>
      </c>
      <c r="H378" s="21" t="s">
        <v>3449</v>
      </c>
      <c r="I378" s="12" t="s">
        <v>3583</v>
      </c>
      <c r="J378" s="12" t="s">
        <v>4144</v>
      </c>
      <c r="K378" s="12"/>
      <c r="L378" s="12" t="s">
        <v>3905</v>
      </c>
      <c r="M378" s="12" t="s">
        <v>3906</v>
      </c>
    </row>
    <row r="379" spans="1:13" ht="105.6">
      <c r="A379" s="21" t="s">
        <v>3445</v>
      </c>
      <c r="B379" s="21" t="s">
        <v>748</v>
      </c>
      <c r="C379" s="21" t="s">
        <v>3446</v>
      </c>
      <c r="D379" s="21" t="s">
        <v>71</v>
      </c>
      <c r="E379" s="21" t="s">
        <v>3447</v>
      </c>
      <c r="F379" s="21" t="s">
        <v>748</v>
      </c>
      <c r="G379" s="21" t="s">
        <v>3448</v>
      </c>
      <c r="H379" s="21" t="s">
        <v>3449</v>
      </c>
      <c r="I379" s="12" t="s">
        <v>3584</v>
      </c>
      <c r="J379" s="12" t="s">
        <v>4145</v>
      </c>
      <c r="K379" s="12"/>
      <c r="L379" s="12" t="s">
        <v>3907</v>
      </c>
      <c r="M379" s="12" t="s">
        <v>3908</v>
      </c>
    </row>
    <row r="380" spans="1:13" ht="105.6">
      <c r="A380" s="21" t="s">
        <v>3445</v>
      </c>
      <c r="B380" s="21" t="s">
        <v>748</v>
      </c>
      <c r="C380" s="21" t="s">
        <v>3446</v>
      </c>
      <c r="D380" s="21" t="s">
        <v>71</v>
      </c>
      <c r="E380" s="21" t="s">
        <v>3447</v>
      </c>
      <c r="F380" s="21" t="s">
        <v>748</v>
      </c>
      <c r="G380" s="21" t="s">
        <v>3448</v>
      </c>
      <c r="H380" s="21" t="s">
        <v>3449</v>
      </c>
      <c r="I380" s="12" t="s">
        <v>3585</v>
      </c>
      <c r="J380" s="12" t="s">
        <v>4146</v>
      </c>
      <c r="K380" s="12"/>
      <c r="L380" s="12" t="s">
        <v>3909</v>
      </c>
      <c r="M380" s="12" t="s">
        <v>3910</v>
      </c>
    </row>
    <row r="381" spans="1:13" ht="105.6">
      <c r="A381" s="21" t="s">
        <v>3445</v>
      </c>
      <c r="B381" s="21" t="s">
        <v>748</v>
      </c>
      <c r="C381" s="21" t="s">
        <v>3446</v>
      </c>
      <c r="D381" s="21" t="s">
        <v>71</v>
      </c>
      <c r="E381" s="21" t="s">
        <v>3447</v>
      </c>
      <c r="F381" s="21" t="s">
        <v>748</v>
      </c>
      <c r="G381" s="21" t="s">
        <v>3448</v>
      </c>
      <c r="H381" s="21" t="s">
        <v>3449</v>
      </c>
      <c r="I381" s="12" t="s">
        <v>3586</v>
      </c>
      <c r="J381" s="12" t="s">
        <v>4147</v>
      </c>
      <c r="K381" s="12"/>
      <c r="L381" s="12" t="s">
        <v>3911</v>
      </c>
      <c r="M381" s="12" t="s">
        <v>3912</v>
      </c>
    </row>
    <row r="382" spans="1:13" ht="105.6">
      <c r="A382" s="21" t="s">
        <v>3445</v>
      </c>
      <c r="B382" s="21" t="s">
        <v>748</v>
      </c>
      <c r="C382" s="21" t="s">
        <v>3446</v>
      </c>
      <c r="D382" s="21" t="s">
        <v>71</v>
      </c>
      <c r="E382" s="21" t="s">
        <v>3447</v>
      </c>
      <c r="F382" s="21" t="s">
        <v>748</v>
      </c>
      <c r="G382" s="21" t="s">
        <v>3448</v>
      </c>
      <c r="H382" s="21" t="s">
        <v>3449</v>
      </c>
      <c r="I382" s="12" t="s">
        <v>3587</v>
      </c>
      <c r="J382" s="12" t="s">
        <v>4148</v>
      </c>
      <c r="K382" s="12"/>
      <c r="L382" s="12" t="s">
        <v>3913</v>
      </c>
      <c r="M382" s="12" t="s">
        <v>3914</v>
      </c>
    </row>
    <row r="383" spans="1:13" ht="105.6">
      <c r="A383" s="21" t="s">
        <v>3445</v>
      </c>
      <c r="B383" s="21" t="s">
        <v>748</v>
      </c>
      <c r="C383" s="21" t="s">
        <v>3446</v>
      </c>
      <c r="D383" s="21" t="s">
        <v>71</v>
      </c>
      <c r="E383" s="21" t="s">
        <v>3447</v>
      </c>
      <c r="F383" s="21" t="s">
        <v>748</v>
      </c>
      <c r="G383" s="21" t="s">
        <v>3448</v>
      </c>
      <c r="H383" s="21" t="s">
        <v>3449</v>
      </c>
      <c r="I383" s="12" t="s">
        <v>3588</v>
      </c>
      <c r="J383" s="12" t="s">
        <v>4149</v>
      </c>
      <c r="K383" s="12"/>
      <c r="L383" s="12" t="s">
        <v>3915</v>
      </c>
      <c r="M383" s="12" t="s">
        <v>3916</v>
      </c>
    </row>
    <row r="384" spans="1:13" ht="105.6">
      <c r="A384" s="21" t="s">
        <v>3445</v>
      </c>
      <c r="B384" s="21" t="s">
        <v>748</v>
      </c>
      <c r="C384" s="21" t="s">
        <v>3446</v>
      </c>
      <c r="D384" s="21" t="s">
        <v>71</v>
      </c>
      <c r="E384" s="21" t="s">
        <v>3447</v>
      </c>
      <c r="F384" s="21" t="s">
        <v>748</v>
      </c>
      <c r="G384" s="21" t="s">
        <v>3448</v>
      </c>
      <c r="H384" s="21" t="s">
        <v>3449</v>
      </c>
      <c r="I384" s="12" t="s">
        <v>3589</v>
      </c>
      <c r="J384" s="12" t="s">
        <v>4150</v>
      </c>
      <c r="K384" s="12"/>
      <c r="L384" s="12" t="s">
        <v>3917</v>
      </c>
      <c r="M384" s="12" t="s">
        <v>3918</v>
      </c>
    </row>
    <row r="385" spans="1:13" ht="105.6">
      <c r="A385" s="21" t="s">
        <v>3445</v>
      </c>
      <c r="B385" s="21" t="s">
        <v>748</v>
      </c>
      <c r="C385" s="21" t="s">
        <v>3446</v>
      </c>
      <c r="D385" s="21" t="s">
        <v>71</v>
      </c>
      <c r="E385" s="21" t="s">
        <v>3447</v>
      </c>
      <c r="F385" s="21" t="s">
        <v>748</v>
      </c>
      <c r="G385" s="21" t="s">
        <v>3448</v>
      </c>
      <c r="H385" s="21" t="s">
        <v>3449</v>
      </c>
      <c r="I385" s="12" t="s">
        <v>3590</v>
      </c>
      <c r="J385" s="12" t="s">
        <v>4151</v>
      </c>
      <c r="K385" s="12"/>
      <c r="L385" s="12" t="s">
        <v>3919</v>
      </c>
      <c r="M385" s="12" t="s">
        <v>3920</v>
      </c>
    </row>
    <row r="386" spans="1:13" ht="105.6">
      <c r="A386" s="21" t="s">
        <v>3445</v>
      </c>
      <c r="B386" s="21" t="s">
        <v>748</v>
      </c>
      <c r="C386" s="21" t="s">
        <v>3446</v>
      </c>
      <c r="D386" s="21" t="s">
        <v>71</v>
      </c>
      <c r="E386" s="21" t="s">
        <v>3447</v>
      </c>
      <c r="F386" s="21" t="s">
        <v>748</v>
      </c>
      <c r="G386" s="21" t="s">
        <v>3448</v>
      </c>
      <c r="H386" s="21" t="s">
        <v>3449</v>
      </c>
      <c r="I386" s="12" t="s">
        <v>3591</v>
      </c>
      <c r="J386" s="12" t="s">
        <v>4152</v>
      </c>
      <c r="K386" s="12"/>
      <c r="L386" s="12" t="s">
        <v>3921</v>
      </c>
      <c r="M386" s="12" t="s">
        <v>3922</v>
      </c>
    </row>
    <row r="387" spans="1:13" ht="105.6">
      <c r="A387" s="21" t="s">
        <v>3445</v>
      </c>
      <c r="B387" s="21" t="s">
        <v>748</v>
      </c>
      <c r="C387" s="21" t="s">
        <v>3446</v>
      </c>
      <c r="D387" s="21" t="s">
        <v>71</v>
      </c>
      <c r="E387" s="21" t="s">
        <v>3447</v>
      </c>
      <c r="F387" s="21" t="s">
        <v>748</v>
      </c>
      <c r="G387" s="21" t="s">
        <v>3448</v>
      </c>
      <c r="H387" s="21" t="s">
        <v>3449</v>
      </c>
      <c r="I387" s="12" t="s">
        <v>3592</v>
      </c>
      <c r="J387" s="12" t="s">
        <v>4153</v>
      </c>
      <c r="K387" s="12"/>
      <c r="L387" s="12" t="s">
        <v>3923</v>
      </c>
      <c r="M387" s="12" t="s">
        <v>3924</v>
      </c>
    </row>
    <row r="388" spans="1:13" ht="105.6">
      <c r="A388" s="21" t="s">
        <v>3445</v>
      </c>
      <c r="B388" s="21" t="s">
        <v>748</v>
      </c>
      <c r="C388" s="21" t="s">
        <v>3446</v>
      </c>
      <c r="D388" s="21" t="s">
        <v>71</v>
      </c>
      <c r="E388" s="21" t="s">
        <v>3447</v>
      </c>
      <c r="F388" s="21" t="s">
        <v>748</v>
      </c>
      <c r="G388" s="21" t="s">
        <v>3448</v>
      </c>
      <c r="H388" s="21" t="s">
        <v>3449</v>
      </c>
      <c r="I388" s="12" t="s">
        <v>3593</v>
      </c>
      <c r="J388" s="12" t="s">
        <v>4154</v>
      </c>
      <c r="K388" s="12"/>
      <c r="L388" s="12" t="s">
        <v>3925</v>
      </c>
      <c r="M388" s="12" t="s">
        <v>3926</v>
      </c>
    </row>
    <row r="389" spans="1:13" ht="105.6">
      <c r="A389" s="21" t="s">
        <v>3445</v>
      </c>
      <c r="B389" s="21" t="s">
        <v>748</v>
      </c>
      <c r="C389" s="21" t="s">
        <v>3446</v>
      </c>
      <c r="D389" s="21" t="s">
        <v>71</v>
      </c>
      <c r="E389" s="21" t="s">
        <v>3447</v>
      </c>
      <c r="F389" s="21" t="s">
        <v>748</v>
      </c>
      <c r="G389" s="21" t="s">
        <v>3448</v>
      </c>
      <c r="H389" s="21" t="s">
        <v>3449</v>
      </c>
      <c r="I389" s="12" t="s">
        <v>3594</v>
      </c>
      <c r="J389" s="12" t="s">
        <v>4155</v>
      </c>
      <c r="K389" s="12" t="s">
        <v>3927</v>
      </c>
      <c r="L389" s="12" t="s">
        <v>3928</v>
      </c>
      <c r="M389" s="12" t="s">
        <v>3929</v>
      </c>
    </row>
    <row r="390" spans="1:13" ht="105.6">
      <c r="A390" s="21" t="s">
        <v>3445</v>
      </c>
      <c r="B390" s="21" t="s">
        <v>748</v>
      </c>
      <c r="C390" s="21" t="s">
        <v>3446</v>
      </c>
      <c r="D390" s="21" t="s">
        <v>71</v>
      </c>
      <c r="E390" s="21" t="s">
        <v>3447</v>
      </c>
      <c r="F390" s="21" t="s">
        <v>748</v>
      </c>
      <c r="G390" s="21" t="s">
        <v>3448</v>
      </c>
      <c r="H390" s="21" t="s">
        <v>3449</v>
      </c>
      <c r="I390" s="12" t="s">
        <v>3595</v>
      </c>
      <c r="J390" s="12" t="s">
        <v>4156</v>
      </c>
      <c r="K390" s="12"/>
      <c r="L390" s="12" t="s">
        <v>3930</v>
      </c>
      <c r="M390" s="12" t="s">
        <v>3931</v>
      </c>
    </row>
    <row r="391" spans="1:13" ht="105.6">
      <c r="A391" s="21" t="s">
        <v>3445</v>
      </c>
      <c r="B391" s="21" t="s">
        <v>748</v>
      </c>
      <c r="C391" s="21" t="s">
        <v>3446</v>
      </c>
      <c r="D391" s="21" t="s">
        <v>71</v>
      </c>
      <c r="E391" s="21" t="s">
        <v>3447</v>
      </c>
      <c r="F391" s="21" t="s">
        <v>748</v>
      </c>
      <c r="G391" s="21" t="s">
        <v>3448</v>
      </c>
      <c r="H391" s="21" t="s">
        <v>3449</v>
      </c>
      <c r="I391" s="12" t="s">
        <v>3596</v>
      </c>
      <c r="J391" s="12" t="s">
        <v>4157</v>
      </c>
      <c r="K391" s="12" t="s">
        <v>3932</v>
      </c>
      <c r="L391" s="12" t="s">
        <v>3933</v>
      </c>
      <c r="M391" s="12" t="s">
        <v>3934</v>
      </c>
    </row>
    <row r="392" spans="1:13" ht="105.6">
      <c r="A392" s="21" t="s">
        <v>3445</v>
      </c>
      <c r="B392" s="21" t="s">
        <v>748</v>
      </c>
      <c r="C392" s="21" t="s">
        <v>3446</v>
      </c>
      <c r="D392" s="21" t="s">
        <v>71</v>
      </c>
      <c r="E392" s="21" t="s">
        <v>3447</v>
      </c>
      <c r="F392" s="21" t="s">
        <v>748</v>
      </c>
      <c r="G392" s="21" t="s">
        <v>3448</v>
      </c>
      <c r="H392" s="21" t="s">
        <v>3449</v>
      </c>
      <c r="I392" s="12" t="s">
        <v>3597</v>
      </c>
      <c r="J392" s="12" t="s">
        <v>4158</v>
      </c>
      <c r="K392" s="12"/>
      <c r="L392" s="12" t="s">
        <v>3935</v>
      </c>
      <c r="M392" s="12" t="s">
        <v>3936</v>
      </c>
    </row>
    <row r="393" spans="1:13" ht="105.6">
      <c r="A393" s="21" t="s">
        <v>3445</v>
      </c>
      <c r="B393" s="21" t="s">
        <v>748</v>
      </c>
      <c r="C393" s="21" t="s">
        <v>3446</v>
      </c>
      <c r="D393" s="21" t="s">
        <v>71</v>
      </c>
      <c r="E393" s="21" t="s">
        <v>3447</v>
      </c>
      <c r="F393" s="21" t="s">
        <v>748</v>
      </c>
      <c r="G393" s="21" t="s">
        <v>3448</v>
      </c>
      <c r="H393" s="21" t="s">
        <v>3449</v>
      </c>
      <c r="I393" s="12" t="s">
        <v>3598</v>
      </c>
      <c r="J393" s="12" t="s">
        <v>4159</v>
      </c>
      <c r="K393" s="12"/>
      <c r="L393" s="12" t="s">
        <v>3937</v>
      </c>
      <c r="M393" s="12" t="s">
        <v>3938</v>
      </c>
    </row>
    <row r="394" spans="1:13" ht="105.6">
      <c r="A394" s="21" t="s">
        <v>3445</v>
      </c>
      <c r="B394" s="21" t="s">
        <v>748</v>
      </c>
      <c r="C394" s="21" t="s">
        <v>3446</v>
      </c>
      <c r="D394" s="21" t="s">
        <v>71</v>
      </c>
      <c r="E394" s="21" t="s">
        <v>3447</v>
      </c>
      <c r="F394" s="21" t="s">
        <v>748</v>
      </c>
      <c r="G394" s="21" t="s">
        <v>3448</v>
      </c>
      <c r="H394" s="21" t="s">
        <v>3449</v>
      </c>
      <c r="I394" s="12" t="s">
        <v>3599</v>
      </c>
      <c r="J394" s="12" t="s">
        <v>4160</v>
      </c>
      <c r="K394" s="12"/>
      <c r="L394" s="12" t="s">
        <v>3939</v>
      </c>
      <c r="M394" s="12" t="s">
        <v>3940</v>
      </c>
    </row>
    <row r="395" spans="1:13" ht="105.6">
      <c r="A395" s="21" t="s">
        <v>3445</v>
      </c>
      <c r="B395" s="21" t="s">
        <v>748</v>
      </c>
      <c r="C395" s="21" t="s">
        <v>3446</v>
      </c>
      <c r="D395" s="21" t="s">
        <v>71</v>
      </c>
      <c r="E395" s="21" t="s">
        <v>3447</v>
      </c>
      <c r="F395" s="21" t="s">
        <v>748</v>
      </c>
      <c r="G395" s="21" t="s">
        <v>3448</v>
      </c>
      <c r="H395" s="21" t="s">
        <v>3449</v>
      </c>
      <c r="I395" s="12" t="s">
        <v>3600</v>
      </c>
      <c r="J395" s="12" t="s">
        <v>4161</v>
      </c>
      <c r="K395" s="12"/>
      <c r="L395" s="12" t="s">
        <v>3941</v>
      </c>
      <c r="M395" s="12" t="s">
        <v>3942</v>
      </c>
    </row>
    <row r="396" spans="1:13" ht="105.6">
      <c r="A396" s="21" t="s">
        <v>3445</v>
      </c>
      <c r="B396" s="21" t="s">
        <v>748</v>
      </c>
      <c r="C396" s="21" t="s">
        <v>3446</v>
      </c>
      <c r="D396" s="21" t="s">
        <v>71</v>
      </c>
      <c r="E396" s="21" t="s">
        <v>3447</v>
      </c>
      <c r="F396" s="21" t="s">
        <v>748</v>
      </c>
      <c r="G396" s="21" t="s">
        <v>3448</v>
      </c>
      <c r="H396" s="21" t="s">
        <v>3449</v>
      </c>
      <c r="I396" s="12" t="s">
        <v>3601</v>
      </c>
      <c r="J396" s="12" t="s">
        <v>4162</v>
      </c>
      <c r="K396" s="12"/>
      <c r="L396" s="12" t="s">
        <v>3943</v>
      </c>
      <c r="M396" s="12" t="s">
        <v>3944</v>
      </c>
    </row>
    <row r="397" spans="1:13" ht="105.6">
      <c r="A397" s="21" t="s">
        <v>3445</v>
      </c>
      <c r="B397" s="21" t="s">
        <v>748</v>
      </c>
      <c r="C397" s="21" t="s">
        <v>3446</v>
      </c>
      <c r="D397" s="21" t="s">
        <v>71</v>
      </c>
      <c r="E397" s="21" t="s">
        <v>3447</v>
      </c>
      <c r="F397" s="21" t="s">
        <v>748</v>
      </c>
      <c r="G397" s="21" t="s">
        <v>3448</v>
      </c>
      <c r="H397" s="21" t="s">
        <v>3449</v>
      </c>
      <c r="I397" s="12" t="s">
        <v>3602</v>
      </c>
      <c r="J397" s="12" t="s">
        <v>4163</v>
      </c>
      <c r="K397" s="12" t="s">
        <v>3945</v>
      </c>
      <c r="L397" s="12" t="s">
        <v>3946</v>
      </c>
      <c r="M397" s="12" t="s">
        <v>3947</v>
      </c>
    </row>
    <row r="398" spans="1:13" ht="105.6">
      <c r="A398" s="21" t="s">
        <v>3445</v>
      </c>
      <c r="B398" s="21" t="s">
        <v>748</v>
      </c>
      <c r="C398" s="21" t="s">
        <v>3446</v>
      </c>
      <c r="D398" s="21" t="s">
        <v>71</v>
      </c>
      <c r="E398" s="21" t="s">
        <v>3447</v>
      </c>
      <c r="F398" s="21" t="s">
        <v>748</v>
      </c>
      <c r="G398" s="21" t="s">
        <v>3448</v>
      </c>
      <c r="H398" s="21" t="s">
        <v>3449</v>
      </c>
      <c r="I398" s="12" t="s">
        <v>3603</v>
      </c>
      <c r="J398" s="12" t="s">
        <v>4164</v>
      </c>
      <c r="K398" s="12"/>
      <c r="L398" s="12" t="s">
        <v>3948</v>
      </c>
      <c r="M398" s="12" t="s">
        <v>3949</v>
      </c>
    </row>
    <row r="399" spans="1:13" ht="105.6">
      <c r="A399" s="21" t="s">
        <v>3445</v>
      </c>
      <c r="B399" s="21" t="s">
        <v>748</v>
      </c>
      <c r="C399" s="21" t="s">
        <v>3446</v>
      </c>
      <c r="D399" s="21" t="s">
        <v>71</v>
      </c>
      <c r="E399" s="21" t="s">
        <v>3447</v>
      </c>
      <c r="F399" s="21" t="s">
        <v>748</v>
      </c>
      <c r="G399" s="21" t="s">
        <v>3448</v>
      </c>
      <c r="H399" s="21" t="s">
        <v>3449</v>
      </c>
      <c r="I399" s="12" t="s">
        <v>3604</v>
      </c>
      <c r="J399" s="12" t="s">
        <v>4165</v>
      </c>
      <c r="K399" s="12"/>
      <c r="L399" s="12" t="s">
        <v>3950</v>
      </c>
      <c r="M399" s="12" t="s">
        <v>3951</v>
      </c>
    </row>
    <row r="400" spans="1:13" ht="105.6">
      <c r="A400" s="21" t="s">
        <v>3445</v>
      </c>
      <c r="B400" s="21" t="s">
        <v>748</v>
      </c>
      <c r="C400" s="21" t="s">
        <v>3446</v>
      </c>
      <c r="D400" s="21" t="s">
        <v>71</v>
      </c>
      <c r="E400" s="21" t="s">
        <v>3447</v>
      </c>
      <c r="F400" s="21" t="s">
        <v>748</v>
      </c>
      <c r="G400" s="21" t="s">
        <v>3448</v>
      </c>
      <c r="H400" s="21" t="s">
        <v>3449</v>
      </c>
      <c r="I400" s="12" t="s">
        <v>3605</v>
      </c>
      <c r="J400" s="12" t="s">
        <v>4166</v>
      </c>
      <c r="K400" s="12"/>
      <c r="L400" s="12" t="s">
        <v>3952</v>
      </c>
      <c r="M400" s="12" t="s">
        <v>3953</v>
      </c>
    </row>
    <row r="401" spans="1:13" ht="105.6">
      <c r="A401" s="21" t="s">
        <v>3445</v>
      </c>
      <c r="B401" s="21" t="s">
        <v>748</v>
      </c>
      <c r="C401" s="21" t="s">
        <v>3446</v>
      </c>
      <c r="D401" s="21" t="s">
        <v>71</v>
      </c>
      <c r="E401" s="21" t="s">
        <v>3447</v>
      </c>
      <c r="F401" s="21" t="s">
        <v>748</v>
      </c>
      <c r="G401" s="21" t="s">
        <v>3448</v>
      </c>
      <c r="H401" s="21" t="s">
        <v>3449</v>
      </c>
      <c r="I401" s="12" t="s">
        <v>3606</v>
      </c>
      <c r="J401" s="12" t="s">
        <v>4167</v>
      </c>
      <c r="K401" s="12"/>
      <c r="L401" s="12" t="s">
        <v>3954</v>
      </c>
      <c r="M401" s="12" t="s">
        <v>3955</v>
      </c>
    </row>
    <row r="402" spans="1:13" ht="105.6">
      <c r="A402" s="21" t="s">
        <v>3445</v>
      </c>
      <c r="B402" s="21" t="s">
        <v>748</v>
      </c>
      <c r="C402" s="21" t="s">
        <v>3446</v>
      </c>
      <c r="D402" s="21" t="s">
        <v>71</v>
      </c>
      <c r="E402" s="21" t="s">
        <v>3447</v>
      </c>
      <c r="F402" s="21" t="s">
        <v>748</v>
      </c>
      <c r="G402" s="21" t="s">
        <v>3448</v>
      </c>
      <c r="H402" s="21" t="s">
        <v>3449</v>
      </c>
      <c r="I402" s="12" t="s">
        <v>3607</v>
      </c>
      <c r="J402" s="12" t="s">
        <v>4168</v>
      </c>
      <c r="K402" s="12" t="s">
        <v>3956</v>
      </c>
      <c r="L402" s="12" t="s">
        <v>3957</v>
      </c>
      <c r="M402" s="12" t="s">
        <v>3958</v>
      </c>
    </row>
    <row r="403" spans="1:13" ht="105.6">
      <c r="A403" s="21" t="s">
        <v>3445</v>
      </c>
      <c r="B403" s="21" t="s">
        <v>748</v>
      </c>
      <c r="C403" s="21" t="s">
        <v>3446</v>
      </c>
      <c r="D403" s="21" t="s">
        <v>71</v>
      </c>
      <c r="E403" s="21" t="s">
        <v>3447</v>
      </c>
      <c r="F403" s="21" t="s">
        <v>748</v>
      </c>
      <c r="G403" s="21" t="s">
        <v>3448</v>
      </c>
      <c r="H403" s="21" t="s">
        <v>3449</v>
      </c>
      <c r="I403" s="12" t="s">
        <v>3608</v>
      </c>
      <c r="J403" s="12" t="s">
        <v>4169</v>
      </c>
      <c r="K403" s="12"/>
      <c r="L403" s="12" t="s">
        <v>3959</v>
      </c>
      <c r="M403" s="12" t="s">
        <v>3960</v>
      </c>
    </row>
    <row r="404" spans="1:13" ht="105.6">
      <c r="A404" s="21" t="s">
        <v>3445</v>
      </c>
      <c r="B404" s="21" t="s">
        <v>748</v>
      </c>
      <c r="C404" s="21" t="s">
        <v>3446</v>
      </c>
      <c r="D404" s="21" t="s">
        <v>71</v>
      </c>
      <c r="E404" s="21" t="s">
        <v>3447</v>
      </c>
      <c r="F404" s="21" t="s">
        <v>748</v>
      </c>
      <c r="G404" s="21" t="s">
        <v>3448</v>
      </c>
      <c r="H404" s="21" t="s">
        <v>3449</v>
      </c>
      <c r="I404" s="12" t="s">
        <v>3609</v>
      </c>
      <c r="J404" s="12" t="s">
        <v>4170</v>
      </c>
      <c r="K404" s="12" t="s">
        <v>3961</v>
      </c>
      <c r="L404" s="12" t="s">
        <v>3962</v>
      </c>
      <c r="M404" s="12" t="s">
        <v>3963</v>
      </c>
    </row>
    <row r="405" spans="1:13" ht="105.6">
      <c r="A405" s="21" t="s">
        <v>3445</v>
      </c>
      <c r="B405" s="21" t="s">
        <v>748</v>
      </c>
      <c r="C405" s="21" t="s">
        <v>3446</v>
      </c>
      <c r="D405" s="21" t="s">
        <v>71</v>
      </c>
      <c r="E405" s="21" t="s">
        <v>3447</v>
      </c>
      <c r="F405" s="21" t="s">
        <v>748</v>
      </c>
      <c r="G405" s="21" t="s">
        <v>3448</v>
      </c>
      <c r="H405" s="21" t="s">
        <v>3449</v>
      </c>
      <c r="I405" s="12" t="s">
        <v>3610</v>
      </c>
      <c r="J405" s="12" t="s">
        <v>4171</v>
      </c>
      <c r="K405" s="12"/>
      <c r="L405" s="12" t="s">
        <v>3964</v>
      </c>
      <c r="M405" s="12" t="s">
        <v>3965</v>
      </c>
    </row>
    <row r="406" spans="1:13" ht="105.6">
      <c r="A406" s="21" t="s">
        <v>3445</v>
      </c>
      <c r="B406" s="21" t="s">
        <v>748</v>
      </c>
      <c r="C406" s="21" t="s">
        <v>3446</v>
      </c>
      <c r="D406" s="21" t="s">
        <v>71</v>
      </c>
      <c r="E406" s="21" t="s">
        <v>3447</v>
      </c>
      <c r="F406" s="21" t="s">
        <v>748</v>
      </c>
      <c r="G406" s="21" t="s">
        <v>3448</v>
      </c>
      <c r="H406" s="21" t="s">
        <v>3449</v>
      </c>
      <c r="I406" s="12" t="s">
        <v>3611</v>
      </c>
      <c r="J406" s="12" t="s">
        <v>4172</v>
      </c>
      <c r="K406" s="12"/>
      <c r="L406" s="12" t="s">
        <v>3966</v>
      </c>
      <c r="M406" s="12" t="s">
        <v>3967</v>
      </c>
    </row>
    <row r="407" spans="1:13" ht="105.6">
      <c r="A407" s="21" t="s">
        <v>3445</v>
      </c>
      <c r="B407" s="21" t="s">
        <v>748</v>
      </c>
      <c r="C407" s="21" t="s">
        <v>3446</v>
      </c>
      <c r="D407" s="21" t="s">
        <v>71</v>
      </c>
      <c r="E407" s="21" t="s">
        <v>3447</v>
      </c>
      <c r="F407" s="21" t="s">
        <v>748</v>
      </c>
      <c r="G407" s="21" t="s">
        <v>3448</v>
      </c>
      <c r="H407" s="21" t="s">
        <v>3449</v>
      </c>
      <c r="I407" s="12" t="s">
        <v>3612</v>
      </c>
      <c r="J407" s="12" t="s">
        <v>4173</v>
      </c>
      <c r="K407" s="12"/>
      <c r="L407" s="12" t="s">
        <v>3968</v>
      </c>
      <c r="M407" s="12" t="s">
        <v>3969</v>
      </c>
    </row>
    <row r="408" spans="1:13" ht="105.6">
      <c r="A408" s="21" t="s">
        <v>3445</v>
      </c>
      <c r="B408" s="21" t="s">
        <v>748</v>
      </c>
      <c r="C408" s="21" t="s">
        <v>3446</v>
      </c>
      <c r="D408" s="21" t="s">
        <v>71</v>
      </c>
      <c r="E408" s="21" t="s">
        <v>3447</v>
      </c>
      <c r="F408" s="21" t="s">
        <v>748</v>
      </c>
      <c r="G408" s="21" t="s">
        <v>3448</v>
      </c>
      <c r="H408" s="21" t="s">
        <v>3449</v>
      </c>
      <c r="I408" s="12" t="s">
        <v>3613</v>
      </c>
      <c r="J408" s="12" t="s">
        <v>4174</v>
      </c>
      <c r="K408" s="12"/>
      <c r="L408" s="12" t="s">
        <v>3970</v>
      </c>
      <c r="M408" s="12" t="s">
        <v>3971</v>
      </c>
    </row>
    <row r="409" spans="1:13" ht="105.6">
      <c r="A409" s="21" t="s">
        <v>3445</v>
      </c>
      <c r="B409" s="21" t="s">
        <v>748</v>
      </c>
      <c r="C409" s="21" t="s">
        <v>3446</v>
      </c>
      <c r="D409" s="21" t="s">
        <v>71</v>
      </c>
      <c r="E409" s="21" t="s">
        <v>3447</v>
      </c>
      <c r="F409" s="21" t="s">
        <v>748</v>
      </c>
      <c r="G409" s="21" t="s">
        <v>3448</v>
      </c>
      <c r="H409" s="21" t="s">
        <v>3449</v>
      </c>
      <c r="I409" s="12" t="s">
        <v>3614</v>
      </c>
      <c r="J409" s="12" t="s">
        <v>4175</v>
      </c>
      <c r="K409" s="12"/>
      <c r="L409" s="12" t="s">
        <v>3972</v>
      </c>
      <c r="M409" s="12" t="s">
        <v>3973</v>
      </c>
    </row>
    <row r="410" spans="1:13" ht="105.6">
      <c r="A410" s="21" t="s">
        <v>3445</v>
      </c>
      <c r="B410" s="21" t="s">
        <v>748</v>
      </c>
      <c r="C410" s="21" t="s">
        <v>3446</v>
      </c>
      <c r="D410" s="21" t="s">
        <v>71</v>
      </c>
      <c r="E410" s="21" t="s">
        <v>3447</v>
      </c>
      <c r="F410" s="21" t="s">
        <v>748</v>
      </c>
      <c r="G410" s="21" t="s">
        <v>3448</v>
      </c>
      <c r="H410" s="21" t="s">
        <v>3449</v>
      </c>
      <c r="I410" s="12" t="s">
        <v>3615</v>
      </c>
      <c r="J410" s="12" t="s">
        <v>4176</v>
      </c>
      <c r="K410" s="12"/>
      <c r="L410" s="12" t="s">
        <v>3974</v>
      </c>
      <c r="M410" s="12" t="s">
        <v>3975</v>
      </c>
    </row>
    <row r="411" spans="1:13" ht="105.6">
      <c r="A411" s="21" t="s">
        <v>3445</v>
      </c>
      <c r="B411" s="21" t="s">
        <v>748</v>
      </c>
      <c r="C411" s="21" t="s">
        <v>3446</v>
      </c>
      <c r="D411" s="21" t="s">
        <v>71</v>
      </c>
      <c r="E411" s="21" t="s">
        <v>3447</v>
      </c>
      <c r="F411" s="21" t="s">
        <v>748</v>
      </c>
      <c r="G411" s="21" t="s">
        <v>3448</v>
      </c>
      <c r="H411" s="21" t="s">
        <v>3449</v>
      </c>
      <c r="I411" s="12" t="s">
        <v>3616</v>
      </c>
      <c r="J411" s="12" t="s">
        <v>4177</v>
      </c>
      <c r="K411" s="12"/>
      <c r="L411" s="12" t="s">
        <v>3976</v>
      </c>
      <c r="M411" s="12" t="s">
        <v>3977</v>
      </c>
    </row>
    <row r="412" spans="1:13" ht="105.6">
      <c r="A412" s="21" t="s">
        <v>3445</v>
      </c>
      <c r="B412" s="21" t="s">
        <v>748</v>
      </c>
      <c r="C412" s="21" t="s">
        <v>3446</v>
      </c>
      <c r="D412" s="21" t="s">
        <v>71</v>
      </c>
      <c r="E412" s="21" t="s">
        <v>3447</v>
      </c>
      <c r="F412" s="21" t="s">
        <v>748</v>
      </c>
      <c r="G412" s="21" t="s">
        <v>3448</v>
      </c>
      <c r="H412" s="21" t="s">
        <v>3449</v>
      </c>
      <c r="I412" s="12" t="s">
        <v>3617</v>
      </c>
      <c r="J412" s="12" t="s">
        <v>4178</v>
      </c>
      <c r="K412" s="12"/>
      <c r="L412" s="12" t="s">
        <v>3978</v>
      </c>
      <c r="M412" s="12" t="s">
        <v>3979</v>
      </c>
    </row>
    <row r="413" spans="1:13" ht="105.6">
      <c r="A413" s="21" t="s">
        <v>3445</v>
      </c>
      <c r="B413" s="21" t="s">
        <v>748</v>
      </c>
      <c r="C413" s="21" t="s">
        <v>3446</v>
      </c>
      <c r="D413" s="21" t="s">
        <v>71</v>
      </c>
      <c r="E413" s="21" t="s">
        <v>3447</v>
      </c>
      <c r="F413" s="21" t="s">
        <v>748</v>
      </c>
      <c r="G413" s="21" t="s">
        <v>3448</v>
      </c>
      <c r="H413" s="21" t="s">
        <v>3449</v>
      </c>
      <c r="I413" s="12" t="s">
        <v>3618</v>
      </c>
      <c r="J413" s="12" t="s">
        <v>4179</v>
      </c>
      <c r="K413" s="12"/>
      <c r="L413" s="12" t="s">
        <v>3980</v>
      </c>
      <c r="M413" s="12" t="s">
        <v>3981</v>
      </c>
    </row>
    <row r="414" spans="1:13" ht="105.6">
      <c r="A414" s="21" t="s">
        <v>3445</v>
      </c>
      <c r="B414" s="21" t="s">
        <v>748</v>
      </c>
      <c r="C414" s="21" t="s">
        <v>3446</v>
      </c>
      <c r="D414" s="21" t="s">
        <v>71</v>
      </c>
      <c r="E414" s="21" t="s">
        <v>3447</v>
      </c>
      <c r="F414" s="21" t="s">
        <v>748</v>
      </c>
      <c r="G414" s="21" t="s">
        <v>3448</v>
      </c>
      <c r="H414" s="21" t="s">
        <v>3449</v>
      </c>
      <c r="I414" s="12" t="s">
        <v>3619</v>
      </c>
      <c r="J414" s="12" t="s">
        <v>4180</v>
      </c>
      <c r="K414" s="12"/>
      <c r="L414" s="12" t="s">
        <v>3982</v>
      </c>
      <c r="M414" s="12" t="s">
        <v>3983</v>
      </c>
    </row>
    <row r="415" spans="1:13" ht="105.6">
      <c r="A415" s="21" t="s">
        <v>3445</v>
      </c>
      <c r="B415" s="21" t="s">
        <v>748</v>
      </c>
      <c r="C415" s="21" t="s">
        <v>3446</v>
      </c>
      <c r="D415" s="21" t="s">
        <v>71</v>
      </c>
      <c r="E415" s="21" t="s">
        <v>3447</v>
      </c>
      <c r="F415" s="21" t="s">
        <v>748</v>
      </c>
      <c r="G415" s="21" t="s">
        <v>3448</v>
      </c>
      <c r="H415" s="21" t="s">
        <v>3449</v>
      </c>
      <c r="I415" s="12" t="s">
        <v>3620</v>
      </c>
      <c r="J415" s="12" t="s">
        <v>4181</v>
      </c>
      <c r="K415" s="12"/>
      <c r="L415" s="12" t="s">
        <v>3984</v>
      </c>
      <c r="M415" s="12" t="s">
        <v>3985</v>
      </c>
    </row>
    <row r="416" spans="1:13" ht="105.6">
      <c r="A416" s="21" t="s">
        <v>3445</v>
      </c>
      <c r="B416" s="21" t="s">
        <v>748</v>
      </c>
      <c r="C416" s="21" t="s">
        <v>3446</v>
      </c>
      <c r="D416" s="21" t="s">
        <v>71</v>
      </c>
      <c r="E416" s="21" t="s">
        <v>3447</v>
      </c>
      <c r="F416" s="21" t="s">
        <v>748</v>
      </c>
      <c r="G416" s="21" t="s">
        <v>3448</v>
      </c>
      <c r="H416" s="21" t="s">
        <v>3449</v>
      </c>
      <c r="I416" s="12" t="s">
        <v>3621</v>
      </c>
      <c r="J416" s="12" t="s">
        <v>4182</v>
      </c>
      <c r="K416" s="12"/>
      <c r="L416" s="12" t="s">
        <v>3986</v>
      </c>
      <c r="M416" s="12" t="s">
        <v>3987</v>
      </c>
    </row>
    <row r="417" spans="1:13" ht="105.6">
      <c r="A417" s="21" t="s">
        <v>3445</v>
      </c>
      <c r="B417" s="21" t="s">
        <v>748</v>
      </c>
      <c r="C417" s="21" t="s">
        <v>3446</v>
      </c>
      <c r="D417" s="21" t="s">
        <v>71</v>
      </c>
      <c r="E417" s="21" t="s">
        <v>3447</v>
      </c>
      <c r="F417" s="21" t="s">
        <v>748</v>
      </c>
      <c r="G417" s="21" t="s">
        <v>3448</v>
      </c>
      <c r="H417" s="21" t="s">
        <v>3449</v>
      </c>
      <c r="I417" s="12" t="s">
        <v>3622</v>
      </c>
      <c r="J417" s="12" t="s">
        <v>4183</v>
      </c>
      <c r="K417" s="12"/>
      <c r="L417" s="12" t="s">
        <v>3988</v>
      </c>
      <c r="M417" s="12" t="s">
        <v>3989</v>
      </c>
    </row>
    <row r="418" spans="1:13" ht="105.6">
      <c r="A418" s="21" t="s">
        <v>3445</v>
      </c>
      <c r="B418" s="21" t="s">
        <v>748</v>
      </c>
      <c r="C418" s="21" t="s">
        <v>3446</v>
      </c>
      <c r="D418" s="21" t="s">
        <v>71</v>
      </c>
      <c r="E418" s="21" t="s">
        <v>3447</v>
      </c>
      <c r="F418" s="21" t="s">
        <v>748</v>
      </c>
      <c r="G418" s="21" t="s">
        <v>3448</v>
      </c>
      <c r="H418" s="21" t="s">
        <v>3449</v>
      </c>
      <c r="I418" s="12" t="s">
        <v>3623</v>
      </c>
      <c r="J418" s="12" t="s">
        <v>4184</v>
      </c>
      <c r="K418" s="12"/>
      <c r="L418" s="12" t="s">
        <v>3990</v>
      </c>
      <c r="M418" s="12" t="s">
        <v>3991</v>
      </c>
    </row>
    <row r="419" spans="1:13" ht="105.6">
      <c r="A419" s="21" t="s">
        <v>3445</v>
      </c>
      <c r="B419" s="21" t="s">
        <v>748</v>
      </c>
      <c r="C419" s="21" t="s">
        <v>3446</v>
      </c>
      <c r="D419" s="21" t="s">
        <v>71</v>
      </c>
      <c r="E419" s="21" t="s">
        <v>3447</v>
      </c>
      <c r="F419" s="21" t="s">
        <v>748</v>
      </c>
      <c r="G419" s="21" t="s">
        <v>3448</v>
      </c>
      <c r="H419" s="21" t="s">
        <v>3449</v>
      </c>
      <c r="I419" s="12" t="s">
        <v>3624</v>
      </c>
      <c r="J419" s="12" t="s">
        <v>4185</v>
      </c>
      <c r="K419" s="12"/>
      <c r="L419" s="12" t="s">
        <v>3992</v>
      </c>
      <c r="M419" s="12" t="s">
        <v>3993</v>
      </c>
    </row>
    <row r="420" spans="1:13" ht="105.6">
      <c r="A420" s="21" t="s">
        <v>3445</v>
      </c>
      <c r="B420" s="21" t="s">
        <v>748</v>
      </c>
      <c r="C420" s="21" t="s">
        <v>3446</v>
      </c>
      <c r="D420" s="21" t="s">
        <v>71</v>
      </c>
      <c r="E420" s="21" t="s">
        <v>3447</v>
      </c>
      <c r="F420" s="21" t="s">
        <v>748</v>
      </c>
      <c r="G420" s="21" t="s">
        <v>3448</v>
      </c>
      <c r="H420" s="21" t="s">
        <v>3449</v>
      </c>
      <c r="I420" s="12" t="s">
        <v>3625</v>
      </c>
      <c r="J420" s="12" t="s">
        <v>4186</v>
      </c>
      <c r="K420" s="12"/>
      <c r="L420" s="12" t="s">
        <v>3994</v>
      </c>
      <c r="M420" s="12" t="s">
        <v>3995</v>
      </c>
    </row>
    <row r="421" spans="1:13" ht="105.6">
      <c r="A421" s="21" t="s">
        <v>3445</v>
      </c>
      <c r="B421" s="21" t="s">
        <v>748</v>
      </c>
      <c r="C421" s="21" t="s">
        <v>3446</v>
      </c>
      <c r="D421" s="21" t="s">
        <v>71</v>
      </c>
      <c r="E421" s="21" t="s">
        <v>3447</v>
      </c>
      <c r="F421" s="21" t="s">
        <v>748</v>
      </c>
      <c r="G421" s="21" t="s">
        <v>3448</v>
      </c>
      <c r="H421" s="21" t="s">
        <v>3449</v>
      </c>
      <c r="I421" s="12" t="s">
        <v>3626</v>
      </c>
      <c r="J421" s="12" t="s">
        <v>4187</v>
      </c>
      <c r="K421" s="12"/>
      <c r="L421" s="12" t="s">
        <v>3996</v>
      </c>
      <c r="M421" s="12" t="s">
        <v>3997</v>
      </c>
    </row>
    <row r="422" spans="1:13" ht="105.6">
      <c r="A422" s="21" t="s">
        <v>3445</v>
      </c>
      <c r="B422" s="21" t="s">
        <v>748</v>
      </c>
      <c r="C422" s="21" t="s">
        <v>3446</v>
      </c>
      <c r="D422" s="21" t="s">
        <v>71</v>
      </c>
      <c r="E422" s="21" t="s">
        <v>3447</v>
      </c>
      <c r="F422" s="21" t="s">
        <v>748</v>
      </c>
      <c r="G422" s="21" t="s">
        <v>3448</v>
      </c>
      <c r="H422" s="21" t="s">
        <v>3449</v>
      </c>
      <c r="I422" s="12" t="s">
        <v>3627</v>
      </c>
      <c r="J422" s="12" t="s">
        <v>4188</v>
      </c>
      <c r="K422" s="12"/>
      <c r="L422" s="12" t="s">
        <v>3998</v>
      </c>
      <c r="M422" s="12" t="s">
        <v>3999</v>
      </c>
    </row>
    <row r="423" spans="1:13" ht="105.6">
      <c r="A423" s="21" t="s">
        <v>3445</v>
      </c>
      <c r="B423" s="21" t="s">
        <v>748</v>
      </c>
      <c r="C423" s="21" t="s">
        <v>3446</v>
      </c>
      <c r="D423" s="21" t="s">
        <v>71</v>
      </c>
      <c r="E423" s="21" t="s">
        <v>3447</v>
      </c>
      <c r="F423" s="21" t="s">
        <v>748</v>
      </c>
      <c r="G423" s="21" t="s">
        <v>3448</v>
      </c>
      <c r="H423" s="21" t="s">
        <v>3449</v>
      </c>
      <c r="I423" s="12" t="s">
        <v>3628</v>
      </c>
      <c r="J423" s="12" t="s">
        <v>4189</v>
      </c>
      <c r="K423" s="12"/>
      <c r="L423" s="12" t="s">
        <v>4000</v>
      </c>
      <c r="M423" s="12" t="s">
        <v>4001</v>
      </c>
    </row>
    <row r="424" spans="1:13" ht="105.6">
      <c r="A424" s="21" t="s">
        <v>3445</v>
      </c>
      <c r="B424" s="21" t="s">
        <v>748</v>
      </c>
      <c r="C424" s="21" t="s">
        <v>3446</v>
      </c>
      <c r="D424" s="21" t="s">
        <v>71</v>
      </c>
      <c r="E424" s="21" t="s">
        <v>3447</v>
      </c>
      <c r="F424" s="21" t="s">
        <v>748</v>
      </c>
      <c r="G424" s="21" t="s">
        <v>3448</v>
      </c>
      <c r="H424" s="21" t="s">
        <v>3449</v>
      </c>
      <c r="I424" s="12" t="s">
        <v>2674</v>
      </c>
      <c r="J424" s="12" t="s">
        <v>4190</v>
      </c>
      <c r="K424" s="12"/>
      <c r="L424" s="12" t="s">
        <v>4002</v>
      </c>
      <c r="M424" s="12" t="s">
        <v>4003</v>
      </c>
    </row>
    <row r="425" spans="1:13" ht="105.6">
      <c r="A425" s="21" t="s">
        <v>3445</v>
      </c>
      <c r="B425" s="21" t="s">
        <v>748</v>
      </c>
      <c r="C425" s="21" t="s">
        <v>3446</v>
      </c>
      <c r="D425" s="21" t="s">
        <v>71</v>
      </c>
      <c r="E425" s="21" t="s">
        <v>3447</v>
      </c>
      <c r="F425" s="21" t="s">
        <v>748</v>
      </c>
      <c r="G425" s="21" t="s">
        <v>3448</v>
      </c>
      <c r="H425" s="21" t="s">
        <v>3449</v>
      </c>
      <c r="I425" s="12" t="s">
        <v>2082</v>
      </c>
      <c r="J425" s="12" t="s">
        <v>4191</v>
      </c>
      <c r="K425" s="12"/>
      <c r="L425" s="12" t="s">
        <v>4004</v>
      </c>
      <c r="M425" s="12" t="s">
        <v>4005</v>
      </c>
    </row>
    <row r="426" spans="1:13" ht="105.6">
      <c r="A426" s="21" t="s">
        <v>3445</v>
      </c>
      <c r="B426" s="21" t="s">
        <v>748</v>
      </c>
      <c r="C426" s="21" t="s">
        <v>3446</v>
      </c>
      <c r="D426" s="21" t="s">
        <v>71</v>
      </c>
      <c r="E426" s="21" t="s">
        <v>3447</v>
      </c>
      <c r="F426" s="21" t="s">
        <v>748</v>
      </c>
      <c r="G426" s="21" t="s">
        <v>3448</v>
      </c>
      <c r="H426" s="21" t="s">
        <v>3449</v>
      </c>
      <c r="I426" s="12" t="s">
        <v>3629</v>
      </c>
      <c r="J426" s="12" t="s">
        <v>4192</v>
      </c>
      <c r="K426" s="12"/>
      <c r="L426" s="12" t="s">
        <v>4006</v>
      </c>
      <c r="M426" s="12" t="s">
        <v>4007</v>
      </c>
    </row>
    <row r="427" spans="1:13" ht="105.6">
      <c r="A427" s="21" t="s">
        <v>3445</v>
      </c>
      <c r="B427" s="21" t="s">
        <v>748</v>
      </c>
      <c r="C427" s="21" t="s">
        <v>3446</v>
      </c>
      <c r="D427" s="21" t="s">
        <v>71</v>
      </c>
      <c r="E427" s="21" t="s">
        <v>3447</v>
      </c>
      <c r="F427" s="21" t="s">
        <v>748</v>
      </c>
      <c r="G427" s="21" t="s">
        <v>3448</v>
      </c>
      <c r="H427" s="21" t="s">
        <v>3449</v>
      </c>
      <c r="I427" s="12" t="s">
        <v>3630</v>
      </c>
      <c r="J427" s="12" t="s">
        <v>4193</v>
      </c>
      <c r="K427" s="12"/>
      <c r="L427" s="12" t="s">
        <v>4008</v>
      </c>
      <c r="M427" s="12" t="s">
        <v>4009</v>
      </c>
    </row>
    <row r="428" spans="1:13" ht="52.8">
      <c r="A428" s="21" t="s">
        <v>2363</v>
      </c>
      <c r="B428" s="21" t="s">
        <v>2364</v>
      </c>
      <c r="C428" s="21" t="s">
        <v>2365</v>
      </c>
      <c r="D428" s="21" t="s">
        <v>331</v>
      </c>
      <c r="E428" s="21" t="s">
        <v>2366</v>
      </c>
      <c r="F428" s="21" t="s">
        <v>2364</v>
      </c>
      <c r="G428" s="21" t="s">
        <v>2367</v>
      </c>
      <c r="H428" s="21" t="s">
        <v>2368</v>
      </c>
      <c r="I428" s="12" t="s">
        <v>2376</v>
      </c>
      <c r="J428" s="12" t="s">
        <v>2369</v>
      </c>
      <c r="K428" s="12"/>
      <c r="L428" s="12" t="s">
        <v>2383</v>
      </c>
      <c r="M428" s="12" t="s">
        <v>2384</v>
      </c>
    </row>
    <row r="429" spans="1:13" ht="52.8">
      <c r="A429" s="21" t="s">
        <v>2363</v>
      </c>
      <c r="B429" s="21" t="s">
        <v>2364</v>
      </c>
      <c r="C429" s="21" t="s">
        <v>2365</v>
      </c>
      <c r="D429" s="21" t="s">
        <v>331</v>
      </c>
      <c r="E429" s="21" t="s">
        <v>2366</v>
      </c>
      <c r="F429" s="21" t="s">
        <v>2364</v>
      </c>
      <c r="G429" s="21" t="s">
        <v>2367</v>
      </c>
      <c r="H429" s="21" t="s">
        <v>2368</v>
      </c>
      <c r="I429" s="12" t="s">
        <v>2377</v>
      </c>
      <c r="J429" s="12" t="s">
        <v>2370</v>
      </c>
      <c r="K429" s="12"/>
      <c r="L429" s="12" t="s">
        <v>2385</v>
      </c>
      <c r="M429" s="12" t="s">
        <v>2386</v>
      </c>
    </row>
    <row r="430" spans="1:13" ht="52.8">
      <c r="A430" s="21" t="s">
        <v>2363</v>
      </c>
      <c r="B430" s="21" t="s">
        <v>2364</v>
      </c>
      <c r="C430" s="21" t="s">
        <v>2365</v>
      </c>
      <c r="D430" s="21" t="s">
        <v>331</v>
      </c>
      <c r="E430" s="21" t="s">
        <v>2366</v>
      </c>
      <c r="F430" s="21" t="s">
        <v>2364</v>
      </c>
      <c r="G430" s="21" t="s">
        <v>2367</v>
      </c>
      <c r="H430" s="21" t="s">
        <v>2368</v>
      </c>
      <c r="I430" s="12" t="s">
        <v>2378</v>
      </c>
      <c r="J430" s="12" t="s">
        <v>2371</v>
      </c>
      <c r="K430" s="12"/>
      <c r="L430" s="12" t="s">
        <v>2387</v>
      </c>
      <c r="M430" s="12" t="s">
        <v>2388</v>
      </c>
    </row>
    <row r="431" spans="1:13" ht="52.8">
      <c r="A431" s="21" t="s">
        <v>2363</v>
      </c>
      <c r="B431" s="21" t="s">
        <v>2364</v>
      </c>
      <c r="C431" s="21" t="s">
        <v>2365</v>
      </c>
      <c r="D431" s="21" t="s">
        <v>331</v>
      </c>
      <c r="E431" s="21" t="s">
        <v>2366</v>
      </c>
      <c r="F431" s="21" t="s">
        <v>2364</v>
      </c>
      <c r="G431" s="21" t="s">
        <v>2367</v>
      </c>
      <c r="H431" s="21" t="s">
        <v>2368</v>
      </c>
      <c r="I431" s="12" t="s">
        <v>2379</v>
      </c>
      <c r="J431" s="12" t="s">
        <v>2372</v>
      </c>
      <c r="K431" s="12"/>
      <c r="L431" s="12" t="s">
        <v>2389</v>
      </c>
      <c r="M431" s="12" t="s">
        <v>2390</v>
      </c>
    </row>
    <row r="432" spans="1:13" ht="52.8">
      <c r="A432" s="21" t="s">
        <v>2363</v>
      </c>
      <c r="B432" s="21" t="s">
        <v>2364</v>
      </c>
      <c r="C432" s="21" t="s">
        <v>2365</v>
      </c>
      <c r="D432" s="21" t="s">
        <v>331</v>
      </c>
      <c r="E432" s="21" t="s">
        <v>2366</v>
      </c>
      <c r="F432" s="21" t="s">
        <v>2364</v>
      </c>
      <c r="G432" s="21" t="s">
        <v>2367</v>
      </c>
      <c r="H432" s="21" t="s">
        <v>2368</v>
      </c>
      <c r="I432" s="12" t="s">
        <v>2380</v>
      </c>
      <c r="J432" s="12" t="s">
        <v>2373</v>
      </c>
      <c r="K432" s="12"/>
      <c r="L432" s="12" t="s">
        <v>2391</v>
      </c>
      <c r="M432" s="12" t="s">
        <v>2392</v>
      </c>
    </row>
    <row r="433" spans="1:13" ht="52.8">
      <c r="A433" s="21" t="s">
        <v>2363</v>
      </c>
      <c r="B433" s="21" t="s">
        <v>2364</v>
      </c>
      <c r="C433" s="21" t="s">
        <v>2365</v>
      </c>
      <c r="D433" s="21" t="s">
        <v>331</v>
      </c>
      <c r="E433" s="21" t="s">
        <v>2366</v>
      </c>
      <c r="F433" s="21" t="s">
        <v>2364</v>
      </c>
      <c r="G433" s="21" t="s">
        <v>2367</v>
      </c>
      <c r="H433" s="21" t="s">
        <v>2368</v>
      </c>
      <c r="I433" s="12" t="s">
        <v>2381</v>
      </c>
      <c r="J433" s="12" t="s">
        <v>2374</v>
      </c>
      <c r="K433" s="12"/>
      <c r="L433" s="12" t="s">
        <v>2393</v>
      </c>
      <c r="M433" s="12" t="s">
        <v>2394</v>
      </c>
    </row>
    <row r="434" spans="1:13" ht="52.8">
      <c r="A434" s="21" t="s">
        <v>2363</v>
      </c>
      <c r="B434" s="21" t="s">
        <v>2364</v>
      </c>
      <c r="C434" s="21" t="s">
        <v>2365</v>
      </c>
      <c r="D434" s="21" t="s">
        <v>331</v>
      </c>
      <c r="E434" s="21" t="s">
        <v>2366</v>
      </c>
      <c r="F434" s="21" t="s">
        <v>2364</v>
      </c>
      <c r="G434" s="21" t="s">
        <v>2367</v>
      </c>
      <c r="H434" s="21" t="s">
        <v>2368</v>
      </c>
      <c r="I434" s="12" t="s">
        <v>2382</v>
      </c>
      <c r="J434" s="12" t="s">
        <v>2375</v>
      </c>
      <c r="K434" s="12" t="s">
        <v>2395</v>
      </c>
      <c r="L434" s="12" t="s">
        <v>2396</v>
      </c>
      <c r="M434" s="12" t="s">
        <v>2397</v>
      </c>
    </row>
    <row r="435" spans="1:13" ht="52.8">
      <c r="A435" s="21" t="s">
        <v>2363</v>
      </c>
      <c r="B435" s="21" t="s">
        <v>2364</v>
      </c>
      <c r="C435" s="21" t="s">
        <v>2365</v>
      </c>
      <c r="D435" s="21" t="s">
        <v>331</v>
      </c>
      <c r="E435" s="21" t="s">
        <v>2366</v>
      </c>
      <c r="F435" s="21" t="s">
        <v>2364</v>
      </c>
      <c r="G435" s="21" t="s">
        <v>2367</v>
      </c>
      <c r="H435" s="21" t="s">
        <v>2368</v>
      </c>
      <c r="I435" s="12" t="s">
        <v>2082</v>
      </c>
      <c r="J435" s="12" t="s">
        <v>350</v>
      </c>
      <c r="K435" s="12" t="s">
        <v>340</v>
      </c>
      <c r="L435" s="12" t="s">
        <v>341</v>
      </c>
      <c r="M435" s="12" t="s">
        <v>342</v>
      </c>
    </row>
    <row r="436" spans="1:13" ht="52.8">
      <c r="A436" s="21" t="s">
        <v>2398</v>
      </c>
      <c r="B436" s="21" t="s">
        <v>2399</v>
      </c>
      <c r="C436" s="21" t="s">
        <v>526</v>
      </c>
      <c r="D436" s="21" t="s">
        <v>71</v>
      </c>
      <c r="E436" s="21" t="s">
        <v>2400</v>
      </c>
      <c r="F436" s="21" t="s">
        <v>2399</v>
      </c>
      <c r="G436" s="21" t="s">
        <v>2401</v>
      </c>
      <c r="H436" s="21" t="s">
        <v>2402</v>
      </c>
      <c r="I436" s="12" t="s">
        <v>2541</v>
      </c>
      <c r="J436" s="12" t="s">
        <v>2403</v>
      </c>
      <c r="K436" s="12"/>
      <c r="L436" s="12" t="s">
        <v>2678</v>
      </c>
      <c r="M436" s="12" t="s">
        <v>2679</v>
      </c>
    </row>
    <row r="437" spans="1:13" ht="52.8">
      <c r="A437" s="21" t="s">
        <v>2398</v>
      </c>
      <c r="B437" s="21" t="s">
        <v>2399</v>
      </c>
      <c r="C437" s="21" t="s">
        <v>526</v>
      </c>
      <c r="D437" s="21" t="s">
        <v>71</v>
      </c>
      <c r="E437" s="21" t="s">
        <v>2400</v>
      </c>
      <c r="F437" s="21" t="s">
        <v>2399</v>
      </c>
      <c r="G437" s="21" t="s">
        <v>2401</v>
      </c>
      <c r="H437" s="21" t="s">
        <v>2402</v>
      </c>
      <c r="I437" s="12" t="s">
        <v>2542</v>
      </c>
      <c r="J437" s="12" t="s">
        <v>2404</v>
      </c>
      <c r="K437" s="12"/>
      <c r="L437" s="12" t="s">
        <v>2680</v>
      </c>
      <c r="M437" s="12" t="s">
        <v>2681</v>
      </c>
    </row>
    <row r="438" spans="1:13" ht="52.8">
      <c r="A438" s="21" t="s">
        <v>2398</v>
      </c>
      <c r="B438" s="21" t="s">
        <v>2399</v>
      </c>
      <c r="C438" s="21" t="s">
        <v>526</v>
      </c>
      <c r="D438" s="21" t="s">
        <v>71</v>
      </c>
      <c r="E438" s="21" t="s">
        <v>2400</v>
      </c>
      <c r="F438" s="21" t="s">
        <v>2399</v>
      </c>
      <c r="G438" s="21" t="s">
        <v>2401</v>
      </c>
      <c r="H438" s="21" t="s">
        <v>2402</v>
      </c>
      <c r="I438" s="12" t="s">
        <v>2543</v>
      </c>
      <c r="J438" s="12" t="s">
        <v>2405</v>
      </c>
      <c r="K438" s="12"/>
      <c r="L438" s="12" t="s">
        <v>2682</v>
      </c>
      <c r="M438" s="12" t="s">
        <v>2683</v>
      </c>
    </row>
    <row r="439" spans="1:13" ht="52.8">
      <c r="A439" s="21" t="s">
        <v>2398</v>
      </c>
      <c r="B439" s="21" t="s">
        <v>2399</v>
      </c>
      <c r="C439" s="21" t="s">
        <v>526</v>
      </c>
      <c r="D439" s="21" t="s">
        <v>71</v>
      </c>
      <c r="E439" s="21" t="s">
        <v>2400</v>
      </c>
      <c r="F439" s="21" t="s">
        <v>2399</v>
      </c>
      <c r="G439" s="21" t="s">
        <v>2401</v>
      </c>
      <c r="H439" s="21" t="s">
        <v>2402</v>
      </c>
      <c r="I439" s="12" t="s">
        <v>2544</v>
      </c>
      <c r="J439" s="12" t="s">
        <v>2406</v>
      </c>
      <c r="K439" s="12"/>
      <c r="L439" s="12" t="s">
        <v>2684</v>
      </c>
      <c r="M439" s="12" t="s">
        <v>2685</v>
      </c>
    </row>
    <row r="440" spans="1:13" ht="52.8">
      <c r="A440" s="21" t="s">
        <v>2398</v>
      </c>
      <c r="B440" s="21" t="s">
        <v>2399</v>
      </c>
      <c r="C440" s="21" t="s">
        <v>526</v>
      </c>
      <c r="D440" s="21" t="s">
        <v>71</v>
      </c>
      <c r="E440" s="21" t="s">
        <v>2400</v>
      </c>
      <c r="F440" s="21" t="s">
        <v>2399</v>
      </c>
      <c r="G440" s="21" t="s">
        <v>2401</v>
      </c>
      <c r="H440" s="21" t="s">
        <v>2402</v>
      </c>
      <c r="I440" s="12" t="s">
        <v>2545</v>
      </c>
      <c r="J440" s="12" t="s">
        <v>2407</v>
      </c>
      <c r="K440" s="12"/>
      <c r="L440" s="12" t="s">
        <v>2686</v>
      </c>
      <c r="M440" s="12" t="s">
        <v>2687</v>
      </c>
    </row>
    <row r="441" spans="1:13" ht="52.8">
      <c r="A441" s="21" t="s">
        <v>2398</v>
      </c>
      <c r="B441" s="21" t="s">
        <v>2399</v>
      </c>
      <c r="C441" s="21" t="s">
        <v>526</v>
      </c>
      <c r="D441" s="21" t="s">
        <v>71</v>
      </c>
      <c r="E441" s="21" t="s">
        <v>2400</v>
      </c>
      <c r="F441" s="21" t="s">
        <v>2399</v>
      </c>
      <c r="G441" s="21" t="s">
        <v>2401</v>
      </c>
      <c r="H441" s="21" t="s">
        <v>2402</v>
      </c>
      <c r="I441" s="12" t="s">
        <v>2546</v>
      </c>
      <c r="J441" s="12" t="s">
        <v>2408</v>
      </c>
      <c r="K441" s="12"/>
      <c r="L441" s="12" t="s">
        <v>2688</v>
      </c>
      <c r="M441" s="12" t="s">
        <v>2689</v>
      </c>
    </row>
    <row r="442" spans="1:13" ht="52.8">
      <c r="A442" s="21" t="s">
        <v>2398</v>
      </c>
      <c r="B442" s="21" t="s">
        <v>2399</v>
      </c>
      <c r="C442" s="21" t="s">
        <v>526</v>
      </c>
      <c r="D442" s="21" t="s">
        <v>71</v>
      </c>
      <c r="E442" s="21" t="s">
        <v>2400</v>
      </c>
      <c r="F442" s="21" t="s">
        <v>2399</v>
      </c>
      <c r="G442" s="21" t="s">
        <v>2401</v>
      </c>
      <c r="H442" s="21" t="s">
        <v>2402</v>
      </c>
      <c r="I442" s="12" t="s">
        <v>2547</v>
      </c>
      <c r="J442" s="12" t="s">
        <v>2409</v>
      </c>
      <c r="K442" s="12"/>
      <c r="L442" s="12" t="s">
        <v>2690</v>
      </c>
      <c r="M442" s="12" t="s">
        <v>2691</v>
      </c>
    </row>
    <row r="443" spans="1:13" ht="52.8">
      <c r="A443" s="21" t="s">
        <v>2398</v>
      </c>
      <c r="B443" s="21" t="s">
        <v>2399</v>
      </c>
      <c r="C443" s="21" t="s">
        <v>526</v>
      </c>
      <c r="D443" s="21" t="s">
        <v>71</v>
      </c>
      <c r="E443" s="21" t="s">
        <v>2400</v>
      </c>
      <c r="F443" s="21" t="s">
        <v>2399</v>
      </c>
      <c r="G443" s="21" t="s">
        <v>2401</v>
      </c>
      <c r="H443" s="21" t="s">
        <v>2402</v>
      </c>
      <c r="I443" s="12" t="s">
        <v>2548</v>
      </c>
      <c r="J443" s="12" t="s">
        <v>2410</v>
      </c>
      <c r="K443" s="12" t="s">
        <v>2692</v>
      </c>
      <c r="L443" s="12" t="s">
        <v>2693</v>
      </c>
      <c r="M443" s="12" t="s">
        <v>2694</v>
      </c>
    </row>
    <row r="444" spans="1:13" ht="52.8">
      <c r="A444" s="21" t="s">
        <v>2398</v>
      </c>
      <c r="B444" s="21" t="s">
        <v>2399</v>
      </c>
      <c r="C444" s="21" t="s">
        <v>526</v>
      </c>
      <c r="D444" s="21" t="s">
        <v>71</v>
      </c>
      <c r="E444" s="21" t="s">
        <v>2400</v>
      </c>
      <c r="F444" s="21" t="s">
        <v>2399</v>
      </c>
      <c r="G444" s="21" t="s">
        <v>2401</v>
      </c>
      <c r="H444" s="21" t="s">
        <v>2402</v>
      </c>
      <c r="I444" s="12" t="s">
        <v>2549</v>
      </c>
      <c r="J444" s="12" t="s">
        <v>2411</v>
      </c>
      <c r="K444" s="12"/>
      <c r="L444" s="12" t="s">
        <v>2695</v>
      </c>
      <c r="M444" s="12" t="s">
        <v>2696</v>
      </c>
    </row>
    <row r="445" spans="1:13" ht="52.8">
      <c r="A445" s="21" t="s">
        <v>2398</v>
      </c>
      <c r="B445" s="21" t="s">
        <v>2399</v>
      </c>
      <c r="C445" s="21" t="s">
        <v>526</v>
      </c>
      <c r="D445" s="21" t="s">
        <v>71</v>
      </c>
      <c r="E445" s="21" t="s">
        <v>2400</v>
      </c>
      <c r="F445" s="21" t="s">
        <v>2399</v>
      </c>
      <c r="G445" s="21" t="s">
        <v>2401</v>
      </c>
      <c r="H445" s="21" t="s">
        <v>2402</v>
      </c>
      <c r="I445" s="12" t="s">
        <v>2550</v>
      </c>
      <c r="J445" s="12" t="s">
        <v>2412</v>
      </c>
      <c r="K445" s="12" t="s">
        <v>2697</v>
      </c>
      <c r="L445" s="12" t="s">
        <v>2698</v>
      </c>
      <c r="M445" s="12" t="s">
        <v>2699</v>
      </c>
    </row>
    <row r="446" spans="1:13" ht="52.8">
      <c r="A446" s="21" t="s">
        <v>2398</v>
      </c>
      <c r="B446" s="21" t="s">
        <v>2399</v>
      </c>
      <c r="C446" s="21" t="s">
        <v>526</v>
      </c>
      <c r="D446" s="21" t="s">
        <v>71</v>
      </c>
      <c r="E446" s="21" t="s">
        <v>2400</v>
      </c>
      <c r="F446" s="21" t="s">
        <v>2399</v>
      </c>
      <c r="G446" s="21" t="s">
        <v>2401</v>
      </c>
      <c r="H446" s="21" t="s">
        <v>2402</v>
      </c>
      <c r="I446" s="12" t="s">
        <v>2551</v>
      </c>
      <c r="J446" s="12" t="s">
        <v>2413</v>
      </c>
      <c r="K446" s="12"/>
      <c r="L446" s="12" t="s">
        <v>2700</v>
      </c>
      <c r="M446" s="12" t="s">
        <v>2701</v>
      </c>
    </row>
    <row r="447" spans="1:13" ht="52.8">
      <c r="A447" s="21" t="s">
        <v>2398</v>
      </c>
      <c r="B447" s="21" t="s">
        <v>2399</v>
      </c>
      <c r="C447" s="21" t="s">
        <v>526</v>
      </c>
      <c r="D447" s="21" t="s">
        <v>71</v>
      </c>
      <c r="E447" s="21" t="s">
        <v>2400</v>
      </c>
      <c r="F447" s="21" t="s">
        <v>2399</v>
      </c>
      <c r="G447" s="21" t="s">
        <v>2401</v>
      </c>
      <c r="H447" s="21" t="s">
        <v>2402</v>
      </c>
      <c r="I447" s="12" t="s">
        <v>2552</v>
      </c>
      <c r="J447" s="12" t="s">
        <v>2414</v>
      </c>
      <c r="K447" s="12"/>
      <c r="L447" s="12" t="s">
        <v>2702</v>
      </c>
      <c r="M447" s="12" t="s">
        <v>2703</v>
      </c>
    </row>
    <row r="448" spans="1:13" ht="52.8">
      <c r="A448" s="21" t="s">
        <v>2398</v>
      </c>
      <c r="B448" s="21" t="s">
        <v>2399</v>
      </c>
      <c r="C448" s="21" t="s">
        <v>526</v>
      </c>
      <c r="D448" s="21" t="s">
        <v>71</v>
      </c>
      <c r="E448" s="21" t="s">
        <v>2400</v>
      </c>
      <c r="F448" s="21" t="s">
        <v>2399</v>
      </c>
      <c r="G448" s="21" t="s">
        <v>2401</v>
      </c>
      <c r="H448" s="21" t="s">
        <v>2402</v>
      </c>
      <c r="I448" s="12" t="s">
        <v>2553</v>
      </c>
      <c r="J448" s="12" t="s">
        <v>2415</v>
      </c>
      <c r="K448" s="12"/>
      <c r="L448" s="12" t="s">
        <v>2704</v>
      </c>
      <c r="M448" s="12" t="s">
        <v>2705</v>
      </c>
    </row>
    <row r="449" spans="1:13" ht="52.8">
      <c r="A449" s="21" t="s">
        <v>2398</v>
      </c>
      <c r="B449" s="21" t="s">
        <v>2399</v>
      </c>
      <c r="C449" s="21" t="s">
        <v>526</v>
      </c>
      <c r="D449" s="21" t="s">
        <v>71</v>
      </c>
      <c r="E449" s="21" t="s">
        <v>2400</v>
      </c>
      <c r="F449" s="21" t="s">
        <v>2399</v>
      </c>
      <c r="G449" s="21" t="s">
        <v>2401</v>
      </c>
      <c r="H449" s="21" t="s">
        <v>2402</v>
      </c>
      <c r="I449" s="12" t="s">
        <v>2554</v>
      </c>
      <c r="J449" s="12" t="s">
        <v>2416</v>
      </c>
      <c r="K449" s="12"/>
      <c r="L449" s="12" t="s">
        <v>2706</v>
      </c>
      <c r="M449" s="12" t="s">
        <v>2707</v>
      </c>
    </row>
    <row r="450" spans="1:13" ht="52.8">
      <c r="A450" s="21" t="s">
        <v>2398</v>
      </c>
      <c r="B450" s="21" t="s">
        <v>2399</v>
      </c>
      <c r="C450" s="21" t="s">
        <v>526</v>
      </c>
      <c r="D450" s="21" t="s">
        <v>71</v>
      </c>
      <c r="E450" s="21" t="s">
        <v>2400</v>
      </c>
      <c r="F450" s="21" t="s">
        <v>2399</v>
      </c>
      <c r="G450" s="21" t="s">
        <v>2401</v>
      </c>
      <c r="H450" s="21" t="s">
        <v>2402</v>
      </c>
      <c r="I450" s="12" t="s">
        <v>2555</v>
      </c>
      <c r="J450" s="12" t="s">
        <v>2417</v>
      </c>
      <c r="K450" s="12"/>
      <c r="L450" s="12" t="s">
        <v>2708</v>
      </c>
      <c r="M450" s="12" t="s">
        <v>2709</v>
      </c>
    </row>
    <row r="451" spans="1:13" ht="52.8">
      <c r="A451" s="21" t="s">
        <v>2398</v>
      </c>
      <c r="B451" s="21" t="s">
        <v>2399</v>
      </c>
      <c r="C451" s="21" t="s">
        <v>526</v>
      </c>
      <c r="D451" s="21" t="s">
        <v>71</v>
      </c>
      <c r="E451" s="21" t="s">
        <v>2400</v>
      </c>
      <c r="F451" s="21" t="s">
        <v>2399</v>
      </c>
      <c r="G451" s="21" t="s">
        <v>2401</v>
      </c>
      <c r="H451" s="21" t="s">
        <v>2402</v>
      </c>
      <c r="I451" s="12" t="s">
        <v>2556</v>
      </c>
      <c r="J451" s="12" t="s">
        <v>2418</v>
      </c>
      <c r="K451" s="12"/>
      <c r="L451" s="12" t="s">
        <v>2710</v>
      </c>
      <c r="M451" s="12" t="s">
        <v>2711</v>
      </c>
    </row>
    <row r="452" spans="1:13" ht="52.8">
      <c r="A452" s="21" t="s">
        <v>2398</v>
      </c>
      <c r="B452" s="21" t="s">
        <v>2399</v>
      </c>
      <c r="C452" s="21" t="s">
        <v>526</v>
      </c>
      <c r="D452" s="21" t="s">
        <v>71</v>
      </c>
      <c r="E452" s="21" t="s">
        <v>2400</v>
      </c>
      <c r="F452" s="21" t="s">
        <v>2399</v>
      </c>
      <c r="G452" s="21" t="s">
        <v>2401</v>
      </c>
      <c r="H452" s="21" t="s">
        <v>2402</v>
      </c>
      <c r="I452" s="12" t="s">
        <v>2557</v>
      </c>
      <c r="J452" s="12" t="s">
        <v>2419</v>
      </c>
      <c r="K452" s="12"/>
      <c r="L452" s="12" t="s">
        <v>2712</v>
      </c>
      <c r="M452" s="12" t="s">
        <v>2713</v>
      </c>
    </row>
    <row r="453" spans="1:13" ht="52.8">
      <c r="A453" s="21" t="s">
        <v>2398</v>
      </c>
      <c r="B453" s="21" t="s">
        <v>2399</v>
      </c>
      <c r="C453" s="21" t="s">
        <v>526</v>
      </c>
      <c r="D453" s="21" t="s">
        <v>71</v>
      </c>
      <c r="E453" s="21" t="s">
        <v>2400</v>
      </c>
      <c r="F453" s="21" t="s">
        <v>2399</v>
      </c>
      <c r="G453" s="21" t="s">
        <v>2401</v>
      </c>
      <c r="H453" s="21" t="s">
        <v>2402</v>
      </c>
      <c r="I453" s="12" t="s">
        <v>2558</v>
      </c>
      <c r="J453" s="12" t="s">
        <v>2420</v>
      </c>
      <c r="K453" s="12"/>
      <c r="L453" s="12" t="s">
        <v>2714</v>
      </c>
      <c r="M453" s="12" t="s">
        <v>2715</v>
      </c>
    </row>
    <row r="454" spans="1:13" ht="52.8">
      <c r="A454" s="21" t="s">
        <v>2398</v>
      </c>
      <c r="B454" s="21" t="s">
        <v>2399</v>
      </c>
      <c r="C454" s="21" t="s">
        <v>526</v>
      </c>
      <c r="D454" s="21" t="s">
        <v>71</v>
      </c>
      <c r="E454" s="21" t="s">
        <v>2400</v>
      </c>
      <c r="F454" s="21" t="s">
        <v>2399</v>
      </c>
      <c r="G454" s="21" t="s">
        <v>2401</v>
      </c>
      <c r="H454" s="21" t="s">
        <v>2402</v>
      </c>
      <c r="I454" s="12" t="s">
        <v>2559</v>
      </c>
      <c r="J454" s="12" t="s">
        <v>2421</v>
      </c>
      <c r="K454" s="12"/>
      <c r="L454" s="12" t="s">
        <v>2716</v>
      </c>
      <c r="M454" s="12" t="s">
        <v>2717</v>
      </c>
    </row>
    <row r="455" spans="1:13" ht="52.8">
      <c r="A455" s="21" t="s">
        <v>2398</v>
      </c>
      <c r="B455" s="21" t="s">
        <v>2399</v>
      </c>
      <c r="C455" s="21" t="s">
        <v>526</v>
      </c>
      <c r="D455" s="21" t="s">
        <v>71</v>
      </c>
      <c r="E455" s="21" t="s">
        <v>2400</v>
      </c>
      <c r="F455" s="21" t="s">
        <v>2399</v>
      </c>
      <c r="G455" s="21" t="s">
        <v>2401</v>
      </c>
      <c r="H455" s="21" t="s">
        <v>2402</v>
      </c>
      <c r="I455" s="12" t="s">
        <v>2560</v>
      </c>
      <c r="J455" s="12" t="s">
        <v>2422</v>
      </c>
      <c r="K455" s="12"/>
      <c r="L455" s="12" t="s">
        <v>2718</v>
      </c>
      <c r="M455" s="12" t="s">
        <v>2719</v>
      </c>
    </row>
    <row r="456" spans="1:13" ht="52.8">
      <c r="A456" s="21" t="s">
        <v>2398</v>
      </c>
      <c r="B456" s="21" t="s">
        <v>2399</v>
      </c>
      <c r="C456" s="21" t="s">
        <v>526</v>
      </c>
      <c r="D456" s="21" t="s">
        <v>71</v>
      </c>
      <c r="E456" s="21" t="s">
        <v>2400</v>
      </c>
      <c r="F456" s="21" t="s">
        <v>2399</v>
      </c>
      <c r="G456" s="21" t="s">
        <v>2401</v>
      </c>
      <c r="H456" s="21" t="s">
        <v>2402</v>
      </c>
      <c r="I456" s="12" t="s">
        <v>2561</v>
      </c>
      <c r="J456" s="12" t="s">
        <v>2423</v>
      </c>
      <c r="K456" s="12"/>
      <c r="L456" s="12" t="s">
        <v>2720</v>
      </c>
      <c r="M456" s="12" t="s">
        <v>2721</v>
      </c>
    </row>
    <row r="457" spans="1:13" ht="52.8">
      <c r="A457" s="21" t="s">
        <v>2398</v>
      </c>
      <c r="B457" s="21" t="s">
        <v>2399</v>
      </c>
      <c r="C457" s="21" t="s">
        <v>526</v>
      </c>
      <c r="D457" s="21" t="s">
        <v>71</v>
      </c>
      <c r="E457" s="21" t="s">
        <v>2400</v>
      </c>
      <c r="F457" s="21" t="s">
        <v>2399</v>
      </c>
      <c r="G457" s="21" t="s">
        <v>2401</v>
      </c>
      <c r="H457" s="21" t="s">
        <v>2402</v>
      </c>
      <c r="I457" s="12" t="s">
        <v>2562</v>
      </c>
      <c r="J457" s="12" t="s">
        <v>2424</v>
      </c>
      <c r="K457" s="12"/>
      <c r="L457" s="12" t="s">
        <v>2722</v>
      </c>
      <c r="M457" s="12" t="s">
        <v>2723</v>
      </c>
    </row>
    <row r="458" spans="1:13" ht="52.8">
      <c r="A458" s="21" t="s">
        <v>2398</v>
      </c>
      <c r="B458" s="21" t="s">
        <v>2399</v>
      </c>
      <c r="C458" s="21" t="s">
        <v>526</v>
      </c>
      <c r="D458" s="21" t="s">
        <v>71</v>
      </c>
      <c r="E458" s="21" t="s">
        <v>2400</v>
      </c>
      <c r="F458" s="21" t="s">
        <v>2399</v>
      </c>
      <c r="G458" s="21" t="s">
        <v>2401</v>
      </c>
      <c r="H458" s="21" t="s">
        <v>2402</v>
      </c>
      <c r="I458" s="12" t="s">
        <v>2563</v>
      </c>
      <c r="J458" s="12" t="s">
        <v>2425</v>
      </c>
      <c r="K458" s="12"/>
      <c r="L458" s="12" t="s">
        <v>2724</v>
      </c>
      <c r="M458" s="12" t="s">
        <v>2725</v>
      </c>
    </row>
    <row r="459" spans="1:13" ht="52.8">
      <c r="A459" s="21" t="s">
        <v>2398</v>
      </c>
      <c r="B459" s="21" t="s">
        <v>2399</v>
      </c>
      <c r="C459" s="21" t="s">
        <v>526</v>
      </c>
      <c r="D459" s="21" t="s">
        <v>71</v>
      </c>
      <c r="E459" s="21" t="s">
        <v>2400</v>
      </c>
      <c r="F459" s="21" t="s">
        <v>2399</v>
      </c>
      <c r="G459" s="21" t="s">
        <v>2401</v>
      </c>
      <c r="H459" s="21" t="s">
        <v>2402</v>
      </c>
      <c r="I459" s="12" t="s">
        <v>2564</v>
      </c>
      <c r="J459" s="12" t="s">
        <v>2426</v>
      </c>
      <c r="K459" s="12"/>
      <c r="L459" s="12" t="s">
        <v>2726</v>
      </c>
      <c r="M459" s="12" t="s">
        <v>2727</v>
      </c>
    </row>
    <row r="460" spans="1:13" ht="52.8">
      <c r="A460" s="21" t="s">
        <v>2398</v>
      </c>
      <c r="B460" s="21" t="s">
        <v>2399</v>
      </c>
      <c r="C460" s="21" t="s">
        <v>526</v>
      </c>
      <c r="D460" s="21" t="s">
        <v>71</v>
      </c>
      <c r="E460" s="21" t="s">
        <v>2400</v>
      </c>
      <c r="F460" s="21" t="s">
        <v>2399</v>
      </c>
      <c r="G460" s="21" t="s">
        <v>2401</v>
      </c>
      <c r="H460" s="21" t="s">
        <v>2402</v>
      </c>
      <c r="I460" s="12" t="s">
        <v>2565</v>
      </c>
      <c r="J460" s="12" t="s">
        <v>2427</v>
      </c>
      <c r="K460" s="12"/>
      <c r="L460" s="12" t="s">
        <v>2728</v>
      </c>
      <c r="M460" s="12" t="s">
        <v>2729</v>
      </c>
    </row>
    <row r="461" spans="1:13" ht="52.8">
      <c r="A461" s="21" t="s">
        <v>2398</v>
      </c>
      <c r="B461" s="21" t="s">
        <v>2399</v>
      </c>
      <c r="C461" s="21" t="s">
        <v>526</v>
      </c>
      <c r="D461" s="21" t="s">
        <v>71</v>
      </c>
      <c r="E461" s="21" t="s">
        <v>2400</v>
      </c>
      <c r="F461" s="21" t="s">
        <v>2399</v>
      </c>
      <c r="G461" s="21" t="s">
        <v>2401</v>
      </c>
      <c r="H461" s="21" t="s">
        <v>2402</v>
      </c>
      <c r="I461" s="12" t="s">
        <v>2566</v>
      </c>
      <c r="J461" s="12" t="s">
        <v>2428</v>
      </c>
      <c r="K461" s="12"/>
      <c r="L461" s="12" t="s">
        <v>2730</v>
      </c>
      <c r="M461" s="12" t="s">
        <v>2731</v>
      </c>
    </row>
    <row r="462" spans="1:13" ht="52.8">
      <c r="A462" s="21" t="s">
        <v>2398</v>
      </c>
      <c r="B462" s="21" t="s">
        <v>2399</v>
      </c>
      <c r="C462" s="21" t="s">
        <v>526</v>
      </c>
      <c r="D462" s="21" t="s">
        <v>71</v>
      </c>
      <c r="E462" s="21" t="s">
        <v>2400</v>
      </c>
      <c r="F462" s="21" t="s">
        <v>2399</v>
      </c>
      <c r="G462" s="21" t="s">
        <v>2401</v>
      </c>
      <c r="H462" s="21" t="s">
        <v>2402</v>
      </c>
      <c r="I462" s="12" t="s">
        <v>2567</v>
      </c>
      <c r="J462" s="12" t="s">
        <v>2429</v>
      </c>
      <c r="K462" s="12"/>
      <c r="L462" s="12" t="s">
        <v>2732</v>
      </c>
      <c r="M462" s="12" t="s">
        <v>2733</v>
      </c>
    </row>
    <row r="463" spans="1:13" ht="52.8">
      <c r="A463" s="21" t="s">
        <v>2398</v>
      </c>
      <c r="B463" s="21" t="s">
        <v>2399</v>
      </c>
      <c r="C463" s="21" t="s">
        <v>526</v>
      </c>
      <c r="D463" s="21" t="s">
        <v>71</v>
      </c>
      <c r="E463" s="21" t="s">
        <v>2400</v>
      </c>
      <c r="F463" s="21" t="s">
        <v>2399</v>
      </c>
      <c r="G463" s="21" t="s">
        <v>2401</v>
      </c>
      <c r="H463" s="21" t="s">
        <v>2402</v>
      </c>
      <c r="I463" s="12" t="s">
        <v>2568</v>
      </c>
      <c r="J463" s="12" t="s">
        <v>2430</v>
      </c>
      <c r="K463" s="12"/>
      <c r="L463" s="12" t="s">
        <v>2734</v>
      </c>
      <c r="M463" s="12" t="s">
        <v>2735</v>
      </c>
    </row>
    <row r="464" spans="1:13" ht="52.8">
      <c r="A464" s="21" t="s">
        <v>2398</v>
      </c>
      <c r="B464" s="21" t="s">
        <v>2399</v>
      </c>
      <c r="C464" s="21" t="s">
        <v>526</v>
      </c>
      <c r="D464" s="21" t="s">
        <v>71</v>
      </c>
      <c r="E464" s="21" t="s">
        <v>2400</v>
      </c>
      <c r="F464" s="21" t="s">
        <v>2399</v>
      </c>
      <c r="G464" s="21" t="s">
        <v>2401</v>
      </c>
      <c r="H464" s="21" t="s">
        <v>2402</v>
      </c>
      <c r="I464" s="12" t="s">
        <v>2569</v>
      </c>
      <c r="J464" s="12" t="s">
        <v>2431</v>
      </c>
      <c r="K464" s="12"/>
      <c r="L464" s="12" t="s">
        <v>2736</v>
      </c>
      <c r="M464" s="12" t="s">
        <v>2737</v>
      </c>
    </row>
    <row r="465" spans="1:13" ht="52.8">
      <c r="A465" s="21" t="s">
        <v>2398</v>
      </c>
      <c r="B465" s="21" t="s">
        <v>2399</v>
      </c>
      <c r="C465" s="21" t="s">
        <v>526</v>
      </c>
      <c r="D465" s="21" t="s">
        <v>71</v>
      </c>
      <c r="E465" s="21" t="s">
        <v>2400</v>
      </c>
      <c r="F465" s="21" t="s">
        <v>2399</v>
      </c>
      <c r="G465" s="21" t="s">
        <v>2401</v>
      </c>
      <c r="H465" s="21" t="s">
        <v>2402</v>
      </c>
      <c r="I465" s="12" t="s">
        <v>2570</v>
      </c>
      <c r="J465" s="12" t="s">
        <v>2432</v>
      </c>
      <c r="K465" s="12"/>
      <c r="L465" s="12" t="s">
        <v>2738</v>
      </c>
      <c r="M465" s="12" t="s">
        <v>2739</v>
      </c>
    </row>
    <row r="466" spans="1:13" ht="52.8">
      <c r="A466" s="21" t="s">
        <v>2398</v>
      </c>
      <c r="B466" s="21" t="s">
        <v>2399</v>
      </c>
      <c r="C466" s="21" t="s">
        <v>526</v>
      </c>
      <c r="D466" s="21" t="s">
        <v>71</v>
      </c>
      <c r="E466" s="21" t="s">
        <v>2400</v>
      </c>
      <c r="F466" s="21" t="s">
        <v>2399</v>
      </c>
      <c r="G466" s="21" t="s">
        <v>2401</v>
      </c>
      <c r="H466" s="21" t="s">
        <v>2402</v>
      </c>
      <c r="I466" s="12" t="s">
        <v>2571</v>
      </c>
      <c r="J466" s="12" t="s">
        <v>2433</v>
      </c>
      <c r="K466" s="12"/>
      <c r="L466" s="12" t="s">
        <v>2740</v>
      </c>
      <c r="M466" s="12" t="s">
        <v>2741</v>
      </c>
    </row>
    <row r="467" spans="1:13" ht="52.8">
      <c r="A467" s="21" t="s">
        <v>2398</v>
      </c>
      <c r="B467" s="21" t="s">
        <v>2399</v>
      </c>
      <c r="C467" s="21" t="s">
        <v>526</v>
      </c>
      <c r="D467" s="21" t="s">
        <v>71</v>
      </c>
      <c r="E467" s="21" t="s">
        <v>2400</v>
      </c>
      <c r="F467" s="21" t="s">
        <v>2399</v>
      </c>
      <c r="G467" s="21" t="s">
        <v>2401</v>
      </c>
      <c r="H467" s="21" t="s">
        <v>2402</v>
      </c>
      <c r="I467" s="12" t="s">
        <v>2572</v>
      </c>
      <c r="J467" s="12" t="s">
        <v>2434</v>
      </c>
      <c r="K467" s="12"/>
      <c r="L467" s="12" t="s">
        <v>2742</v>
      </c>
      <c r="M467" s="12" t="s">
        <v>2743</v>
      </c>
    </row>
    <row r="468" spans="1:13" ht="52.8">
      <c r="A468" s="21" t="s">
        <v>2398</v>
      </c>
      <c r="B468" s="21" t="s">
        <v>2399</v>
      </c>
      <c r="C468" s="21" t="s">
        <v>526</v>
      </c>
      <c r="D468" s="21" t="s">
        <v>71</v>
      </c>
      <c r="E468" s="21" t="s">
        <v>2400</v>
      </c>
      <c r="F468" s="21" t="s">
        <v>2399</v>
      </c>
      <c r="G468" s="21" t="s">
        <v>2401</v>
      </c>
      <c r="H468" s="21" t="s">
        <v>2402</v>
      </c>
      <c r="I468" s="12" t="s">
        <v>2573</v>
      </c>
      <c r="J468" s="12" t="s">
        <v>2435</v>
      </c>
      <c r="K468" s="12"/>
      <c r="L468" s="12" t="s">
        <v>2744</v>
      </c>
      <c r="M468" s="12" t="s">
        <v>2745</v>
      </c>
    </row>
    <row r="469" spans="1:13" ht="52.8">
      <c r="A469" s="21" t="s">
        <v>2398</v>
      </c>
      <c r="B469" s="21" t="s">
        <v>2399</v>
      </c>
      <c r="C469" s="21" t="s">
        <v>526</v>
      </c>
      <c r="D469" s="21" t="s">
        <v>71</v>
      </c>
      <c r="E469" s="21" t="s">
        <v>2400</v>
      </c>
      <c r="F469" s="21" t="s">
        <v>2399</v>
      </c>
      <c r="G469" s="21" t="s">
        <v>2401</v>
      </c>
      <c r="H469" s="21" t="s">
        <v>2402</v>
      </c>
      <c r="I469" s="12" t="s">
        <v>2574</v>
      </c>
      <c r="J469" s="12" t="s">
        <v>2436</v>
      </c>
      <c r="K469" s="12"/>
      <c r="L469" s="12" t="s">
        <v>2746</v>
      </c>
      <c r="M469" s="12" t="s">
        <v>2747</v>
      </c>
    </row>
    <row r="470" spans="1:13" ht="52.8">
      <c r="A470" s="21" t="s">
        <v>2398</v>
      </c>
      <c r="B470" s="21" t="s">
        <v>2399</v>
      </c>
      <c r="C470" s="21" t="s">
        <v>526</v>
      </c>
      <c r="D470" s="21" t="s">
        <v>71</v>
      </c>
      <c r="E470" s="21" t="s">
        <v>2400</v>
      </c>
      <c r="F470" s="21" t="s">
        <v>2399</v>
      </c>
      <c r="G470" s="21" t="s">
        <v>2401</v>
      </c>
      <c r="H470" s="21" t="s">
        <v>2402</v>
      </c>
      <c r="I470" s="12" t="s">
        <v>2575</v>
      </c>
      <c r="J470" s="12" t="s">
        <v>2437</v>
      </c>
      <c r="K470" s="12"/>
      <c r="L470" s="12" t="s">
        <v>2748</v>
      </c>
      <c r="M470" s="12" t="s">
        <v>2749</v>
      </c>
    </row>
    <row r="471" spans="1:13" ht="52.8">
      <c r="A471" s="21" t="s">
        <v>2398</v>
      </c>
      <c r="B471" s="21" t="s">
        <v>2399</v>
      </c>
      <c r="C471" s="21" t="s">
        <v>526</v>
      </c>
      <c r="D471" s="21" t="s">
        <v>71</v>
      </c>
      <c r="E471" s="21" t="s">
        <v>2400</v>
      </c>
      <c r="F471" s="21" t="s">
        <v>2399</v>
      </c>
      <c r="G471" s="21" t="s">
        <v>2401</v>
      </c>
      <c r="H471" s="21" t="s">
        <v>2402</v>
      </c>
      <c r="I471" s="12" t="s">
        <v>2576</v>
      </c>
      <c r="J471" s="12" t="s">
        <v>2438</v>
      </c>
      <c r="K471" s="12"/>
      <c r="L471" s="12" t="s">
        <v>2750</v>
      </c>
      <c r="M471" s="12" t="s">
        <v>2751</v>
      </c>
    </row>
    <row r="472" spans="1:13" ht="52.8">
      <c r="A472" s="21" t="s">
        <v>2398</v>
      </c>
      <c r="B472" s="21" t="s">
        <v>2399</v>
      </c>
      <c r="C472" s="21" t="s">
        <v>526</v>
      </c>
      <c r="D472" s="21" t="s">
        <v>71</v>
      </c>
      <c r="E472" s="21" t="s">
        <v>2400</v>
      </c>
      <c r="F472" s="21" t="s">
        <v>2399</v>
      </c>
      <c r="G472" s="21" t="s">
        <v>2401</v>
      </c>
      <c r="H472" s="21" t="s">
        <v>2402</v>
      </c>
      <c r="I472" s="12" t="s">
        <v>2577</v>
      </c>
      <c r="J472" s="12" t="s">
        <v>2439</v>
      </c>
      <c r="K472" s="12"/>
      <c r="L472" s="12" t="s">
        <v>2752</v>
      </c>
      <c r="M472" s="12" t="s">
        <v>2753</v>
      </c>
    </row>
    <row r="473" spans="1:13" ht="52.8">
      <c r="A473" s="21" t="s">
        <v>2398</v>
      </c>
      <c r="B473" s="21" t="s">
        <v>2399</v>
      </c>
      <c r="C473" s="21" t="s">
        <v>526</v>
      </c>
      <c r="D473" s="21" t="s">
        <v>71</v>
      </c>
      <c r="E473" s="21" t="s">
        <v>2400</v>
      </c>
      <c r="F473" s="21" t="s">
        <v>2399</v>
      </c>
      <c r="G473" s="21" t="s">
        <v>2401</v>
      </c>
      <c r="H473" s="21" t="s">
        <v>2402</v>
      </c>
      <c r="I473" s="12" t="s">
        <v>2578</v>
      </c>
      <c r="J473" s="12" t="s">
        <v>2440</v>
      </c>
      <c r="K473" s="12"/>
      <c r="L473" s="12" t="s">
        <v>2754</v>
      </c>
      <c r="M473" s="12" t="s">
        <v>2755</v>
      </c>
    </row>
    <row r="474" spans="1:13" ht="52.8">
      <c r="A474" s="21" t="s">
        <v>2398</v>
      </c>
      <c r="B474" s="21" t="s">
        <v>2399</v>
      </c>
      <c r="C474" s="21" t="s">
        <v>526</v>
      </c>
      <c r="D474" s="21" t="s">
        <v>71</v>
      </c>
      <c r="E474" s="21" t="s">
        <v>2400</v>
      </c>
      <c r="F474" s="21" t="s">
        <v>2399</v>
      </c>
      <c r="G474" s="21" t="s">
        <v>2401</v>
      </c>
      <c r="H474" s="21" t="s">
        <v>2402</v>
      </c>
      <c r="I474" s="12" t="s">
        <v>2579</v>
      </c>
      <c r="J474" s="12" t="s">
        <v>2441</v>
      </c>
      <c r="K474" s="12"/>
      <c r="L474" s="12" t="s">
        <v>2756</v>
      </c>
      <c r="M474" s="12" t="s">
        <v>2757</v>
      </c>
    </row>
    <row r="475" spans="1:13" ht="52.8">
      <c r="A475" s="21" t="s">
        <v>2398</v>
      </c>
      <c r="B475" s="21" t="s">
        <v>2399</v>
      </c>
      <c r="C475" s="21" t="s">
        <v>526</v>
      </c>
      <c r="D475" s="21" t="s">
        <v>71</v>
      </c>
      <c r="E475" s="21" t="s">
        <v>2400</v>
      </c>
      <c r="F475" s="21" t="s">
        <v>2399</v>
      </c>
      <c r="G475" s="21" t="s">
        <v>2401</v>
      </c>
      <c r="H475" s="21" t="s">
        <v>2402</v>
      </c>
      <c r="I475" s="12" t="s">
        <v>2580</v>
      </c>
      <c r="J475" s="12" t="s">
        <v>2442</v>
      </c>
      <c r="K475" s="12"/>
      <c r="L475" s="12" t="s">
        <v>2758</v>
      </c>
      <c r="M475" s="12" t="s">
        <v>2759</v>
      </c>
    </row>
    <row r="476" spans="1:13" ht="52.8">
      <c r="A476" s="21" t="s">
        <v>2398</v>
      </c>
      <c r="B476" s="21" t="s">
        <v>2399</v>
      </c>
      <c r="C476" s="21" t="s">
        <v>526</v>
      </c>
      <c r="D476" s="21" t="s">
        <v>71</v>
      </c>
      <c r="E476" s="21" t="s">
        <v>2400</v>
      </c>
      <c r="F476" s="21" t="s">
        <v>2399</v>
      </c>
      <c r="G476" s="21" t="s">
        <v>2401</v>
      </c>
      <c r="H476" s="21" t="s">
        <v>2402</v>
      </c>
      <c r="I476" s="12" t="s">
        <v>2581</v>
      </c>
      <c r="J476" s="12" t="s">
        <v>2443</v>
      </c>
      <c r="K476" s="12"/>
      <c r="L476" s="12" t="s">
        <v>2760</v>
      </c>
      <c r="M476" s="12" t="s">
        <v>2761</v>
      </c>
    </row>
    <row r="477" spans="1:13" ht="52.8">
      <c r="A477" s="21" t="s">
        <v>2398</v>
      </c>
      <c r="B477" s="21" t="s">
        <v>2399</v>
      </c>
      <c r="C477" s="21" t="s">
        <v>526</v>
      </c>
      <c r="D477" s="21" t="s">
        <v>71</v>
      </c>
      <c r="E477" s="21" t="s">
        <v>2400</v>
      </c>
      <c r="F477" s="21" t="s">
        <v>2399</v>
      </c>
      <c r="G477" s="21" t="s">
        <v>2401</v>
      </c>
      <c r="H477" s="21" t="s">
        <v>2402</v>
      </c>
      <c r="I477" s="12" t="s">
        <v>2582</v>
      </c>
      <c r="J477" s="12" t="s">
        <v>2444</v>
      </c>
      <c r="K477" s="12"/>
      <c r="L477" s="12" t="s">
        <v>2762</v>
      </c>
      <c r="M477" s="12" t="s">
        <v>2763</v>
      </c>
    </row>
    <row r="478" spans="1:13" ht="52.8">
      <c r="A478" s="21" t="s">
        <v>2398</v>
      </c>
      <c r="B478" s="21" t="s">
        <v>2399</v>
      </c>
      <c r="C478" s="21" t="s">
        <v>526</v>
      </c>
      <c r="D478" s="21" t="s">
        <v>71</v>
      </c>
      <c r="E478" s="21" t="s">
        <v>2400</v>
      </c>
      <c r="F478" s="21" t="s">
        <v>2399</v>
      </c>
      <c r="G478" s="21" t="s">
        <v>2401</v>
      </c>
      <c r="H478" s="21" t="s">
        <v>2402</v>
      </c>
      <c r="I478" s="12" t="s">
        <v>2583</v>
      </c>
      <c r="J478" s="12" t="s">
        <v>2445</v>
      </c>
      <c r="K478" s="12"/>
      <c r="L478" s="12" t="s">
        <v>2764</v>
      </c>
      <c r="M478" s="12" t="s">
        <v>2765</v>
      </c>
    </row>
    <row r="479" spans="1:13" ht="52.8">
      <c r="A479" s="21" t="s">
        <v>2398</v>
      </c>
      <c r="B479" s="21" t="s">
        <v>2399</v>
      </c>
      <c r="C479" s="21" t="s">
        <v>526</v>
      </c>
      <c r="D479" s="21" t="s">
        <v>71</v>
      </c>
      <c r="E479" s="21" t="s">
        <v>2400</v>
      </c>
      <c r="F479" s="21" t="s">
        <v>2399</v>
      </c>
      <c r="G479" s="21" t="s">
        <v>2401</v>
      </c>
      <c r="H479" s="21" t="s">
        <v>2402</v>
      </c>
      <c r="I479" s="12" t="s">
        <v>2584</v>
      </c>
      <c r="J479" s="12" t="s">
        <v>2446</v>
      </c>
      <c r="K479" s="12"/>
      <c r="L479" s="12" t="s">
        <v>2766</v>
      </c>
      <c r="M479" s="12" t="s">
        <v>2767</v>
      </c>
    </row>
    <row r="480" spans="1:13" ht="52.8">
      <c r="A480" s="21" t="s">
        <v>2398</v>
      </c>
      <c r="B480" s="21" t="s">
        <v>2399</v>
      </c>
      <c r="C480" s="21" t="s">
        <v>526</v>
      </c>
      <c r="D480" s="21" t="s">
        <v>71</v>
      </c>
      <c r="E480" s="21" t="s">
        <v>2400</v>
      </c>
      <c r="F480" s="21" t="s">
        <v>2399</v>
      </c>
      <c r="G480" s="21" t="s">
        <v>2401</v>
      </c>
      <c r="H480" s="21" t="s">
        <v>2402</v>
      </c>
      <c r="I480" s="12" t="s">
        <v>2585</v>
      </c>
      <c r="J480" s="12" t="s">
        <v>2447</v>
      </c>
      <c r="K480" s="12"/>
      <c r="L480" s="12" t="s">
        <v>2768</v>
      </c>
      <c r="M480" s="12" t="s">
        <v>2769</v>
      </c>
    </row>
    <row r="481" spans="1:13" ht="52.8">
      <c r="A481" s="21" t="s">
        <v>2398</v>
      </c>
      <c r="B481" s="21" t="s">
        <v>2399</v>
      </c>
      <c r="C481" s="21" t="s">
        <v>526</v>
      </c>
      <c r="D481" s="21" t="s">
        <v>71</v>
      </c>
      <c r="E481" s="21" t="s">
        <v>2400</v>
      </c>
      <c r="F481" s="21" t="s">
        <v>2399</v>
      </c>
      <c r="G481" s="21" t="s">
        <v>2401</v>
      </c>
      <c r="H481" s="21" t="s">
        <v>2402</v>
      </c>
      <c r="I481" s="12" t="s">
        <v>2586</v>
      </c>
      <c r="J481" s="12" t="s">
        <v>2448</v>
      </c>
      <c r="K481" s="12"/>
      <c r="L481" s="12" t="s">
        <v>2770</v>
      </c>
      <c r="M481" s="12" t="s">
        <v>2771</v>
      </c>
    </row>
    <row r="482" spans="1:13" ht="52.8">
      <c r="A482" s="21" t="s">
        <v>2398</v>
      </c>
      <c r="B482" s="21" t="s">
        <v>2399</v>
      </c>
      <c r="C482" s="21" t="s">
        <v>526</v>
      </c>
      <c r="D482" s="21" t="s">
        <v>71</v>
      </c>
      <c r="E482" s="21" t="s">
        <v>2400</v>
      </c>
      <c r="F482" s="21" t="s">
        <v>2399</v>
      </c>
      <c r="G482" s="21" t="s">
        <v>2401</v>
      </c>
      <c r="H482" s="21" t="s">
        <v>2402</v>
      </c>
      <c r="I482" s="12" t="s">
        <v>2587</v>
      </c>
      <c r="J482" s="12" t="s">
        <v>2449</v>
      </c>
      <c r="K482" s="12"/>
      <c r="L482" s="12" t="s">
        <v>2772</v>
      </c>
      <c r="M482" s="12" t="s">
        <v>2773</v>
      </c>
    </row>
    <row r="483" spans="1:13" ht="52.8">
      <c r="A483" s="21" t="s">
        <v>2398</v>
      </c>
      <c r="B483" s="21" t="s">
        <v>2399</v>
      </c>
      <c r="C483" s="21" t="s">
        <v>526</v>
      </c>
      <c r="D483" s="21" t="s">
        <v>71</v>
      </c>
      <c r="E483" s="21" t="s">
        <v>2400</v>
      </c>
      <c r="F483" s="21" t="s">
        <v>2399</v>
      </c>
      <c r="G483" s="21" t="s">
        <v>2401</v>
      </c>
      <c r="H483" s="21" t="s">
        <v>2402</v>
      </c>
      <c r="I483" s="12" t="s">
        <v>2588</v>
      </c>
      <c r="J483" s="12" t="s">
        <v>2450</v>
      </c>
      <c r="K483" s="12"/>
      <c r="L483" s="12" t="s">
        <v>2774</v>
      </c>
      <c r="M483" s="12" t="s">
        <v>2775</v>
      </c>
    </row>
    <row r="484" spans="1:13" ht="52.8">
      <c r="A484" s="21" t="s">
        <v>2398</v>
      </c>
      <c r="B484" s="21" t="s">
        <v>2399</v>
      </c>
      <c r="C484" s="21" t="s">
        <v>526</v>
      </c>
      <c r="D484" s="21" t="s">
        <v>71</v>
      </c>
      <c r="E484" s="21" t="s">
        <v>2400</v>
      </c>
      <c r="F484" s="21" t="s">
        <v>2399</v>
      </c>
      <c r="G484" s="21" t="s">
        <v>2401</v>
      </c>
      <c r="H484" s="21" t="s">
        <v>2402</v>
      </c>
      <c r="I484" s="12" t="s">
        <v>2589</v>
      </c>
      <c r="J484" s="12" t="s">
        <v>2451</v>
      </c>
      <c r="K484" s="12"/>
      <c r="L484" s="12" t="s">
        <v>2776</v>
      </c>
      <c r="M484" s="12" t="s">
        <v>2777</v>
      </c>
    </row>
    <row r="485" spans="1:13" ht="52.8">
      <c r="A485" s="21" t="s">
        <v>2398</v>
      </c>
      <c r="B485" s="21" t="s">
        <v>2399</v>
      </c>
      <c r="C485" s="21" t="s">
        <v>526</v>
      </c>
      <c r="D485" s="21" t="s">
        <v>71</v>
      </c>
      <c r="E485" s="21" t="s">
        <v>2400</v>
      </c>
      <c r="F485" s="21" t="s">
        <v>2399</v>
      </c>
      <c r="G485" s="21" t="s">
        <v>2401</v>
      </c>
      <c r="H485" s="21" t="s">
        <v>2402</v>
      </c>
      <c r="I485" s="12" t="s">
        <v>2590</v>
      </c>
      <c r="J485" s="12" t="s">
        <v>2452</v>
      </c>
      <c r="K485" s="12"/>
      <c r="L485" s="12" t="s">
        <v>2778</v>
      </c>
      <c r="M485" s="12" t="s">
        <v>2779</v>
      </c>
    </row>
    <row r="486" spans="1:13" ht="52.8">
      <c r="A486" s="21" t="s">
        <v>2398</v>
      </c>
      <c r="B486" s="21" t="s">
        <v>2399</v>
      </c>
      <c r="C486" s="21" t="s">
        <v>526</v>
      </c>
      <c r="D486" s="21" t="s">
        <v>71</v>
      </c>
      <c r="E486" s="21" t="s">
        <v>2400</v>
      </c>
      <c r="F486" s="21" t="s">
        <v>2399</v>
      </c>
      <c r="G486" s="21" t="s">
        <v>2401</v>
      </c>
      <c r="H486" s="21" t="s">
        <v>2402</v>
      </c>
      <c r="I486" s="12" t="s">
        <v>2591</v>
      </c>
      <c r="J486" s="12" t="s">
        <v>2453</v>
      </c>
      <c r="K486" s="12"/>
      <c r="L486" s="12" t="s">
        <v>2780</v>
      </c>
      <c r="M486" s="12" t="s">
        <v>2781</v>
      </c>
    </row>
    <row r="487" spans="1:13" ht="52.8">
      <c r="A487" s="21" t="s">
        <v>2398</v>
      </c>
      <c r="B487" s="21" t="s">
        <v>2399</v>
      </c>
      <c r="C487" s="21" t="s">
        <v>526</v>
      </c>
      <c r="D487" s="21" t="s">
        <v>71</v>
      </c>
      <c r="E487" s="21" t="s">
        <v>2400</v>
      </c>
      <c r="F487" s="21" t="s">
        <v>2399</v>
      </c>
      <c r="G487" s="21" t="s">
        <v>2401</v>
      </c>
      <c r="H487" s="21" t="s">
        <v>2402</v>
      </c>
      <c r="I487" s="12" t="s">
        <v>2592</v>
      </c>
      <c r="J487" s="12" t="s">
        <v>2454</v>
      </c>
      <c r="K487" s="12"/>
      <c r="L487" s="12" t="s">
        <v>2782</v>
      </c>
      <c r="M487" s="12" t="s">
        <v>2783</v>
      </c>
    </row>
    <row r="488" spans="1:13" ht="52.8">
      <c r="A488" s="21" t="s">
        <v>2398</v>
      </c>
      <c r="B488" s="21" t="s">
        <v>2399</v>
      </c>
      <c r="C488" s="21" t="s">
        <v>526</v>
      </c>
      <c r="D488" s="21" t="s">
        <v>71</v>
      </c>
      <c r="E488" s="21" t="s">
        <v>2400</v>
      </c>
      <c r="F488" s="21" t="s">
        <v>2399</v>
      </c>
      <c r="G488" s="21" t="s">
        <v>2401</v>
      </c>
      <c r="H488" s="21" t="s">
        <v>2402</v>
      </c>
      <c r="I488" s="12" t="s">
        <v>2593</v>
      </c>
      <c r="J488" s="12" t="s">
        <v>2455</v>
      </c>
      <c r="K488" s="12"/>
      <c r="L488" s="12" t="s">
        <v>2784</v>
      </c>
      <c r="M488" s="12" t="s">
        <v>2785</v>
      </c>
    </row>
    <row r="489" spans="1:13" ht="52.8">
      <c r="A489" s="21" t="s">
        <v>2398</v>
      </c>
      <c r="B489" s="21" t="s">
        <v>2399</v>
      </c>
      <c r="C489" s="21" t="s">
        <v>526</v>
      </c>
      <c r="D489" s="21" t="s">
        <v>71</v>
      </c>
      <c r="E489" s="21" t="s">
        <v>2400</v>
      </c>
      <c r="F489" s="21" t="s">
        <v>2399</v>
      </c>
      <c r="G489" s="21" t="s">
        <v>2401</v>
      </c>
      <c r="H489" s="21" t="s">
        <v>2402</v>
      </c>
      <c r="I489" s="12" t="s">
        <v>2594</v>
      </c>
      <c r="J489" s="12" t="s">
        <v>2456</v>
      </c>
      <c r="K489" s="12"/>
      <c r="L489" s="12" t="s">
        <v>2786</v>
      </c>
      <c r="M489" s="12" t="s">
        <v>2787</v>
      </c>
    </row>
    <row r="490" spans="1:13" ht="52.8">
      <c r="A490" s="21" t="s">
        <v>2398</v>
      </c>
      <c r="B490" s="21" t="s">
        <v>2399</v>
      </c>
      <c r="C490" s="21" t="s">
        <v>526</v>
      </c>
      <c r="D490" s="21" t="s">
        <v>71</v>
      </c>
      <c r="E490" s="21" t="s">
        <v>2400</v>
      </c>
      <c r="F490" s="21" t="s">
        <v>2399</v>
      </c>
      <c r="G490" s="21" t="s">
        <v>2401</v>
      </c>
      <c r="H490" s="21" t="s">
        <v>2402</v>
      </c>
      <c r="I490" s="12" t="s">
        <v>2595</v>
      </c>
      <c r="J490" s="12" t="s">
        <v>2457</v>
      </c>
      <c r="K490" s="12"/>
      <c r="L490" s="12" t="s">
        <v>2788</v>
      </c>
      <c r="M490" s="12" t="s">
        <v>2789</v>
      </c>
    </row>
    <row r="491" spans="1:13" ht="52.8">
      <c r="A491" s="21" t="s">
        <v>2398</v>
      </c>
      <c r="B491" s="21" t="s">
        <v>2399</v>
      </c>
      <c r="C491" s="21" t="s">
        <v>526</v>
      </c>
      <c r="D491" s="21" t="s">
        <v>71</v>
      </c>
      <c r="E491" s="21" t="s">
        <v>2400</v>
      </c>
      <c r="F491" s="21" t="s">
        <v>2399</v>
      </c>
      <c r="G491" s="21" t="s">
        <v>2401</v>
      </c>
      <c r="H491" s="21" t="s">
        <v>2402</v>
      </c>
      <c r="I491" s="12" t="s">
        <v>2596</v>
      </c>
      <c r="J491" s="12" t="s">
        <v>2458</v>
      </c>
      <c r="K491" s="12"/>
      <c r="L491" s="12" t="s">
        <v>2790</v>
      </c>
      <c r="M491" s="12" t="s">
        <v>2791</v>
      </c>
    </row>
    <row r="492" spans="1:13" ht="52.8">
      <c r="A492" s="21" t="s">
        <v>2398</v>
      </c>
      <c r="B492" s="21" t="s">
        <v>2399</v>
      </c>
      <c r="C492" s="21" t="s">
        <v>526</v>
      </c>
      <c r="D492" s="21" t="s">
        <v>71</v>
      </c>
      <c r="E492" s="21" t="s">
        <v>2400</v>
      </c>
      <c r="F492" s="21" t="s">
        <v>2399</v>
      </c>
      <c r="G492" s="21" t="s">
        <v>2401</v>
      </c>
      <c r="H492" s="21" t="s">
        <v>2402</v>
      </c>
      <c r="I492" s="12" t="s">
        <v>2597</v>
      </c>
      <c r="J492" s="12" t="s">
        <v>2459</v>
      </c>
      <c r="K492" s="12"/>
      <c r="L492" s="12" t="s">
        <v>2792</v>
      </c>
      <c r="M492" s="12" t="s">
        <v>2793</v>
      </c>
    </row>
    <row r="493" spans="1:13" ht="52.8">
      <c r="A493" s="21" t="s">
        <v>2398</v>
      </c>
      <c r="B493" s="21" t="s">
        <v>2399</v>
      </c>
      <c r="C493" s="21" t="s">
        <v>526</v>
      </c>
      <c r="D493" s="21" t="s">
        <v>71</v>
      </c>
      <c r="E493" s="21" t="s">
        <v>2400</v>
      </c>
      <c r="F493" s="21" t="s">
        <v>2399</v>
      </c>
      <c r="G493" s="21" t="s">
        <v>2401</v>
      </c>
      <c r="H493" s="21" t="s">
        <v>2402</v>
      </c>
      <c r="I493" s="12" t="s">
        <v>2598</v>
      </c>
      <c r="J493" s="12" t="s">
        <v>2460</v>
      </c>
      <c r="K493" s="12"/>
      <c r="L493" s="12" t="s">
        <v>2794</v>
      </c>
      <c r="M493" s="12" t="s">
        <v>2795</v>
      </c>
    </row>
    <row r="494" spans="1:13" ht="52.8">
      <c r="A494" s="21" t="s">
        <v>2398</v>
      </c>
      <c r="B494" s="21" t="s">
        <v>2399</v>
      </c>
      <c r="C494" s="21" t="s">
        <v>526</v>
      </c>
      <c r="D494" s="21" t="s">
        <v>71</v>
      </c>
      <c r="E494" s="21" t="s">
        <v>2400</v>
      </c>
      <c r="F494" s="21" t="s">
        <v>2399</v>
      </c>
      <c r="G494" s="21" t="s">
        <v>2401</v>
      </c>
      <c r="H494" s="21" t="s">
        <v>2402</v>
      </c>
      <c r="I494" s="12" t="s">
        <v>2599</v>
      </c>
      <c r="J494" s="12" t="s">
        <v>2461</v>
      </c>
      <c r="K494" s="12"/>
      <c r="L494" s="12" t="s">
        <v>2796</v>
      </c>
      <c r="M494" s="12" t="s">
        <v>2797</v>
      </c>
    </row>
    <row r="495" spans="1:13" ht="52.8">
      <c r="A495" s="21" t="s">
        <v>2398</v>
      </c>
      <c r="B495" s="21" t="s">
        <v>2399</v>
      </c>
      <c r="C495" s="21" t="s">
        <v>526</v>
      </c>
      <c r="D495" s="21" t="s">
        <v>71</v>
      </c>
      <c r="E495" s="21" t="s">
        <v>2400</v>
      </c>
      <c r="F495" s="21" t="s">
        <v>2399</v>
      </c>
      <c r="G495" s="21" t="s">
        <v>2401</v>
      </c>
      <c r="H495" s="21" t="s">
        <v>2402</v>
      </c>
      <c r="I495" s="12" t="s">
        <v>2600</v>
      </c>
      <c r="J495" s="12" t="s">
        <v>2462</v>
      </c>
      <c r="K495" s="12"/>
      <c r="L495" s="12" t="s">
        <v>2798</v>
      </c>
      <c r="M495" s="12" t="s">
        <v>2799</v>
      </c>
    </row>
    <row r="496" spans="1:13" ht="52.8">
      <c r="A496" s="21" t="s">
        <v>2398</v>
      </c>
      <c r="B496" s="21" t="s">
        <v>2399</v>
      </c>
      <c r="C496" s="21" t="s">
        <v>526</v>
      </c>
      <c r="D496" s="21" t="s">
        <v>71</v>
      </c>
      <c r="E496" s="21" t="s">
        <v>2400</v>
      </c>
      <c r="F496" s="21" t="s">
        <v>2399</v>
      </c>
      <c r="G496" s="21" t="s">
        <v>2401</v>
      </c>
      <c r="H496" s="21" t="s">
        <v>2402</v>
      </c>
      <c r="I496" s="12" t="s">
        <v>2601</v>
      </c>
      <c r="J496" s="12" t="s">
        <v>2463</v>
      </c>
      <c r="K496" s="12"/>
      <c r="L496" s="12" t="s">
        <v>2800</v>
      </c>
      <c r="M496" s="12" t="s">
        <v>2801</v>
      </c>
    </row>
    <row r="497" spans="1:13" ht="52.8">
      <c r="A497" s="21" t="s">
        <v>2398</v>
      </c>
      <c r="B497" s="21" t="s">
        <v>2399</v>
      </c>
      <c r="C497" s="21" t="s">
        <v>526</v>
      </c>
      <c r="D497" s="21" t="s">
        <v>71</v>
      </c>
      <c r="E497" s="21" t="s">
        <v>2400</v>
      </c>
      <c r="F497" s="21" t="s">
        <v>2399</v>
      </c>
      <c r="G497" s="21" t="s">
        <v>2401</v>
      </c>
      <c r="H497" s="21" t="s">
        <v>2402</v>
      </c>
      <c r="I497" s="12" t="s">
        <v>2602</v>
      </c>
      <c r="J497" s="12" t="s">
        <v>2464</v>
      </c>
      <c r="K497" s="12"/>
      <c r="L497" s="12" t="s">
        <v>2802</v>
      </c>
      <c r="M497" s="12" t="s">
        <v>2803</v>
      </c>
    </row>
    <row r="498" spans="1:13" ht="52.8">
      <c r="A498" s="21" t="s">
        <v>2398</v>
      </c>
      <c r="B498" s="21" t="s">
        <v>2399</v>
      </c>
      <c r="C498" s="21" t="s">
        <v>526</v>
      </c>
      <c r="D498" s="21" t="s">
        <v>71</v>
      </c>
      <c r="E498" s="21" t="s">
        <v>2400</v>
      </c>
      <c r="F498" s="21" t="s">
        <v>2399</v>
      </c>
      <c r="G498" s="21" t="s">
        <v>2401</v>
      </c>
      <c r="H498" s="21" t="s">
        <v>2402</v>
      </c>
      <c r="I498" s="12" t="s">
        <v>2603</v>
      </c>
      <c r="J498" s="12" t="s">
        <v>2465</v>
      </c>
      <c r="K498" s="12"/>
      <c r="L498" s="12" t="s">
        <v>2804</v>
      </c>
      <c r="M498" s="12" t="s">
        <v>2805</v>
      </c>
    </row>
    <row r="499" spans="1:13" ht="52.8">
      <c r="A499" s="21" t="s">
        <v>2398</v>
      </c>
      <c r="B499" s="21" t="s">
        <v>2399</v>
      </c>
      <c r="C499" s="21" t="s">
        <v>526</v>
      </c>
      <c r="D499" s="21" t="s">
        <v>71</v>
      </c>
      <c r="E499" s="21" t="s">
        <v>2400</v>
      </c>
      <c r="F499" s="21" t="s">
        <v>2399</v>
      </c>
      <c r="G499" s="21" t="s">
        <v>2401</v>
      </c>
      <c r="H499" s="21" t="s">
        <v>2402</v>
      </c>
      <c r="I499" s="12" t="s">
        <v>2604</v>
      </c>
      <c r="J499" s="12" t="s">
        <v>2466</v>
      </c>
      <c r="K499" s="12"/>
      <c r="L499" s="12" t="s">
        <v>2806</v>
      </c>
      <c r="M499" s="12" t="s">
        <v>2807</v>
      </c>
    </row>
    <row r="500" spans="1:13" ht="52.8">
      <c r="A500" s="21" t="s">
        <v>2398</v>
      </c>
      <c r="B500" s="21" t="s">
        <v>2399</v>
      </c>
      <c r="C500" s="21" t="s">
        <v>526</v>
      </c>
      <c r="D500" s="21" t="s">
        <v>71</v>
      </c>
      <c r="E500" s="21" t="s">
        <v>2400</v>
      </c>
      <c r="F500" s="21" t="s">
        <v>2399</v>
      </c>
      <c r="G500" s="21" t="s">
        <v>2401</v>
      </c>
      <c r="H500" s="21" t="s">
        <v>2402</v>
      </c>
      <c r="I500" s="12" t="s">
        <v>2605</v>
      </c>
      <c r="J500" s="12" t="s">
        <v>2467</v>
      </c>
      <c r="K500" s="12"/>
      <c r="L500" s="12" t="s">
        <v>2808</v>
      </c>
      <c r="M500" s="12" t="s">
        <v>2809</v>
      </c>
    </row>
    <row r="501" spans="1:13" ht="52.8">
      <c r="A501" s="21" t="s">
        <v>2398</v>
      </c>
      <c r="B501" s="21" t="s">
        <v>2399</v>
      </c>
      <c r="C501" s="21" t="s">
        <v>526</v>
      </c>
      <c r="D501" s="21" t="s">
        <v>71</v>
      </c>
      <c r="E501" s="21" t="s">
        <v>2400</v>
      </c>
      <c r="F501" s="21" t="s">
        <v>2399</v>
      </c>
      <c r="G501" s="21" t="s">
        <v>2401</v>
      </c>
      <c r="H501" s="21" t="s">
        <v>2402</v>
      </c>
      <c r="I501" s="12" t="s">
        <v>2606</v>
      </c>
      <c r="J501" s="12" t="s">
        <v>2468</v>
      </c>
      <c r="K501" s="12"/>
      <c r="L501" s="12" t="s">
        <v>2810</v>
      </c>
      <c r="M501" s="12" t="s">
        <v>2811</v>
      </c>
    </row>
    <row r="502" spans="1:13" ht="52.8">
      <c r="A502" s="21" t="s">
        <v>2398</v>
      </c>
      <c r="B502" s="21" t="s">
        <v>2399</v>
      </c>
      <c r="C502" s="21" t="s">
        <v>526</v>
      </c>
      <c r="D502" s="21" t="s">
        <v>71</v>
      </c>
      <c r="E502" s="21" t="s">
        <v>2400</v>
      </c>
      <c r="F502" s="21" t="s">
        <v>2399</v>
      </c>
      <c r="G502" s="21" t="s">
        <v>2401</v>
      </c>
      <c r="H502" s="21" t="s">
        <v>2402</v>
      </c>
      <c r="I502" s="12" t="s">
        <v>2607</v>
      </c>
      <c r="J502" s="12" t="s">
        <v>2469</v>
      </c>
      <c r="K502" s="12"/>
      <c r="L502" s="12" t="s">
        <v>2812</v>
      </c>
      <c r="M502" s="12" t="s">
        <v>2813</v>
      </c>
    </row>
    <row r="503" spans="1:13" ht="52.8">
      <c r="A503" s="21" t="s">
        <v>2398</v>
      </c>
      <c r="B503" s="21" t="s">
        <v>2399</v>
      </c>
      <c r="C503" s="21" t="s">
        <v>526</v>
      </c>
      <c r="D503" s="21" t="s">
        <v>71</v>
      </c>
      <c r="E503" s="21" t="s">
        <v>2400</v>
      </c>
      <c r="F503" s="21" t="s">
        <v>2399</v>
      </c>
      <c r="G503" s="21" t="s">
        <v>2401</v>
      </c>
      <c r="H503" s="21" t="s">
        <v>2402</v>
      </c>
      <c r="I503" s="12" t="s">
        <v>2608</v>
      </c>
      <c r="J503" s="12" t="s">
        <v>2470</v>
      </c>
      <c r="K503" s="12"/>
      <c r="L503" s="12" t="s">
        <v>2814</v>
      </c>
      <c r="M503" s="12" t="s">
        <v>2815</v>
      </c>
    </row>
    <row r="504" spans="1:13" ht="52.8">
      <c r="A504" s="21" t="s">
        <v>2398</v>
      </c>
      <c r="B504" s="21" t="s">
        <v>2399</v>
      </c>
      <c r="C504" s="21" t="s">
        <v>526</v>
      </c>
      <c r="D504" s="21" t="s">
        <v>71</v>
      </c>
      <c r="E504" s="21" t="s">
        <v>2400</v>
      </c>
      <c r="F504" s="21" t="s">
        <v>2399</v>
      </c>
      <c r="G504" s="21" t="s">
        <v>2401</v>
      </c>
      <c r="H504" s="21" t="s">
        <v>2402</v>
      </c>
      <c r="I504" s="12" t="s">
        <v>2609</v>
      </c>
      <c r="J504" s="12" t="s">
        <v>2471</v>
      </c>
      <c r="K504" s="12"/>
      <c r="L504" s="12" t="s">
        <v>2816</v>
      </c>
      <c r="M504" s="12" t="s">
        <v>2817</v>
      </c>
    </row>
    <row r="505" spans="1:13" ht="52.8">
      <c r="A505" s="21" t="s">
        <v>2398</v>
      </c>
      <c r="B505" s="21" t="s">
        <v>2399</v>
      </c>
      <c r="C505" s="21" t="s">
        <v>526</v>
      </c>
      <c r="D505" s="21" t="s">
        <v>71</v>
      </c>
      <c r="E505" s="21" t="s">
        <v>2400</v>
      </c>
      <c r="F505" s="21" t="s">
        <v>2399</v>
      </c>
      <c r="G505" s="21" t="s">
        <v>2401</v>
      </c>
      <c r="H505" s="21" t="s">
        <v>2402</v>
      </c>
      <c r="I505" s="12" t="s">
        <v>2610</v>
      </c>
      <c r="J505" s="12" t="s">
        <v>2472</v>
      </c>
      <c r="K505" s="12"/>
      <c r="L505" s="12" t="s">
        <v>2818</v>
      </c>
      <c r="M505" s="12" t="s">
        <v>2819</v>
      </c>
    </row>
    <row r="506" spans="1:13" ht="52.8">
      <c r="A506" s="21" t="s">
        <v>2398</v>
      </c>
      <c r="B506" s="21" t="s">
        <v>2399</v>
      </c>
      <c r="C506" s="21" t="s">
        <v>526</v>
      </c>
      <c r="D506" s="21" t="s">
        <v>71</v>
      </c>
      <c r="E506" s="21" t="s">
        <v>2400</v>
      </c>
      <c r="F506" s="21" t="s">
        <v>2399</v>
      </c>
      <c r="G506" s="21" t="s">
        <v>2401</v>
      </c>
      <c r="H506" s="21" t="s">
        <v>2402</v>
      </c>
      <c r="I506" s="12" t="s">
        <v>2611</v>
      </c>
      <c r="J506" s="12" t="s">
        <v>2473</v>
      </c>
      <c r="K506" s="12"/>
      <c r="L506" s="12" t="s">
        <v>2820</v>
      </c>
      <c r="M506" s="12" t="s">
        <v>2821</v>
      </c>
    </row>
    <row r="507" spans="1:13" ht="52.8">
      <c r="A507" s="21" t="s">
        <v>2398</v>
      </c>
      <c r="B507" s="21" t="s">
        <v>2399</v>
      </c>
      <c r="C507" s="21" t="s">
        <v>526</v>
      </c>
      <c r="D507" s="21" t="s">
        <v>71</v>
      </c>
      <c r="E507" s="21" t="s">
        <v>2400</v>
      </c>
      <c r="F507" s="21" t="s">
        <v>2399</v>
      </c>
      <c r="G507" s="21" t="s">
        <v>2401</v>
      </c>
      <c r="H507" s="21" t="s">
        <v>2402</v>
      </c>
      <c r="I507" s="12" t="s">
        <v>2612</v>
      </c>
      <c r="J507" s="12" t="s">
        <v>2474</v>
      </c>
      <c r="K507" s="12"/>
      <c r="L507" s="12" t="s">
        <v>2822</v>
      </c>
      <c r="M507" s="12" t="s">
        <v>2823</v>
      </c>
    </row>
    <row r="508" spans="1:13" ht="52.8">
      <c r="A508" s="21" t="s">
        <v>2398</v>
      </c>
      <c r="B508" s="21" t="s">
        <v>2399</v>
      </c>
      <c r="C508" s="21" t="s">
        <v>526</v>
      </c>
      <c r="D508" s="21" t="s">
        <v>71</v>
      </c>
      <c r="E508" s="21" t="s">
        <v>2400</v>
      </c>
      <c r="F508" s="21" t="s">
        <v>2399</v>
      </c>
      <c r="G508" s="21" t="s">
        <v>2401</v>
      </c>
      <c r="H508" s="21" t="s">
        <v>2402</v>
      </c>
      <c r="I508" s="12" t="s">
        <v>2613</v>
      </c>
      <c r="J508" s="12" t="s">
        <v>2475</v>
      </c>
      <c r="K508" s="12"/>
      <c r="L508" s="12" t="s">
        <v>2824</v>
      </c>
      <c r="M508" s="12" t="s">
        <v>2825</v>
      </c>
    </row>
    <row r="509" spans="1:13" ht="52.8">
      <c r="A509" s="21" t="s">
        <v>2398</v>
      </c>
      <c r="B509" s="21" t="s">
        <v>2399</v>
      </c>
      <c r="C509" s="21" t="s">
        <v>526</v>
      </c>
      <c r="D509" s="21" t="s">
        <v>71</v>
      </c>
      <c r="E509" s="21" t="s">
        <v>2400</v>
      </c>
      <c r="F509" s="21" t="s">
        <v>2399</v>
      </c>
      <c r="G509" s="21" t="s">
        <v>2401</v>
      </c>
      <c r="H509" s="21" t="s">
        <v>2402</v>
      </c>
      <c r="I509" s="12" t="s">
        <v>2614</v>
      </c>
      <c r="J509" s="12" t="s">
        <v>2476</v>
      </c>
      <c r="K509" s="12"/>
      <c r="L509" s="12" t="s">
        <v>2826</v>
      </c>
      <c r="M509" s="12" t="s">
        <v>2827</v>
      </c>
    </row>
    <row r="510" spans="1:13" ht="52.8">
      <c r="A510" s="21" t="s">
        <v>2398</v>
      </c>
      <c r="B510" s="21" t="s">
        <v>2399</v>
      </c>
      <c r="C510" s="21" t="s">
        <v>526</v>
      </c>
      <c r="D510" s="21" t="s">
        <v>71</v>
      </c>
      <c r="E510" s="21" t="s">
        <v>2400</v>
      </c>
      <c r="F510" s="21" t="s">
        <v>2399</v>
      </c>
      <c r="G510" s="21" t="s">
        <v>2401</v>
      </c>
      <c r="H510" s="21" t="s">
        <v>2402</v>
      </c>
      <c r="I510" s="12" t="s">
        <v>2615</v>
      </c>
      <c r="J510" s="12" t="s">
        <v>2477</v>
      </c>
      <c r="K510" s="12"/>
      <c r="L510" s="12" t="s">
        <v>2828</v>
      </c>
      <c r="M510" s="12" t="s">
        <v>2829</v>
      </c>
    </row>
    <row r="511" spans="1:13" ht="52.8">
      <c r="A511" s="21" t="s">
        <v>2398</v>
      </c>
      <c r="B511" s="21" t="s">
        <v>2399</v>
      </c>
      <c r="C511" s="21" t="s">
        <v>526</v>
      </c>
      <c r="D511" s="21" t="s">
        <v>71</v>
      </c>
      <c r="E511" s="21" t="s">
        <v>2400</v>
      </c>
      <c r="F511" s="21" t="s">
        <v>2399</v>
      </c>
      <c r="G511" s="21" t="s">
        <v>2401</v>
      </c>
      <c r="H511" s="21" t="s">
        <v>2402</v>
      </c>
      <c r="I511" s="12" t="s">
        <v>2616</v>
      </c>
      <c r="J511" s="12" t="s">
        <v>2478</v>
      </c>
      <c r="K511" s="12"/>
      <c r="L511" s="12" t="s">
        <v>2830</v>
      </c>
      <c r="M511" s="12" t="s">
        <v>2831</v>
      </c>
    </row>
    <row r="512" spans="1:13" ht="52.8">
      <c r="A512" s="21" t="s">
        <v>2398</v>
      </c>
      <c r="B512" s="21" t="s">
        <v>2399</v>
      </c>
      <c r="C512" s="21" t="s">
        <v>526</v>
      </c>
      <c r="D512" s="21" t="s">
        <v>71</v>
      </c>
      <c r="E512" s="21" t="s">
        <v>2400</v>
      </c>
      <c r="F512" s="21" t="s">
        <v>2399</v>
      </c>
      <c r="G512" s="21" t="s">
        <v>2401</v>
      </c>
      <c r="H512" s="21" t="s">
        <v>2402</v>
      </c>
      <c r="I512" s="12" t="s">
        <v>2617</v>
      </c>
      <c r="J512" s="12" t="s">
        <v>2479</v>
      </c>
      <c r="K512" s="12"/>
      <c r="L512" s="12" t="s">
        <v>2832</v>
      </c>
      <c r="M512" s="12" t="s">
        <v>2833</v>
      </c>
    </row>
    <row r="513" spans="1:13" ht="52.8">
      <c r="A513" s="21" t="s">
        <v>2398</v>
      </c>
      <c r="B513" s="21" t="s">
        <v>2399</v>
      </c>
      <c r="C513" s="21" t="s">
        <v>526</v>
      </c>
      <c r="D513" s="21" t="s">
        <v>71</v>
      </c>
      <c r="E513" s="21" t="s">
        <v>2400</v>
      </c>
      <c r="F513" s="21" t="s">
        <v>2399</v>
      </c>
      <c r="G513" s="21" t="s">
        <v>2401</v>
      </c>
      <c r="H513" s="21" t="s">
        <v>2402</v>
      </c>
      <c r="I513" s="12" t="s">
        <v>2618</v>
      </c>
      <c r="J513" s="12" t="s">
        <v>2480</v>
      </c>
      <c r="K513" s="12"/>
      <c r="L513" s="12" t="s">
        <v>2834</v>
      </c>
      <c r="M513" s="12" t="s">
        <v>2835</v>
      </c>
    </row>
    <row r="514" spans="1:13" ht="52.8">
      <c r="A514" s="21" t="s">
        <v>2398</v>
      </c>
      <c r="B514" s="21" t="s">
        <v>2399</v>
      </c>
      <c r="C514" s="21" t="s">
        <v>526</v>
      </c>
      <c r="D514" s="21" t="s">
        <v>71</v>
      </c>
      <c r="E514" s="21" t="s">
        <v>2400</v>
      </c>
      <c r="F514" s="21" t="s">
        <v>2399</v>
      </c>
      <c r="G514" s="21" t="s">
        <v>2401</v>
      </c>
      <c r="H514" s="21" t="s">
        <v>2402</v>
      </c>
      <c r="I514" s="12" t="s">
        <v>2619</v>
      </c>
      <c r="J514" s="12" t="s">
        <v>2481</v>
      </c>
      <c r="K514" s="12" t="s">
        <v>2836</v>
      </c>
      <c r="L514" s="12" t="s">
        <v>2837</v>
      </c>
      <c r="M514" s="12" t="s">
        <v>2838</v>
      </c>
    </row>
    <row r="515" spans="1:13" ht="52.8">
      <c r="A515" s="21" t="s">
        <v>2398</v>
      </c>
      <c r="B515" s="21" t="s">
        <v>2399</v>
      </c>
      <c r="C515" s="21" t="s">
        <v>526</v>
      </c>
      <c r="D515" s="21" t="s">
        <v>71</v>
      </c>
      <c r="E515" s="21" t="s">
        <v>2400</v>
      </c>
      <c r="F515" s="21" t="s">
        <v>2399</v>
      </c>
      <c r="G515" s="21" t="s">
        <v>2401</v>
      </c>
      <c r="H515" s="21" t="s">
        <v>2402</v>
      </c>
      <c r="I515" s="12" t="s">
        <v>2620</v>
      </c>
      <c r="J515" s="12" t="s">
        <v>2482</v>
      </c>
      <c r="K515" s="12"/>
      <c r="L515" s="12" t="s">
        <v>2839</v>
      </c>
      <c r="M515" s="12" t="s">
        <v>2840</v>
      </c>
    </row>
    <row r="516" spans="1:13" ht="52.8">
      <c r="A516" s="21" t="s">
        <v>2398</v>
      </c>
      <c r="B516" s="21" t="s">
        <v>2399</v>
      </c>
      <c r="C516" s="21" t="s">
        <v>526</v>
      </c>
      <c r="D516" s="21" t="s">
        <v>71</v>
      </c>
      <c r="E516" s="21" t="s">
        <v>2400</v>
      </c>
      <c r="F516" s="21" t="s">
        <v>2399</v>
      </c>
      <c r="G516" s="21" t="s">
        <v>2401</v>
      </c>
      <c r="H516" s="21" t="s">
        <v>2402</v>
      </c>
      <c r="I516" s="12" t="s">
        <v>2621</v>
      </c>
      <c r="J516" s="12" t="s">
        <v>2483</v>
      </c>
      <c r="K516" s="12"/>
      <c r="L516" s="12" t="s">
        <v>2841</v>
      </c>
      <c r="M516" s="12" t="s">
        <v>2842</v>
      </c>
    </row>
    <row r="517" spans="1:13" ht="52.8">
      <c r="A517" s="21" t="s">
        <v>2398</v>
      </c>
      <c r="B517" s="21" t="s">
        <v>2399</v>
      </c>
      <c r="C517" s="21" t="s">
        <v>526</v>
      </c>
      <c r="D517" s="21" t="s">
        <v>71</v>
      </c>
      <c r="E517" s="21" t="s">
        <v>2400</v>
      </c>
      <c r="F517" s="21" t="s">
        <v>2399</v>
      </c>
      <c r="G517" s="21" t="s">
        <v>2401</v>
      </c>
      <c r="H517" s="21" t="s">
        <v>2402</v>
      </c>
      <c r="I517" s="12" t="s">
        <v>2622</v>
      </c>
      <c r="J517" s="12" t="s">
        <v>2484</v>
      </c>
      <c r="K517" s="12"/>
      <c r="L517" s="12" t="s">
        <v>2843</v>
      </c>
      <c r="M517" s="12" t="s">
        <v>2844</v>
      </c>
    </row>
    <row r="518" spans="1:13" ht="52.8">
      <c r="A518" s="21" t="s">
        <v>2398</v>
      </c>
      <c r="B518" s="21" t="s">
        <v>2399</v>
      </c>
      <c r="C518" s="21" t="s">
        <v>526</v>
      </c>
      <c r="D518" s="21" t="s">
        <v>71</v>
      </c>
      <c r="E518" s="21" t="s">
        <v>2400</v>
      </c>
      <c r="F518" s="21" t="s">
        <v>2399</v>
      </c>
      <c r="G518" s="21" t="s">
        <v>2401</v>
      </c>
      <c r="H518" s="21" t="s">
        <v>2402</v>
      </c>
      <c r="I518" s="12" t="s">
        <v>2623</v>
      </c>
      <c r="J518" s="12" t="s">
        <v>2485</v>
      </c>
      <c r="K518" s="12"/>
      <c r="L518" s="12" t="s">
        <v>2845</v>
      </c>
      <c r="M518" s="12" t="s">
        <v>2846</v>
      </c>
    </row>
    <row r="519" spans="1:13" ht="52.8">
      <c r="A519" s="21" t="s">
        <v>2398</v>
      </c>
      <c r="B519" s="21" t="s">
        <v>2399</v>
      </c>
      <c r="C519" s="21" t="s">
        <v>526</v>
      </c>
      <c r="D519" s="21" t="s">
        <v>71</v>
      </c>
      <c r="E519" s="21" t="s">
        <v>2400</v>
      </c>
      <c r="F519" s="21" t="s">
        <v>2399</v>
      </c>
      <c r="G519" s="21" t="s">
        <v>2401</v>
      </c>
      <c r="H519" s="21" t="s">
        <v>2402</v>
      </c>
      <c r="I519" s="12" t="s">
        <v>2624</v>
      </c>
      <c r="J519" s="12" t="s">
        <v>2486</v>
      </c>
      <c r="K519" s="12"/>
      <c r="L519" s="12" t="s">
        <v>2847</v>
      </c>
      <c r="M519" s="12" t="s">
        <v>2848</v>
      </c>
    </row>
    <row r="520" spans="1:13" ht="52.8">
      <c r="A520" s="21" t="s">
        <v>2398</v>
      </c>
      <c r="B520" s="21" t="s">
        <v>2399</v>
      </c>
      <c r="C520" s="21" t="s">
        <v>526</v>
      </c>
      <c r="D520" s="21" t="s">
        <v>71</v>
      </c>
      <c r="E520" s="21" t="s">
        <v>2400</v>
      </c>
      <c r="F520" s="21" t="s">
        <v>2399</v>
      </c>
      <c r="G520" s="21" t="s">
        <v>2401</v>
      </c>
      <c r="H520" s="21" t="s">
        <v>2402</v>
      </c>
      <c r="I520" s="12" t="s">
        <v>2625</v>
      </c>
      <c r="J520" s="12" t="s">
        <v>2487</v>
      </c>
      <c r="K520" s="12"/>
      <c r="L520" s="12" t="s">
        <v>2849</v>
      </c>
      <c r="M520" s="12" t="s">
        <v>2850</v>
      </c>
    </row>
    <row r="521" spans="1:13" ht="52.8">
      <c r="A521" s="21" t="s">
        <v>2398</v>
      </c>
      <c r="B521" s="21" t="s">
        <v>2399</v>
      </c>
      <c r="C521" s="21" t="s">
        <v>526</v>
      </c>
      <c r="D521" s="21" t="s">
        <v>71</v>
      </c>
      <c r="E521" s="21" t="s">
        <v>2400</v>
      </c>
      <c r="F521" s="21" t="s">
        <v>2399</v>
      </c>
      <c r="G521" s="21" t="s">
        <v>2401</v>
      </c>
      <c r="H521" s="21" t="s">
        <v>2402</v>
      </c>
      <c r="I521" s="12" t="s">
        <v>2626</v>
      </c>
      <c r="J521" s="12" t="s">
        <v>2488</v>
      </c>
      <c r="K521" s="12"/>
      <c r="L521" s="12" t="s">
        <v>2851</v>
      </c>
      <c r="M521" s="12" t="s">
        <v>2852</v>
      </c>
    </row>
    <row r="522" spans="1:13" ht="52.8">
      <c r="A522" s="21" t="s">
        <v>2398</v>
      </c>
      <c r="B522" s="21" t="s">
        <v>2399</v>
      </c>
      <c r="C522" s="21" t="s">
        <v>526</v>
      </c>
      <c r="D522" s="21" t="s">
        <v>71</v>
      </c>
      <c r="E522" s="21" t="s">
        <v>2400</v>
      </c>
      <c r="F522" s="21" t="s">
        <v>2399</v>
      </c>
      <c r="G522" s="21" t="s">
        <v>2401</v>
      </c>
      <c r="H522" s="21" t="s">
        <v>2402</v>
      </c>
      <c r="I522" s="12" t="s">
        <v>2627</v>
      </c>
      <c r="J522" s="12" t="s">
        <v>2489</v>
      </c>
      <c r="K522" s="12"/>
      <c r="L522" s="12" t="s">
        <v>2853</v>
      </c>
      <c r="M522" s="12" t="s">
        <v>2854</v>
      </c>
    </row>
    <row r="523" spans="1:13" ht="52.8">
      <c r="A523" s="21" t="s">
        <v>2398</v>
      </c>
      <c r="B523" s="21" t="s">
        <v>2399</v>
      </c>
      <c r="C523" s="21" t="s">
        <v>526</v>
      </c>
      <c r="D523" s="21" t="s">
        <v>71</v>
      </c>
      <c r="E523" s="21" t="s">
        <v>2400</v>
      </c>
      <c r="F523" s="21" t="s">
        <v>2399</v>
      </c>
      <c r="G523" s="21" t="s">
        <v>2401</v>
      </c>
      <c r="H523" s="21" t="s">
        <v>2402</v>
      </c>
      <c r="I523" s="12" t="s">
        <v>2628</v>
      </c>
      <c r="J523" s="12" t="s">
        <v>2490</v>
      </c>
      <c r="K523" s="12"/>
      <c r="L523" s="12" t="s">
        <v>2855</v>
      </c>
      <c r="M523" s="12" t="s">
        <v>2856</v>
      </c>
    </row>
    <row r="524" spans="1:13" ht="52.8">
      <c r="A524" s="21" t="s">
        <v>2398</v>
      </c>
      <c r="B524" s="21" t="s">
        <v>2399</v>
      </c>
      <c r="C524" s="21" t="s">
        <v>526</v>
      </c>
      <c r="D524" s="21" t="s">
        <v>71</v>
      </c>
      <c r="E524" s="21" t="s">
        <v>2400</v>
      </c>
      <c r="F524" s="21" t="s">
        <v>2399</v>
      </c>
      <c r="G524" s="21" t="s">
        <v>2401</v>
      </c>
      <c r="H524" s="21" t="s">
        <v>2402</v>
      </c>
      <c r="I524" s="12" t="s">
        <v>2629</v>
      </c>
      <c r="J524" s="12" t="s">
        <v>2491</v>
      </c>
      <c r="K524" s="12"/>
      <c r="L524" s="12" t="s">
        <v>2857</v>
      </c>
      <c r="M524" s="12" t="s">
        <v>2858</v>
      </c>
    </row>
    <row r="525" spans="1:13" ht="52.8">
      <c r="A525" s="21" t="s">
        <v>2398</v>
      </c>
      <c r="B525" s="21" t="s">
        <v>2399</v>
      </c>
      <c r="C525" s="21" t="s">
        <v>526</v>
      </c>
      <c r="D525" s="21" t="s">
        <v>71</v>
      </c>
      <c r="E525" s="21" t="s">
        <v>2400</v>
      </c>
      <c r="F525" s="21" t="s">
        <v>2399</v>
      </c>
      <c r="G525" s="21" t="s">
        <v>2401</v>
      </c>
      <c r="H525" s="21" t="s">
        <v>2402</v>
      </c>
      <c r="I525" s="12" t="s">
        <v>2630</v>
      </c>
      <c r="J525" s="12" t="s">
        <v>2492</v>
      </c>
      <c r="K525" s="12"/>
      <c r="L525" s="12" t="s">
        <v>2859</v>
      </c>
      <c r="M525" s="12" t="s">
        <v>2860</v>
      </c>
    </row>
    <row r="526" spans="1:13" ht="52.8">
      <c r="A526" s="21" t="s">
        <v>2398</v>
      </c>
      <c r="B526" s="21" t="s">
        <v>2399</v>
      </c>
      <c r="C526" s="21" t="s">
        <v>526</v>
      </c>
      <c r="D526" s="21" t="s">
        <v>71</v>
      </c>
      <c r="E526" s="21" t="s">
        <v>2400</v>
      </c>
      <c r="F526" s="21" t="s">
        <v>2399</v>
      </c>
      <c r="G526" s="21" t="s">
        <v>2401</v>
      </c>
      <c r="H526" s="21" t="s">
        <v>2402</v>
      </c>
      <c r="I526" s="12" t="s">
        <v>2631</v>
      </c>
      <c r="J526" s="12" t="s">
        <v>2493</v>
      </c>
      <c r="K526" s="12"/>
      <c r="L526" s="12" t="s">
        <v>2861</v>
      </c>
      <c r="M526" s="12" t="s">
        <v>2862</v>
      </c>
    </row>
    <row r="527" spans="1:13" ht="52.8">
      <c r="A527" s="21" t="s">
        <v>2398</v>
      </c>
      <c r="B527" s="21" t="s">
        <v>2399</v>
      </c>
      <c r="C527" s="21" t="s">
        <v>526</v>
      </c>
      <c r="D527" s="21" t="s">
        <v>71</v>
      </c>
      <c r="E527" s="21" t="s">
        <v>2400</v>
      </c>
      <c r="F527" s="21" t="s">
        <v>2399</v>
      </c>
      <c r="G527" s="21" t="s">
        <v>2401</v>
      </c>
      <c r="H527" s="21" t="s">
        <v>2402</v>
      </c>
      <c r="I527" s="12" t="s">
        <v>2632</v>
      </c>
      <c r="J527" s="12" t="s">
        <v>2494</v>
      </c>
      <c r="K527" s="12"/>
      <c r="L527" s="12" t="s">
        <v>2863</v>
      </c>
      <c r="M527" s="12" t="s">
        <v>2864</v>
      </c>
    </row>
    <row r="528" spans="1:13" ht="52.8">
      <c r="A528" s="21" t="s">
        <v>2398</v>
      </c>
      <c r="B528" s="21" t="s">
        <v>2399</v>
      </c>
      <c r="C528" s="21" t="s">
        <v>526</v>
      </c>
      <c r="D528" s="21" t="s">
        <v>71</v>
      </c>
      <c r="E528" s="21" t="s">
        <v>2400</v>
      </c>
      <c r="F528" s="21" t="s">
        <v>2399</v>
      </c>
      <c r="G528" s="21" t="s">
        <v>2401</v>
      </c>
      <c r="H528" s="21" t="s">
        <v>2402</v>
      </c>
      <c r="I528" s="12" t="s">
        <v>2633</v>
      </c>
      <c r="J528" s="12" t="s">
        <v>2495</v>
      </c>
      <c r="K528" s="12"/>
      <c r="L528" s="12" t="s">
        <v>2865</v>
      </c>
      <c r="M528" s="12" t="s">
        <v>2866</v>
      </c>
    </row>
    <row r="529" spans="1:13" ht="52.8">
      <c r="A529" s="21" t="s">
        <v>2398</v>
      </c>
      <c r="B529" s="21" t="s">
        <v>2399</v>
      </c>
      <c r="C529" s="21" t="s">
        <v>526</v>
      </c>
      <c r="D529" s="21" t="s">
        <v>71</v>
      </c>
      <c r="E529" s="21" t="s">
        <v>2400</v>
      </c>
      <c r="F529" s="21" t="s">
        <v>2399</v>
      </c>
      <c r="G529" s="21" t="s">
        <v>2401</v>
      </c>
      <c r="H529" s="21" t="s">
        <v>2402</v>
      </c>
      <c r="I529" s="12" t="s">
        <v>2634</v>
      </c>
      <c r="J529" s="12" t="s">
        <v>2496</v>
      </c>
      <c r="K529" s="12" t="s">
        <v>2867</v>
      </c>
      <c r="L529" s="12" t="s">
        <v>2868</v>
      </c>
      <c r="M529" s="12" t="s">
        <v>2869</v>
      </c>
    </row>
    <row r="530" spans="1:13" ht="52.8">
      <c r="A530" s="21" t="s">
        <v>2398</v>
      </c>
      <c r="B530" s="21" t="s">
        <v>2399</v>
      </c>
      <c r="C530" s="21" t="s">
        <v>526</v>
      </c>
      <c r="D530" s="21" t="s">
        <v>71</v>
      </c>
      <c r="E530" s="21" t="s">
        <v>2400</v>
      </c>
      <c r="F530" s="21" t="s">
        <v>2399</v>
      </c>
      <c r="G530" s="21" t="s">
        <v>2401</v>
      </c>
      <c r="H530" s="21" t="s">
        <v>2402</v>
      </c>
      <c r="I530" s="12" t="s">
        <v>2635</v>
      </c>
      <c r="J530" s="12" t="s">
        <v>2497</v>
      </c>
      <c r="K530" s="12"/>
      <c r="L530" s="12" t="s">
        <v>2870</v>
      </c>
      <c r="M530" s="12" t="s">
        <v>2871</v>
      </c>
    </row>
    <row r="531" spans="1:13" ht="52.8">
      <c r="A531" s="21" t="s">
        <v>2398</v>
      </c>
      <c r="B531" s="21" t="s">
        <v>2399</v>
      </c>
      <c r="C531" s="21" t="s">
        <v>526</v>
      </c>
      <c r="D531" s="21" t="s">
        <v>71</v>
      </c>
      <c r="E531" s="21" t="s">
        <v>2400</v>
      </c>
      <c r="F531" s="21" t="s">
        <v>2399</v>
      </c>
      <c r="G531" s="21" t="s">
        <v>2401</v>
      </c>
      <c r="H531" s="21" t="s">
        <v>2402</v>
      </c>
      <c r="I531" s="12" t="s">
        <v>2636</v>
      </c>
      <c r="J531" s="12" t="s">
        <v>2498</v>
      </c>
      <c r="K531" s="12"/>
      <c r="L531" s="12" t="s">
        <v>2872</v>
      </c>
      <c r="M531" s="12" t="s">
        <v>2873</v>
      </c>
    </row>
    <row r="532" spans="1:13" ht="52.8">
      <c r="A532" s="21" t="s">
        <v>2398</v>
      </c>
      <c r="B532" s="21" t="s">
        <v>2399</v>
      </c>
      <c r="C532" s="21" t="s">
        <v>526</v>
      </c>
      <c r="D532" s="21" t="s">
        <v>71</v>
      </c>
      <c r="E532" s="21" t="s">
        <v>2400</v>
      </c>
      <c r="F532" s="21" t="s">
        <v>2399</v>
      </c>
      <c r="G532" s="21" t="s">
        <v>2401</v>
      </c>
      <c r="H532" s="21" t="s">
        <v>2402</v>
      </c>
      <c r="I532" s="12" t="s">
        <v>2637</v>
      </c>
      <c r="J532" s="12" t="s">
        <v>2499</v>
      </c>
      <c r="K532" s="12"/>
      <c r="L532" s="12" t="s">
        <v>2874</v>
      </c>
      <c r="M532" s="12" t="s">
        <v>2875</v>
      </c>
    </row>
    <row r="533" spans="1:13" ht="52.8">
      <c r="A533" s="21" t="s">
        <v>2398</v>
      </c>
      <c r="B533" s="21" t="s">
        <v>2399</v>
      </c>
      <c r="C533" s="21" t="s">
        <v>526</v>
      </c>
      <c r="D533" s="21" t="s">
        <v>71</v>
      </c>
      <c r="E533" s="21" t="s">
        <v>2400</v>
      </c>
      <c r="F533" s="21" t="s">
        <v>2399</v>
      </c>
      <c r="G533" s="21" t="s">
        <v>2401</v>
      </c>
      <c r="H533" s="21" t="s">
        <v>2402</v>
      </c>
      <c r="I533" s="12" t="s">
        <v>2638</v>
      </c>
      <c r="J533" s="12" t="s">
        <v>2500</v>
      </c>
      <c r="K533" s="12"/>
      <c r="L533" s="12" t="s">
        <v>2876</v>
      </c>
      <c r="M533" s="12" t="s">
        <v>2877</v>
      </c>
    </row>
    <row r="534" spans="1:13" ht="52.8">
      <c r="A534" s="21" t="s">
        <v>2398</v>
      </c>
      <c r="B534" s="21" t="s">
        <v>2399</v>
      </c>
      <c r="C534" s="21" t="s">
        <v>526</v>
      </c>
      <c r="D534" s="21" t="s">
        <v>71</v>
      </c>
      <c r="E534" s="21" t="s">
        <v>2400</v>
      </c>
      <c r="F534" s="21" t="s">
        <v>2399</v>
      </c>
      <c r="G534" s="21" t="s">
        <v>2401</v>
      </c>
      <c r="H534" s="21" t="s">
        <v>2402</v>
      </c>
      <c r="I534" s="12" t="s">
        <v>2639</v>
      </c>
      <c r="J534" s="12" t="s">
        <v>2501</v>
      </c>
      <c r="K534" s="12"/>
      <c r="L534" s="12" t="s">
        <v>2878</v>
      </c>
      <c r="M534" s="12" t="s">
        <v>2879</v>
      </c>
    </row>
    <row r="535" spans="1:13" ht="52.8">
      <c r="A535" s="21" t="s">
        <v>2398</v>
      </c>
      <c r="B535" s="21" t="s">
        <v>2399</v>
      </c>
      <c r="C535" s="21" t="s">
        <v>526</v>
      </c>
      <c r="D535" s="21" t="s">
        <v>71</v>
      </c>
      <c r="E535" s="21" t="s">
        <v>2400</v>
      </c>
      <c r="F535" s="21" t="s">
        <v>2399</v>
      </c>
      <c r="G535" s="21" t="s">
        <v>2401</v>
      </c>
      <c r="H535" s="21" t="s">
        <v>2402</v>
      </c>
      <c r="I535" s="12" t="s">
        <v>2640</v>
      </c>
      <c r="J535" s="12" t="s">
        <v>2502</v>
      </c>
      <c r="K535" s="12"/>
      <c r="L535" s="12" t="s">
        <v>2880</v>
      </c>
      <c r="M535" s="12" t="s">
        <v>2881</v>
      </c>
    </row>
    <row r="536" spans="1:13" ht="52.8">
      <c r="A536" s="21" t="s">
        <v>2398</v>
      </c>
      <c r="B536" s="21" t="s">
        <v>2399</v>
      </c>
      <c r="C536" s="21" t="s">
        <v>526</v>
      </c>
      <c r="D536" s="21" t="s">
        <v>71</v>
      </c>
      <c r="E536" s="21" t="s">
        <v>2400</v>
      </c>
      <c r="F536" s="21" t="s">
        <v>2399</v>
      </c>
      <c r="G536" s="21" t="s">
        <v>2401</v>
      </c>
      <c r="H536" s="21" t="s">
        <v>2402</v>
      </c>
      <c r="I536" s="12" t="s">
        <v>2641</v>
      </c>
      <c r="J536" s="12" t="s">
        <v>2503</v>
      </c>
      <c r="K536" s="12"/>
      <c r="L536" s="12" t="s">
        <v>2882</v>
      </c>
      <c r="M536" s="12" t="s">
        <v>2883</v>
      </c>
    </row>
    <row r="537" spans="1:13" ht="52.8">
      <c r="A537" s="21" t="s">
        <v>2398</v>
      </c>
      <c r="B537" s="21" t="s">
        <v>2399</v>
      </c>
      <c r="C537" s="21" t="s">
        <v>526</v>
      </c>
      <c r="D537" s="21" t="s">
        <v>71</v>
      </c>
      <c r="E537" s="21" t="s">
        <v>2400</v>
      </c>
      <c r="F537" s="21" t="s">
        <v>2399</v>
      </c>
      <c r="G537" s="21" t="s">
        <v>2401</v>
      </c>
      <c r="H537" s="21" t="s">
        <v>2402</v>
      </c>
      <c r="I537" s="12" t="s">
        <v>2642</v>
      </c>
      <c r="J537" s="12" t="s">
        <v>2504</v>
      </c>
      <c r="K537" s="12" t="s">
        <v>2884</v>
      </c>
      <c r="L537" s="12" t="s">
        <v>2885</v>
      </c>
      <c r="M537" s="12" t="s">
        <v>2886</v>
      </c>
    </row>
    <row r="538" spans="1:13" ht="52.8">
      <c r="A538" s="21" t="s">
        <v>2398</v>
      </c>
      <c r="B538" s="21" t="s">
        <v>2399</v>
      </c>
      <c r="C538" s="21" t="s">
        <v>526</v>
      </c>
      <c r="D538" s="21" t="s">
        <v>71</v>
      </c>
      <c r="E538" s="21" t="s">
        <v>2400</v>
      </c>
      <c r="F538" s="21" t="s">
        <v>2399</v>
      </c>
      <c r="G538" s="21" t="s">
        <v>2401</v>
      </c>
      <c r="H538" s="21" t="s">
        <v>2402</v>
      </c>
      <c r="I538" s="12" t="s">
        <v>2643</v>
      </c>
      <c r="J538" s="12" t="s">
        <v>2505</v>
      </c>
      <c r="K538" s="12"/>
      <c r="L538" s="12" t="s">
        <v>2887</v>
      </c>
      <c r="M538" s="12" t="s">
        <v>2888</v>
      </c>
    </row>
    <row r="539" spans="1:13" ht="52.8">
      <c r="A539" s="21" t="s">
        <v>2398</v>
      </c>
      <c r="B539" s="21" t="s">
        <v>2399</v>
      </c>
      <c r="C539" s="21" t="s">
        <v>526</v>
      </c>
      <c r="D539" s="21" t="s">
        <v>71</v>
      </c>
      <c r="E539" s="21" t="s">
        <v>2400</v>
      </c>
      <c r="F539" s="21" t="s">
        <v>2399</v>
      </c>
      <c r="G539" s="21" t="s">
        <v>2401</v>
      </c>
      <c r="H539" s="21" t="s">
        <v>2402</v>
      </c>
      <c r="I539" s="12" t="s">
        <v>2644</v>
      </c>
      <c r="J539" s="12" t="s">
        <v>2506</v>
      </c>
      <c r="K539" s="12"/>
      <c r="L539" s="12" t="s">
        <v>2889</v>
      </c>
      <c r="M539" s="12" t="s">
        <v>2890</v>
      </c>
    </row>
    <row r="540" spans="1:13" ht="52.8">
      <c r="A540" s="21" t="s">
        <v>2398</v>
      </c>
      <c r="B540" s="21" t="s">
        <v>2399</v>
      </c>
      <c r="C540" s="21" t="s">
        <v>526</v>
      </c>
      <c r="D540" s="21" t="s">
        <v>71</v>
      </c>
      <c r="E540" s="21" t="s">
        <v>2400</v>
      </c>
      <c r="F540" s="21" t="s">
        <v>2399</v>
      </c>
      <c r="G540" s="21" t="s">
        <v>2401</v>
      </c>
      <c r="H540" s="21" t="s">
        <v>2402</v>
      </c>
      <c r="I540" s="12" t="s">
        <v>2645</v>
      </c>
      <c r="J540" s="12" t="s">
        <v>2507</v>
      </c>
      <c r="K540" s="12"/>
      <c r="L540" s="12" t="s">
        <v>2891</v>
      </c>
      <c r="M540" s="12" t="s">
        <v>2892</v>
      </c>
    </row>
    <row r="541" spans="1:13" ht="52.8">
      <c r="A541" s="21" t="s">
        <v>2398</v>
      </c>
      <c r="B541" s="21" t="s">
        <v>2399</v>
      </c>
      <c r="C541" s="21" t="s">
        <v>526</v>
      </c>
      <c r="D541" s="21" t="s">
        <v>71</v>
      </c>
      <c r="E541" s="21" t="s">
        <v>2400</v>
      </c>
      <c r="F541" s="21" t="s">
        <v>2399</v>
      </c>
      <c r="G541" s="21" t="s">
        <v>2401</v>
      </c>
      <c r="H541" s="21" t="s">
        <v>2402</v>
      </c>
      <c r="I541" s="12" t="s">
        <v>2646</v>
      </c>
      <c r="J541" s="12" t="s">
        <v>2508</v>
      </c>
      <c r="K541" s="12"/>
      <c r="L541" s="12" t="s">
        <v>2893</v>
      </c>
      <c r="M541" s="12" t="s">
        <v>2894</v>
      </c>
    </row>
    <row r="542" spans="1:13" ht="52.8">
      <c r="A542" s="21" t="s">
        <v>2398</v>
      </c>
      <c r="B542" s="21" t="s">
        <v>2399</v>
      </c>
      <c r="C542" s="21" t="s">
        <v>526</v>
      </c>
      <c r="D542" s="21" t="s">
        <v>71</v>
      </c>
      <c r="E542" s="21" t="s">
        <v>2400</v>
      </c>
      <c r="F542" s="21" t="s">
        <v>2399</v>
      </c>
      <c r="G542" s="21" t="s">
        <v>2401</v>
      </c>
      <c r="H542" s="21" t="s">
        <v>2402</v>
      </c>
      <c r="I542" s="12" t="s">
        <v>2647</v>
      </c>
      <c r="J542" s="12" t="s">
        <v>2509</v>
      </c>
      <c r="K542" s="12"/>
      <c r="L542" s="12" t="s">
        <v>2895</v>
      </c>
      <c r="M542" s="12" t="s">
        <v>2896</v>
      </c>
    </row>
    <row r="543" spans="1:13" ht="52.8">
      <c r="A543" s="21" t="s">
        <v>2398</v>
      </c>
      <c r="B543" s="21" t="s">
        <v>2399</v>
      </c>
      <c r="C543" s="21" t="s">
        <v>526</v>
      </c>
      <c r="D543" s="21" t="s">
        <v>71</v>
      </c>
      <c r="E543" s="21" t="s">
        <v>2400</v>
      </c>
      <c r="F543" s="21" t="s">
        <v>2399</v>
      </c>
      <c r="G543" s="21" t="s">
        <v>2401</v>
      </c>
      <c r="H543" s="21" t="s">
        <v>2402</v>
      </c>
      <c r="I543" s="12" t="s">
        <v>2648</v>
      </c>
      <c r="J543" s="12" t="s">
        <v>2510</v>
      </c>
      <c r="K543" s="12"/>
      <c r="L543" s="12" t="s">
        <v>2897</v>
      </c>
      <c r="M543" s="12" t="s">
        <v>2898</v>
      </c>
    </row>
    <row r="544" spans="1:13" ht="52.8">
      <c r="A544" s="21" t="s">
        <v>2398</v>
      </c>
      <c r="B544" s="21" t="s">
        <v>2399</v>
      </c>
      <c r="C544" s="21" t="s">
        <v>526</v>
      </c>
      <c r="D544" s="21" t="s">
        <v>71</v>
      </c>
      <c r="E544" s="21" t="s">
        <v>2400</v>
      </c>
      <c r="F544" s="21" t="s">
        <v>2399</v>
      </c>
      <c r="G544" s="21" t="s">
        <v>2401</v>
      </c>
      <c r="H544" s="21" t="s">
        <v>2402</v>
      </c>
      <c r="I544" s="12" t="s">
        <v>2649</v>
      </c>
      <c r="J544" s="12" t="s">
        <v>2511</v>
      </c>
      <c r="K544" s="12"/>
      <c r="L544" s="12" t="s">
        <v>2899</v>
      </c>
      <c r="M544" s="12" t="s">
        <v>2900</v>
      </c>
    </row>
    <row r="545" spans="1:13" ht="52.8">
      <c r="A545" s="21" t="s">
        <v>2398</v>
      </c>
      <c r="B545" s="21" t="s">
        <v>2399</v>
      </c>
      <c r="C545" s="21" t="s">
        <v>526</v>
      </c>
      <c r="D545" s="21" t="s">
        <v>71</v>
      </c>
      <c r="E545" s="21" t="s">
        <v>2400</v>
      </c>
      <c r="F545" s="21" t="s">
        <v>2399</v>
      </c>
      <c r="G545" s="21" t="s">
        <v>2401</v>
      </c>
      <c r="H545" s="21" t="s">
        <v>2402</v>
      </c>
      <c r="I545" s="12" t="s">
        <v>2650</v>
      </c>
      <c r="J545" s="12" t="s">
        <v>2512</v>
      </c>
      <c r="K545" s="12"/>
      <c r="L545" s="12" t="s">
        <v>2901</v>
      </c>
      <c r="M545" s="12" t="s">
        <v>2902</v>
      </c>
    </row>
    <row r="546" spans="1:13" ht="52.8">
      <c r="A546" s="21" t="s">
        <v>2398</v>
      </c>
      <c r="B546" s="21" t="s">
        <v>2399</v>
      </c>
      <c r="C546" s="21" t="s">
        <v>526</v>
      </c>
      <c r="D546" s="21" t="s">
        <v>71</v>
      </c>
      <c r="E546" s="21" t="s">
        <v>2400</v>
      </c>
      <c r="F546" s="21" t="s">
        <v>2399</v>
      </c>
      <c r="G546" s="21" t="s">
        <v>2401</v>
      </c>
      <c r="H546" s="21" t="s">
        <v>2402</v>
      </c>
      <c r="I546" s="12" t="s">
        <v>2651</v>
      </c>
      <c r="J546" s="12" t="s">
        <v>2513</v>
      </c>
      <c r="K546" s="12"/>
      <c r="L546" s="12" t="s">
        <v>2903</v>
      </c>
      <c r="M546" s="12" t="s">
        <v>2904</v>
      </c>
    </row>
    <row r="547" spans="1:13" ht="52.8">
      <c r="A547" s="21" t="s">
        <v>2398</v>
      </c>
      <c r="B547" s="21" t="s">
        <v>2399</v>
      </c>
      <c r="C547" s="21" t="s">
        <v>526</v>
      </c>
      <c r="D547" s="21" t="s">
        <v>71</v>
      </c>
      <c r="E547" s="21" t="s">
        <v>2400</v>
      </c>
      <c r="F547" s="21" t="s">
        <v>2399</v>
      </c>
      <c r="G547" s="21" t="s">
        <v>2401</v>
      </c>
      <c r="H547" s="21" t="s">
        <v>2402</v>
      </c>
      <c r="I547" s="12" t="s">
        <v>2652</v>
      </c>
      <c r="J547" s="12" t="s">
        <v>2514</v>
      </c>
      <c r="K547" s="12"/>
      <c r="L547" s="12" t="s">
        <v>2905</v>
      </c>
      <c r="M547" s="12" t="s">
        <v>2906</v>
      </c>
    </row>
    <row r="548" spans="1:13" ht="52.8">
      <c r="A548" s="21" t="s">
        <v>2398</v>
      </c>
      <c r="B548" s="21" t="s">
        <v>2399</v>
      </c>
      <c r="C548" s="21" t="s">
        <v>526</v>
      </c>
      <c r="D548" s="21" t="s">
        <v>71</v>
      </c>
      <c r="E548" s="21" t="s">
        <v>2400</v>
      </c>
      <c r="F548" s="21" t="s">
        <v>2399</v>
      </c>
      <c r="G548" s="21" t="s">
        <v>2401</v>
      </c>
      <c r="H548" s="21" t="s">
        <v>2402</v>
      </c>
      <c r="I548" s="12" t="s">
        <v>2653</v>
      </c>
      <c r="J548" s="12" t="s">
        <v>2515</v>
      </c>
      <c r="K548" s="12"/>
      <c r="L548" s="12" t="s">
        <v>2907</v>
      </c>
      <c r="M548" s="12" t="s">
        <v>2908</v>
      </c>
    </row>
    <row r="549" spans="1:13" ht="52.8">
      <c r="A549" s="21" t="s">
        <v>2398</v>
      </c>
      <c r="B549" s="21" t="s">
        <v>2399</v>
      </c>
      <c r="C549" s="21" t="s">
        <v>526</v>
      </c>
      <c r="D549" s="21" t="s">
        <v>71</v>
      </c>
      <c r="E549" s="21" t="s">
        <v>2400</v>
      </c>
      <c r="F549" s="21" t="s">
        <v>2399</v>
      </c>
      <c r="G549" s="21" t="s">
        <v>2401</v>
      </c>
      <c r="H549" s="21" t="s">
        <v>2402</v>
      </c>
      <c r="I549" s="12" t="s">
        <v>2654</v>
      </c>
      <c r="J549" s="12" t="s">
        <v>2516</v>
      </c>
      <c r="K549" s="12"/>
      <c r="L549" s="12" t="s">
        <v>2909</v>
      </c>
      <c r="M549" s="12" t="s">
        <v>2910</v>
      </c>
    </row>
    <row r="550" spans="1:13" ht="52.8">
      <c r="A550" s="21" t="s">
        <v>2398</v>
      </c>
      <c r="B550" s="21" t="s">
        <v>2399</v>
      </c>
      <c r="C550" s="21" t="s">
        <v>526</v>
      </c>
      <c r="D550" s="21" t="s">
        <v>71</v>
      </c>
      <c r="E550" s="21" t="s">
        <v>2400</v>
      </c>
      <c r="F550" s="21" t="s">
        <v>2399</v>
      </c>
      <c r="G550" s="21" t="s">
        <v>2401</v>
      </c>
      <c r="H550" s="21" t="s">
        <v>2402</v>
      </c>
      <c r="I550" s="12" t="s">
        <v>2655</v>
      </c>
      <c r="J550" s="12" t="s">
        <v>2517</v>
      </c>
      <c r="K550" s="12"/>
      <c r="L550" s="12" t="s">
        <v>2911</v>
      </c>
      <c r="M550" s="12" t="s">
        <v>2912</v>
      </c>
    </row>
    <row r="551" spans="1:13" ht="52.8">
      <c r="A551" s="21" t="s">
        <v>2398</v>
      </c>
      <c r="B551" s="21" t="s">
        <v>2399</v>
      </c>
      <c r="C551" s="21" t="s">
        <v>526</v>
      </c>
      <c r="D551" s="21" t="s">
        <v>71</v>
      </c>
      <c r="E551" s="21" t="s">
        <v>2400</v>
      </c>
      <c r="F551" s="21" t="s">
        <v>2399</v>
      </c>
      <c r="G551" s="21" t="s">
        <v>2401</v>
      </c>
      <c r="H551" s="21" t="s">
        <v>2402</v>
      </c>
      <c r="I551" s="12" t="s">
        <v>2656</v>
      </c>
      <c r="J551" s="12" t="s">
        <v>2518</v>
      </c>
      <c r="K551" s="12"/>
      <c r="L551" s="12" t="s">
        <v>2913</v>
      </c>
      <c r="M551" s="12" t="s">
        <v>2914</v>
      </c>
    </row>
    <row r="552" spans="1:13" ht="52.8">
      <c r="A552" s="21" t="s">
        <v>2398</v>
      </c>
      <c r="B552" s="21" t="s">
        <v>2399</v>
      </c>
      <c r="C552" s="21" t="s">
        <v>526</v>
      </c>
      <c r="D552" s="21" t="s">
        <v>71</v>
      </c>
      <c r="E552" s="21" t="s">
        <v>2400</v>
      </c>
      <c r="F552" s="21" t="s">
        <v>2399</v>
      </c>
      <c r="G552" s="21" t="s">
        <v>2401</v>
      </c>
      <c r="H552" s="21" t="s">
        <v>2402</v>
      </c>
      <c r="I552" s="12" t="s">
        <v>2657</v>
      </c>
      <c r="J552" s="12" t="s">
        <v>2519</v>
      </c>
      <c r="K552" s="12"/>
      <c r="L552" s="12" t="s">
        <v>2915</v>
      </c>
      <c r="M552" s="12" t="s">
        <v>2916</v>
      </c>
    </row>
    <row r="553" spans="1:13" ht="52.8">
      <c r="A553" s="21" t="s">
        <v>2398</v>
      </c>
      <c r="B553" s="21" t="s">
        <v>2399</v>
      </c>
      <c r="C553" s="21" t="s">
        <v>526</v>
      </c>
      <c r="D553" s="21" t="s">
        <v>71</v>
      </c>
      <c r="E553" s="21" t="s">
        <v>2400</v>
      </c>
      <c r="F553" s="21" t="s">
        <v>2399</v>
      </c>
      <c r="G553" s="21" t="s">
        <v>2401</v>
      </c>
      <c r="H553" s="21" t="s">
        <v>2402</v>
      </c>
      <c r="I553" s="12" t="s">
        <v>2658</v>
      </c>
      <c r="J553" s="12" t="s">
        <v>2520</v>
      </c>
      <c r="K553" s="12"/>
      <c r="L553" s="12" t="s">
        <v>2917</v>
      </c>
      <c r="M553" s="12" t="s">
        <v>2918</v>
      </c>
    </row>
    <row r="554" spans="1:13" ht="52.8">
      <c r="A554" s="21" t="s">
        <v>2398</v>
      </c>
      <c r="B554" s="21" t="s">
        <v>2399</v>
      </c>
      <c r="C554" s="21" t="s">
        <v>526</v>
      </c>
      <c r="D554" s="21" t="s">
        <v>71</v>
      </c>
      <c r="E554" s="21" t="s">
        <v>2400</v>
      </c>
      <c r="F554" s="21" t="s">
        <v>2399</v>
      </c>
      <c r="G554" s="21" t="s">
        <v>2401</v>
      </c>
      <c r="H554" s="21" t="s">
        <v>2402</v>
      </c>
      <c r="I554" s="12" t="s">
        <v>2659</v>
      </c>
      <c r="J554" s="12" t="s">
        <v>2521</v>
      </c>
      <c r="K554" s="12"/>
      <c r="L554" s="12" t="s">
        <v>2919</v>
      </c>
      <c r="M554" s="12" t="s">
        <v>2920</v>
      </c>
    </row>
    <row r="555" spans="1:13" ht="52.8">
      <c r="A555" s="21" t="s">
        <v>2398</v>
      </c>
      <c r="B555" s="21" t="s">
        <v>2399</v>
      </c>
      <c r="C555" s="21" t="s">
        <v>526</v>
      </c>
      <c r="D555" s="21" t="s">
        <v>71</v>
      </c>
      <c r="E555" s="21" t="s">
        <v>2400</v>
      </c>
      <c r="F555" s="21" t="s">
        <v>2399</v>
      </c>
      <c r="G555" s="21" t="s">
        <v>2401</v>
      </c>
      <c r="H555" s="21" t="s">
        <v>2402</v>
      </c>
      <c r="I555" s="12" t="s">
        <v>2660</v>
      </c>
      <c r="J555" s="12" t="s">
        <v>2522</v>
      </c>
      <c r="K555" s="12" t="s">
        <v>2921</v>
      </c>
      <c r="L555" s="12" t="s">
        <v>2922</v>
      </c>
      <c r="M555" s="12" t="s">
        <v>2923</v>
      </c>
    </row>
    <row r="556" spans="1:13" ht="52.8">
      <c r="A556" s="21" t="s">
        <v>2398</v>
      </c>
      <c r="B556" s="21" t="s">
        <v>2399</v>
      </c>
      <c r="C556" s="21" t="s">
        <v>526</v>
      </c>
      <c r="D556" s="21" t="s">
        <v>71</v>
      </c>
      <c r="E556" s="21" t="s">
        <v>2400</v>
      </c>
      <c r="F556" s="21" t="s">
        <v>2399</v>
      </c>
      <c r="G556" s="21" t="s">
        <v>2401</v>
      </c>
      <c r="H556" s="21" t="s">
        <v>2402</v>
      </c>
      <c r="I556" s="12" t="s">
        <v>2661</v>
      </c>
      <c r="J556" s="12" t="s">
        <v>2523</v>
      </c>
      <c r="K556" s="12"/>
      <c r="L556" s="12" t="s">
        <v>2924</v>
      </c>
      <c r="M556" s="12" t="s">
        <v>2925</v>
      </c>
    </row>
    <row r="557" spans="1:13" ht="52.8">
      <c r="A557" s="21" t="s">
        <v>2398</v>
      </c>
      <c r="B557" s="21" t="s">
        <v>2399</v>
      </c>
      <c r="C557" s="21" t="s">
        <v>526</v>
      </c>
      <c r="D557" s="21" t="s">
        <v>71</v>
      </c>
      <c r="E557" s="21" t="s">
        <v>2400</v>
      </c>
      <c r="F557" s="21" t="s">
        <v>2399</v>
      </c>
      <c r="G557" s="21" t="s">
        <v>2401</v>
      </c>
      <c r="H557" s="21" t="s">
        <v>2402</v>
      </c>
      <c r="I557" s="12" t="s">
        <v>2662</v>
      </c>
      <c r="J557" s="12" t="s">
        <v>2524</v>
      </c>
      <c r="K557" s="12"/>
      <c r="L557" s="12" t="s">
        <v>2926</v>
      </c>
      <c r="M557" s="12" t="s">
        <v>2927</v>
      </c>
    </row>
    <row r="558" spans="1:13" ht="52.8">
      <c r="A558" s="21" t="s">
        <v>2398</v>
      </c>
      <c r="B558" s="21" t="s">
        <v>2399</v>
      </c>
      <c r="C558" s="21" t="s">
        <v>526</v>
      </c>
      <c r="D558" s="21" t="s">
        <v>71</v>
      </c>
      <c r="E558" s="21" t="s">
        <v>2400</v>
      </c>
      <c r="F558" s="21" t="s">
        <v>2399</v>
      </c>
      <c r="G558" s="21" t="s">
        <v>2401</v>
      </c>
      <c r="H558" s="21" t="s">
        <v>2402</v>
      </c>
      <c r="I558" s="12" t="s">
        <v>2663</v>
      </c>
      <c r="J558" s="12" t="s">
        <v>2525</v>
      </c>
      <c r="K558" s="12"/>
      <c r="L558" s="12" t="s">
        <v>2928</v>
      </c>
      <c r="M558" s="12" t="s">
        <v>2929</v>
      </c>
    </row>
    <row r="559" spans="1:13" ht="52.8">
      <c r="A559" s="21" t="s">
        <v>2398</v>
      </c>
      <c r="B559" s="21" t="s">
        <v>2399</v>
      </c>
      <c r="C559" s="21" t="s">
        <v>526</v>
      </c>
      <c r="D559" s="21" t="s">
        <v>71</v>
      </c>
      <c r="E559" s="21" t="s">
        <v>2400</v>
      </c>
      <c r="F559" s="21" t="s">
        <v>2399</v>
      </c>
      <c r="G559" s="21" t="s">
        <v>2401</v>
      </c>
      <c r="H559" s="21" t="s">
        <v>2402</v>
      </c>
      <c r="I559" s="12" t="s">
        <v>2664</v>
      </c>
      <c r="J559" s="12" t="s">
        <v>2526</v>
      </c>
      <c r="K559" s="12"/>
      <c r="L559" s="12" t="s">
        <v>2930</v>
      </c>
      <c r="M559" s="12" t="s">
        <v>2931</v>
      </c>
    </row>
    <row r="560" spans="1:13" ht="52.8">
      <c r="A560" s="21" t="s">
        <v>2398</v>
      </c>
      <c r="B560" s="21" t="s">
        <v>2399</v>
      </c>
      <c r="C560" s="21" t="s">
        <v>526</v>
      </c>
      <c r="D560" s="21" t="s">
        <v>71</v>
      </c>
      <c r="E560" s="21" t="s">
        <v>2400</v>
      </c>
      <c r="F560" s="21" t="s">
        <v>2399</v>
      </c>
      <c r="G560" s="21" t="s">
        <v>2401</v>
      </c>
      <c r="H560" s="21" t="s">
        <v>2402</v>
      </c>
      <c r="I560" s="12" t="s">
        <v>2665</v>
      </c>
      <c r="J560" s="12" t="s">
        <v>2527</v>
      </c>
      <c r="K560" s="12"/>
      <c r="L560" s="12" t="s">
        <v>2932</v>
      </c>
      <c r="M560" s="12" t="s">
        <v>2933</v>
      </c>
    </row>
    <row r="561" spans="1:13" ht="52.8">
      <c r="A561" s="21" t="s">
        <v>2398</v>
      </c>
      <c r="B561" s="21" t="s">
        <v>2399</v>
      </c>
      <c r="C561" s="21" t="s">
        <v>526</v>
      </c>
      <c r="D561" s="21" t="s">
        <v>71</v>
      </c>
      <c r="E561" s="21" t="s">
        <v>2400</v>
      </c>
      <c r="F561" s="21" t="s">
        <v>2399</v>
      </c>
      <c r="G561" s="21" t="s">
        <v>2401</v>
      </c>
      <c r="H561" s="21" t="s">
        <v>2402</v>
      </c>
      <c r="I561" s="12" t="s">
        <v>2666</v>
      </c>
      <c r="J561" s="12" t="s">
        <v>2528</v>
      </c>
      <c r="K561" s="12"/>
      <c r="L561" s="12" t="s">
        <v>2934</v>
      </c>
      <c r="M561" s="12" t="s">
        <v>2935</v>
      </c>
    </row>
    <row r="562" spans="1:13" ht="52.8">
      <c r="A562" s="21" t="s">
        <v>2398</v>
      </c>
      <c r="B562" s="21" t="s">
        <v>2399</v>
      </c>
      <c r="C562" s="21" t="s">
        <v>526</v>
      </c>
      <c r="D562" s="21" t="s">
        <v>71</v>
      </c>
      <c r="E562" s="21" t="s">
        <v>2400</v>
      </c>
      <c r="F562" s="21" t="s">
        <v>2399</v>
      </c>
      <c r="G562" s="21" t="s">
        <v>2401</v>
      </c>
      <c r="H562" s="21" t="s">
        <v>2402</v>
      </c>
      <c r="I562" s="12" t="s">
        <v>2667</v>
      </c>
      <c r="J562" s="12" t="s">
        <v>2529</v>
      </c>
      <c r="K562" s="12" t="s">
        <v>2936</v>
      </c>
      <c r="L562" s="12" t="s">
        <v>2937</v>
      </c>
      <c r="M562" s="12" t="s">
        <v>2938</v>
      </c>
    </row>
    <row r="563" spans="1:13" ht="52.8">
      <c r="A563" s="21" t="s">
        <v>2398</v>
      </c>
      <c r="B563" s="21" t="s">
        <v>2399</v>
      </c>
      <c r="C563" s="21" t="s">
        <v>526</v>
      </c>
      <c r="D563" s="21" t="s">
        <v>71</v>
      </c>
      <c r="E563" s="21" t="s">
        <v>2400</v>
      </c>
      <c r="F563" s="21" t="s">
        <v>2399</v>
      </c>
      <c r="G563" s="21" t="s">
        <v>2401</v>
      </c>
      <c r="H563" s="21" t="s">
        <v>2402</v>
      </c>
      <c r="I563" s="12" t="s">
        <v>2668</v>
      </c>
      <c r="J563" s="12" t="s">
        <v>2530</v>
      </c>
      <c r="K563" s="12"/>
      <c r="L563" s="12" t="s">
        <v>2939</v>
      </c>
      <c r="M563" s="12" t="s">
        <v>2940</v>
      </c>
    </row>
    <row r="564" spans="1:13" ht="52.8">
      <c r="A564" s="21" t="s">
        <v>2398</v>
      </c>
      <c r="B564" s="21" t="s">
        <v>2399</v>
      </c>
      <c r="C564" s="21" t="s">
        <v>526</v>
      </c>
      <c r="D564" s="21" t="s">
        <v>71</v>
      </c>
      <c r="E564" s="21" t="s">
        <v>2400</v>
      </c>
      <c r="F564" s="21" t="s">
        <v>2399</v>
      </c>
      <c r="G564" s="21" t="s">
        <v>2401</v>
      </c>
      <c r="H564" s="21" t="s">
        <v>2402</v>
      </c>
      <c r="I564" s="12" t="s">
        <v>2669</v>
      </c>
      <c r="J564" s="12" t="s">
        <v>2531</v>
      </c>
      <c r="K564" s="12"/>
      <c r="L564" s="12" t="s">
        <v>2941</v>
      </c>
      <c r="M564" s="12" t="s">
        <v>2942</v>
      </c>
    </row>
    <row r="565" spans="1:13" ht="52.8">
      <c r="A565" s="21" t="s">
        <v>2398</v>
      </c>
      <c r="B565" s="21" t="s">
        <v>2399</v>
      </c>
      <c r="C565" s="21" t="s">
        <v>526</v>
      </c>
      <c r="D565" s="21" t="s">
        <v>71</v>
      </c>
      <c r="E565" s="21" t="s">
        <v>2400</v>
      </c>
      <c r="F565" s="21" t="s">
        <v>2399</v>
      </c>
      <c r="G565" s="21" t="s">
        <v>2401</v>
      </c>
      <c r="H565" s="21" t="s">
        <v>2402</v>
      </c>
      <c r="I565" s="12" t="s">
        <v>2670</v>
      </c>
      <c r="J565" s="12" t="s">
        <v>2532</v>
      </c>
      <c r="K565" s="12"/>
      <c r="L565" s="12" t="s">
        <v>2943</v>
      </c>
      <c r="M565" s="12" t="s">
        <v>2944</v>
      </c>
    </row>
    <row r="566" spans="1:13" ht="52.8">
      <c r="A566" s="21" t="s">
        <v>2398</v>
      </c>
      <c r="B566" s="21" t="s">
        <v>2399</v>
      </c>
      <c r="C566" s="21" t="s">
        <v>526</v>
      </c>
      <c r="D566" s="21" t="s">
        <v>71</v>
      </c>
      <c r="E566" s="21" t="s">
        <v>2400</v>
      </c>
      <c r="F566" s="21" t="s">
        <v>2399</v>
      </c>
      <c r="G566" s="21" t="s">
        <v>2401</v>
      </c>
      <c r="H566" s="21" t="s">
        <v>2402</v>
      </c>
      <c r="I566" s="12" t="s">
        <v>2671</v>
      </c>
      <c r="J566" s="12" t="s">
        <v>2533</v>
      </c>
      <c r="K566" s="12"/>
      <c r="L566" s="12" t="s">
        <v>2945</v>
      </c>
      <c r="M566" s="12" t="s">
        <v>2946</v>
      </c>
    </row>
    <row r="567" spans="1:13" ht="52.8">
      <c r="A567" s="21" t="s">
        <v>2398</v>
      </c>
      <c r="B567" s="21" t="s">
        <v>2399</v>
      </c>
      <c r="C567" s="21" t="s">
        <v>526</v>
      </c>
      <c r="D567" s="21" t="s">
        <v>71</v>
      </c>
      <c r="E567" s="21" t="s">
        <v>2400</v>
      </c>
      <c r="F567" s="21" t="s">
        <v>2399</v>
      </c>
      <c r="G567" s="21" t="s">
        <v>2401</v>
      </c>
      <c r="H567" s="21" t="s">
        <v>2402</v>
      </c>
      <c r="I567" s="12" t="s">
        <v>2672</v>
      </c>
      <c r="J567" s="12" t="s">
        <v>2534</v>
      </c>
      <c r="K567" s="12"/>
      <c r="L567" s="12" t="s">
        <v>2947</v>
      </c>
      <c r="M567" s="12" t="s">
        <v>2948</v>
      </c>
    </row>
    <row r="568" spans="1:13" ht="52.8">
      <c r="A568" s="21" t="s">
        <v>2398</v>
      </c>
      <c r="B568" s="21" t="s">
        <v>2399</v>
      </c>
      <c r="C568" s="21" t="s">
        <v>526</v>
      </c>
      <c r="D568" s="21" t="s">
        <v>71</v>
      </c>
      <c r="E568" s="21" t="s">
        <v>2400</v>
      </c>
      <c r="F568" s="21" t="s">
        <v>2399</v>
      </c>
      <c r="G568" s="21" t="s">
        <v>2401</v>
      </c>
      <c r="H568" s="21" t="s">
        <v>2402</v>
      </c>
      <c r="I568" s="12" t="s">
        <v>2673</v>
      </c>
      <c r="J568" s="12" t="s">
        <v>2535</v>
      </c>
      <c r="K568" s="12"/>
      <c r="L568" s="12" t="s">
        <v>2949</v>
      </c>
      <c r="M568" s="12" t="s">
        <v>2950</v>
      </c>
    </row>
    <row r="569" spans="1:13" ht="52.8">
      <c r="A569" s="21" t="s">
        <v>2398</v>
      </c>
      <c r="B569" s="21" t="s">
        <v>2399</v>
      </c>
      <c r="C569" s="21" t="s">
        <v>526</v>
      </c>
      <c r="D569" s="21" t="s">
        <v>71</v>
      </c>
      <c r="E569" s="21" t="s">
        <v>2400</v>
      </c>
      <c r="F569" s="21" t="s">
        <v>2399</v>
      </c>
      <c r="G569" s="21" t="s">
        <v>2401</v>
      </c>
      <c r="H569" s="21" t="s">
        <v>2402</v>
      </c>
      <c r="I569" s="12" t="s">
        <v>2674</v>
      </c>
      <c r="J569" s="12" t="s">
        <v>2536</v>
      </c>
      <c r="K569" s="12"/>
      <c r="L569" s="12" t="s">
        <v>2951</v>
      </c>
      <c r="M569" s="12" t="s">
        <v>2952</v>
      </c>
    </row>
    <row r="570" spans="1:13" ht="52.8">
      <c r="A570" s="21" t="s">
        <v>2398</v>
      </c>
      <c r="B570" s="21" t="s">
        <v>2399</v>
      </c>
      <c r="C570" s="21" t="s">
        <v>526</v>
      </c>
      <c r="D570" s="21" t="s">
        <v>71</v>
      </c>
      <c r="E570" s="21" t="s">
        <v>2400</v>
      </c>
      <c r="F570" s="21" t="s">
        <v>2399</v>
      </c>
      <c r="G570" s="21" t="s">
        <v>2401</v>
      </c>
      <c r="H570" s="21" t="s">
        <v>2402</v>
      </c>
      <c r="I570" s="12" t="s">
        <v>2082</v>
      </c>
      <c r="J570" s="12" t="s">
        <v>2537</v>
      </c>
      <c r="K570" s="12"/>
      <c r="L570" s="12" t="s">
        <v>2953</v>
      </c>
      <c r="M570" s="12" t="s">
        <v>2954</v>
      </c>
    </row>
    <row r="571" spans="1:13" ht="52.8">
      <c r="A571" s="21" t="s">
        <v>2398</v>
      </c>
      <c r="B571" s="21" t="s">
        <v>2399</v>
      </c>
      <c r="C571" s="21" t="s">
        <v>526</v>
      </c>
      <c r="D571" s="21" t="s">
        <v>71</v>
      </c>
      <c r="E571" s="21" t="s">
        <v>2400</v>
      </c>
      <c r="F571" s="21" t="s">
        <v>2399</v>
      </c>
      <c r="G571" s="21" t="s">
        <v>2401</v>
      </c>
      <c r="H571" s="21" t="s">
        <v>2402</v>
      </c>
      <c r="I571" s="12" t="s">
        <v>2675</v>
      </c>
      <c r="J571" s="12" t="s">
        <v>2538</v>
      </c>
      <c r="K571" s="12"/>
      <c r="L571" s="12" t="s">
        <v>2955</v>
      </c>
      <c r="M571" s="12" t="s">
        <v>2956</v>
      </c>
    </row>
    <row r="572" spans="1:13" ht="52.8">
      <c r="A572" s="21" t="s">
        <v>2398</v>
      </c>
      <c r="B572" s="21" t="s">
        <v>2399</v>
      </c>
      <c r="C572" s="21" t="s">
        <v>526</v>
      </c>
      <c r="D572" s="21" t="s">
        <v>71</v>
      </c>
      <c r="E572" s="21" t="s">
        <v>2400</v>
      </c>
      <c r="F572" s="21" t="s">
        <v>2399</v>
      </c>
      <c r="G572" s="21" t="s">
        <v>2401</v>
      </c>
      <c r="H572" s="21" t="s">
        <v>2402</v>
      </c>
      <c r="I572" s="12" t="s">
        <v>2676</v>
      </c>
      <c r="J572" s="12" t="s">
        <v>2539</v>
      </c>
      <c r="K572" s="12"/>
      <c r="L572" s="12" t="s">
        <v>2957</v>
      </c>
      <c r="M572" s="12" t="s">
        <v>2958</v>
      </c>
    </row>
    <row r="573" spans="1:13" ht="52.8">
      <c r="A573" s="21" t="s">
        <v>2398</v>
      </c>
      <c r="B573" s="21" t="s">
        <v>2399</v>
      </c>
      <c r="C573" s="21" t="s">
        <v>526</v>
      </c>
      <c r="D573" s="21" t="s">
        <v>71</v>
      </c>
      <c r="E573" s="21" t="s">
        <v>2400</v>
      </c>
      <c r="F573" s="21" t="s">
        <v>2399</v>
      </c>
      <c r="G573" s="21" t="s">
        <v>2401</v>
      </c>
      <c r="H573" s="21" t="s">
        <v>2402</v>
      </c>
      <c r="I573" s="12" t="s">
        <v>2677</v>
      </c>
      <c r="J573" s="12" t="s">
        <v>2540</v>
      </c>
      <c r="K573" s="12"/>
      <c r="L573" s="12" t="s">
        <v>2959</v>
      </c>
      <c r="M573" s="12" t="s">
        <v>2960</v>
      </c>
    </row>
    <row r="574" spans="1:13" ht="52.8">
      <c r="A574" s="21" t="s">
        <v>2049</v>
      </c>
      <c r="B574" s="21" t="s">
        <v>1982</v>
      </c>
      <c r="C574" s="21" t="s">
        <v>1955</v>
      </c>
      <c r="D574" s="21" t="s">
        <v>331</v>
      </c>
      <c r="E574" s="21" t="s">
        <v>2050</v>
      </c>
      <c r="F574" s="21" t="s">
        <v>1982</v>
      </c>
      <c r="G574" s="21" t="s">
        <v>2051</v>
      </c>
      <c r="H574" s="21" t="s">
        <v>2052</v>
      </c>
      <c r="I574" s="12" t="s">
        <v>2053</v>
      </c>
      <c r="J574" s="12" t="s">
        <v>2056</v>
      </c>
      <c r="K574" s="12" t="s">
        <v>2059</v>
      </c>
      <c r="L574" s="12" t="s">
        <v>2060</v>
      </c>
      <c r="M574" s="12" t="s">
        <v>2059</v>
      </c>
    </row>
    <row r="575" spans="1:13" ht="52.8">
      <c r="A575" s="21" t="s">
        <v>2049</v>
      </c>
      <c r="B575" s="21" t="s">
        <v>1982</v>
      </c>
      <c r="C575" s="21" t="s">
        <v>1955</v>
      </c>
      <c r="D575" s="21" t="s">
        <v>331</v>
      </c>
      <c r="E575" s="21" t="s">
        <v>2050</v>
      </c>
      <c r="F575" s="21" t="s">
        <v>1982</v>
      </c>
      <c r="G575" s="21" t="s">
        <v>2051</v>
      </c>
      <c r="H575" s="21" t="s">
        <v>2052</v>
      </c>
      <c r="I575" s="12" t="s">
        <v>2054</v>
      </c>
      <c r="J575" s="12" t="s">
        <v>2057</v>
      </c>
      <c r="K575" s="12" t="s">
        <v>2061</v>
      </c>
      <c r="L575" s="12" t="s">
        <v>2062</v>
      </c>
      <c r="M575" s="12" t="s">
        <v>2061</v>
      </c>
    </row>
    <row r="576" spans="1:13" ht="52.8">
      <c r="A576" s="21" t="s">
        <v>2049</v>
      </c>
      <c r="B576" s="21" t="s">
        <v>1982</v>
      </c>
      <c r="C576" s="21" t="s">
        <v>1955</v>
      </c>
      <c r="D576" s="21" t="s">
        <v>331</v>
      </c>
      <c r="E576" s="21" t="s">
        <v>2050</v>
      </c>
      <c r="F576" s="21" t="s">
        <v>1982</v>
      </c>
      <c r="G576" s="21" t="s">
        <v>2051</v>
      </c>
      <c r="H576" s="21" t="s">
        <v>2052</v>
      </c>
      <c r="I576" s="12" t="s">
        <v>346</v>
      </c>
      <c r="J576" s="12" t="s">
        <v>350</v>
      </c>
      <c r="K576" s="12" t="s">
        <v>340</v>
      </c>
      <c r="L576" s="12" t="s">
        <v>341</v>
      </c>
      <c r="M576" s="12" t="s">
        <v>342</v>
      </c>
    </row>
    <row r="577" spans="1:13" ht="52.8">
      <c r="A577" s="21" t="s">
        <v>2049</v>
      </c>
      <c r="B577" s="21" t="s">
        <v>1982</v>
      </c>
      <c r="C577" s="21" t="s">
        <v>1955</v>
      </c>
      <c r="D577" s="21" t="s">
        <v>331</v>
      </c>
      <c r="E577" s="21" t="s">
        <v>2050</v>
      </c>
      <c r="F577" s="21" t="s">
        <v>1982</v>
      </c>
      <c r="G577" s="21" t="s">
        <v>2051</v>
      </c>
      <c r="H577" s="21" t="s">
        <v>2052</v>
      </c>
      <c r="I577" s="12" t="s">
        <v>2055</v>
      </c>
      <c r="J577" s="12" t="s">
        <v>2058</v>
      </c>
      <c r="K577" s="12"/>
      <c r="L577" s="12" t="s">
        <v>2063</v>
      </c>
      <c r="M577" s="12" t="s">
        <v>2064</v>
      </c>
    </row>
    <row r="578" spans="1:13" ht="52.8">
      <c r="A578" s="21" t="s">
        <v>14791</v>
      </c>
      <c r="B578" s="21" t="s">
        <v>14689</v>
      </c>
      <c r="C578" s="21" t="s">
        <v>14793</v>
      </c>
      <c r="D578" s="21" t="s">
        <v>331</v>
      </c>
      <c r="E578" s="21" t="s">
        <v>14792</v>
      </c>
      <c r="F578" s="21" t="s">
        <v>14689</v>
      </c>
      <c r="G578" s="21" t="s">
        <v>14794</v>
      </c>
      <c r="H578" s="21" t="s">
        <v>14795</v>
      </c>
      <c r="I578" s="12" t="s">
        <v>14796</v>
      </c>
      <c r="J578" s="12" t="s">
        <v>14802</v>
      </c>
      <c r="K578" s="12"/>
      <c r="L578" s="12" t="s">
        <v>14808</v>
      </c>
      <c r="M578" s="12" t="s">
        <v>14809</v>
      </c>
    </row>
    <row r="579" spans="1:13" ht="52.8">
      <c r="A579" s="21" t="s">
        <v>14791</v>
      </c>
      <c r="B579" s="21" t="s">
        <v>14689</v>
      </c>
      <c r="C579" s="21" t="s">
        <v>14793</v>
      </c>
      <c r="D579" s="21" t="s">
        <v>331</v>
      </c>
      <c r="E579" s="21" t="s">
        <v>14792</v>
      </c>
      <c r="F579" s="21" t="s">
        <v>14689</v>
      </c>
      <c r="G579" s="21" t="s">
        <v>14794</v>
      </c>
      <c r="H579" s="21" t="s">
        <v>14795</v>
      </c>
      <c r="I579" s="12" t="s">
        <v>14797</v>
      </c>
      <c r="J579" s="12" t="s">
        <v>14803</v>
      </c>
      <c r="K579" s="12"/>
      <c r="L579" s="12" t="s">
        <v>14810</v>
      </c>
      <c r="M579" s="12" t="s">
        <v>14811</v>
      </c>
    </row>
    <row r="580" spans="1:13" ht="52.8">
      <c r="A580" s="21" t="s">
        <v>14791</v>
      </c>
      <c r="B580" s="21" t="s">
        <v>14689</v>
      </c>
      <c r="C580" s="21" t="s">
        <v>14793</v>
      </c>
      <c r="D580" s="21" t="s">
        <v>331</v>
      </c>
      <c r="E580" s="21" t="s">
        <v>14792</v>
      </c>
      <c r="F580" s="21" t="s">
        <v>14689</v>
      </c>
      <c r="G580" s="21" t="s">
        <v>14794</v>
      </c>
      <c r="H580" s="21" t="s">
        <v>14795</v>
      </c>
      <c r="I580" s="12" t="s">
        <v>14798</v>
      </c>
      <c r="J580" s="12" t="s">
        <v>14804</v>
      </c>
      <c r="K580" s="12"/>
      <c r="L580" s="12" t="s">
        <v>14812</v>
      </c>
      <c r="M580" s="12" t="s">
        <v>14813</v>
      </c>
    </row>
    <row r="581" spans="1:13" ht="52.8">
      <c r="A581" s="21" t="s">
        <v>14791</v>
      </c>
      <c r="B581" s="21" t="s">
        <v>14689</v>
      </c>
      <c r="C581" s="21" t="s">
        <v>14793</v>
      </c>
      <c r="D581" s="21" t="s">
        <v>331</v>
      </c>
      <c r="E581" s="21" t="s">
        <v>14792</v>
      </c>
      <c r="F581" s="21" t="s">
        <v>14689</v>
      </c>
      <c r="G581" s="21" t="s">
        <v>14794</v>
      </c>
      <c r="H581" s="21" t="s">
        <v>14795</v>
      </c>
      <c r="I581" s="12" t="s">
        <v>14799</v>
      </c>
      <c r="J581" s="12" t="s">
        <v>14805</v>
      </c>
      <c r="K581" s="12"/>
      <c r="L581" s="12" t="s">
        <v>14814</v>
      </c>
      <c r="M581" s="12" t="s">
        <v>14815</v>
      </c>
    </row>
    <row r="582" spans="1:13" ht="52.8">
      <c r="A582" s="21" t="s">
        <v>14791</v>
      </c>
      <c r="B582" s="21" t="s">
        <v>14689</v>
      </c>
      <c r="C582" s="21" t="s">
        <v>14793</v>
      </c>
      <c r="D582" s="21" t="s">
        <v>331</v>
      </c>
      <c r="E582" s="21" t="s">
        <v>14792</v>
      </c>
      <c r="F582" s="21" t="s">
        <v>14689</v>
      </c>
      <c r="G582" s="21" t="s">
        <v>14794</v>
      </c>
      <c r="H582" s="21" t="s">
        <v>14795</v>
      </c>
      <c r="I582" s="12" t="s">
        <v>14800</v>
      </c>
      <c r="J582" s="12" t="s">
        <v>14806</v>
      </c>
      <c r="K582" s="12"/>
      <c r="L582" s="12" t="s">
        <v>14816</v>
      </c>
      <c r="M582" s="12" t="s">
        <v>14817</v>
      </c>
    </row>
    <row r="583" spans="1:13" ht="52.8">
      <c r="A583" s="21" t="s">
        <v>14791</v>
      </c>
      <c r="B583" s="21" t="s">
        <v>14689</v>
      </c>
      <c r="C583" s="21" t="s">
        <v>14793</v>
      </c>
      <c r="D583" s="21" t="s">
        <v>331</v>
      </c>
      <c r="E583" s="21" t="s">
        <v>14792</v>
      </c>
      <c r="F583" s="21" t="s">
        <v>14689</v>
      </c>
      <c r="G583" s="21" t="s">
        <v>14794</v>
      </c>
      <c r="H583" s="21" t="s">
        <v>14795</v>
      </c>
      <c r="I583" s="12" t="s">
        <v>14801</v>
      </c>
      <c r="J583" s="12" t="s">
        <v>14807</v>
      </c>
      <c r="K583" s="12"/>
      <c r="L583" s="12" t="s">
        <v>14818</v>
      </c>
      <c r="M583" s="12" t="s">
        <v>14819</v>
      </c>
    </row>
    <row r="584" spans="1:13" ht="52.8">
      <c r="A584" s="21" t="s">
        <v>14791</v>
      </c>
      <c r="B584" s="21" t="s">
        <v>14689</v>
      </c>
      <c r="C584" s="21" t="s">
        <v>14793</v>
      </c>
      <c r="D584" s="21" t="s">
        <v>331</v>
      </c>
      <c r="E584" s="21" t="s">
        <v>14792</v>
      </c>
      <c r="F584" s="21" t="s">
        <v>14689</v>
      </c>
      <c r="G584" s="21" t="s">
        <v>14794</v>
      </c>
      <c r="H584" s="21" t="s">
        <v>14795</v>
      </c>
      <c r="I584" s="12" t="s">
        <v>2638</v>
      </c>
      <c r="J584" s="12" t="s">
        <v>349</v>
      </c>
      <c r="K584" s="12" t="s">
        <v>337</v>
      </c>
      <c r="L584" s="12" t="s">
        <v>338</v>
      </c>
      <c r="M584" s="12" t="s">
        <v>339</v>
      </c>
    </row>
    <row r="585" spans="1:13" ht="52.8">
      <c r="A585" s="21" t="s">
        <v>14791</v>
      </c>
      <c r="B585" s="21" t="s">
        <v>14689</v>
      </c>
      <c r="C585" s="21" t="s">
        <v>14793</v>
      </c>
      <c r="D585" s="21" t="s">
        <v>331</v>
      </c>
      <c r="E585" s="21" t="s">
        <v>14792</v>
      </c>
      <c r="F585" s="21" t="s">
        <v>14689</v>
      </c>
      <c r="G585" s="21" t="s">
        <v>14794</v>
      </c>
      <c r="H585" s="21" t="s">
        <v>14795</v>
      </c>
      <c r="I585" s="12" t="s">
        <v>2082</v>
      </c>
      <c r="J585" s="12" t="s">
        <v>350</v>
      </c>
      <c r="K585" s="12" t="s">
        <v>340</v>
      </c>
      <c r="L585" s="12" t="s">
        <v>341</v>
      </c>
      <c r="M585" s="12" t="s">
        <v>342</v>
      </c>
    </row>
    <row r="586" spans="1:13" ht="52.8">
      <c r="A586" s="21" t="s">
        <v>14843</v>
      </c>
      <c r="B586" s="21" t="s">
        <v>14840</v>
      </c>
      <c r="C586" s="21" t="s">
        <v>14839</v>
      </c>
      <c r="D586" s="21" t="s">
        <v>331</v>
      </c>
      <c r="E586" s="21" t="s">
        <v>14838</v>
      </c>
      <c r="F586" s="21" t="s">
        <v>14840</v>
      </c>
      <c r="G586" s="21" t="s">
        <v>14841</v>
      </c>
      <c r="H586" s="21" t="s">
        <v>14842</v>
      </c>
      <c r="I586" s="12" t="s">
        <v>14844</v>
      </c>
      <c r="J586" s="12" t="s">
        <v>14849</v>
      </c>
      <c r="K586" s="12" t="s">
        <v>14854</v>
      </c>
      <c r="L586" s="12" t="s">
        <v>14855</v>
      </c>
      <c r="M586" s="12" t="s">
        <v>14856</v>
      </c>
    </row>
    <row r="587" spans="1:13" ht="52.8">
      <c r="A587" s="21" t="s">
        <v>14843</v>
      </c>
      <c r="B587" s="21" t="s">
        <v>14840</v>
      </c>
      <c r="C587" s="21" t="s">
        <v>14839</v>
      </c>
      <c r="D587" s="21" t="s">
        <v>331</v>
      </c>
      <c r="E587" s="21" t="s">
        <v>14838</v>
      </c>
      <c r="F587" s="21" t="s">
        <v>14840</v>
      </c>
      <c r="G587" s="21" t="s">
        <v>14841</v>
      </c>
      <c r="H587" s="21" t="s">
        <v>14842</v>
      </c>
      <c r="I587" s="12" t="s">
        <v>14845</v>
      </c>
      <c r="J587" s="12" t="s">
        <v>14850</v>
      </c>
      <c r="K587" s="12"/>
      <c r="L587" s="12" t="s">
        <v>14857</v>
      </c>
      <c r="M587" s="12" t="s">
        <v>14858</v>
      </c>
    </row>
    <row r="588" spans="1:13" ht="52.8">
      <c r="A588" s="21" t="s">
        <v>14843</v>
      </c>
      <c r="B588" s="21" t="s">
        <v>14840</v>
      </c>
      <c r="C588" s="21" t="s">
        <v>14839</v>
      </c>
      <c r="D588" s="21" t="s">
        <v>331</v>
      </c>
      <c r="E588" s="21" t="s">
        <v>14838</v>
      </c>
      <c r="F588" s="21" t="s">
        <v>14840</v>
      </c>
      <c r="G588" s="21" t="s">
        <v>14841</v>
      </c>
      <c r="H588" s="21" t="s">
        <v>14842</v>
      </c>
      <c r="I588" s="12" t="s">
        <v>14846</v>
      </c>
      <c r="J588" s="12" t="s">
        <v>14851</v>
      </c>
      <c r="K588" s="12"/>
      <c r="L588" s="12" t="s">
        <v>14859</v>
      </c>
      <c r="M588" s="12" t="s">
        <v>14860</v>
      </c>
    </row>
    <row r="589" spans="1:13" ht="52.8">
      <c r="A589" s="21" t="s">
        <v>14843</v>
      </c>
      <c r="B589" s="21" t="s">
        <v>14840</v>
      </c>
      <c r="C589" s="21" t="s">
        <v>14839</v>
      </c>
      <c r="D589" s="21" t="s">
        <v>331</v>
      </c>
      <c r="E589" s="21" t="s">
        <v>14838</v>
      </c>
      <c r="F589" s="21" t="s">
        <v>14840</v>
      </c>
      <c r="G589" s="21" t="s">
        <v>14841</v>
      </c>
      <c r="H589" s="21" t="s">
        <v>14842</v>
      </c>
      <c r="I589" s="12" t="s">
        <v>14847</v>
      </c>
      <c r="J589" s="12" t="s">
        <v>14852</v>
      </c>
      <c r="K589" s="12"/>
      <c r="L589" s="12" t="s">
        <v>14861</v>
      </c>
      <c r="M589" s="12" t="s">
        <v>14862</v>
      </c>
    </row>
    <row r="590" spans="1:13" ht="52.8">
      <c r="A590" s="21" t="s">
        <v>14843</v>
      </c>
      <c r="B590" s="21" t="s">
        <v>14840</v>
      </c>
      <c r="C590" s="21" t="s">
        <v>14839</v>
      </c>
      <c r="D590" s="21" t="s">
        <v>331</v>
      </c>
      <c r="E590" s="21" t="s">
        <v>14838</v>
      </c>
      <c r="F590" s="21" t="s">
        <v>14840</v>
      </c>
      <c r="G590" s="21" t="s">
        <v>14841</v>
      </c>
      <c r="H590" s="21" t="s">
        <v>14842</v>
      </c>
      <c r="I590" s="12" t="s">
        <v>14848</v>
      </c>
      <c r="J590" s="12" t="s">
        <v>14853</v>
      </c>
      <c r="K590" s="12"/>
      <c r="L590" s="12" t="s">
        <v>14863</v>
      </c>
      <c r="M590" s="12" t="s">
        <v>14864</v>
      </c>
    </row>
    <row r="591" spans="1:13" ht="52.8">
      <c r="A591" s="21" t="s">
        <v>14843</v>
      </c>
      <c r="B591" s="21" t="s">
        <v>14840</v>
      </c>
      <c r="C591" s="21" t="s">
        <v>14839</v>
      </c>
      <c r="D591" s="21" t="s">
        <v>331</v>
      </c>
      <c r="E591" s="21" t="s">
        <v>14838</v>
      </c>
      <c r="F591" s="21" t="s">
        <v>14840</v>
      </c>
      <c r="G591" s="21" t="s">
        <v>14841</v>
      </c>
      <c r="H591" s="21" t="s">
        <v>14842</v>
      </c>
      <c r="I591" s="12" t="s">
        <v>2082</v>
      </c>
      <c r="J591" s="12" t="s">
        <v>350</v>
      </c>
      <c r="K591" s="12" t="s">
        <v>340</v>
      </c>
      <c r="L591" s="12" t="s">
        <v>341</v>
      </c>
      <c r="M591" s="12" t="s">
        <v>342</v>
      </c>
    </row>
    <row r="592" spans="1:13" ht="52.8">
      <c r="A592" s="21" t="s">
        <v>14771</v>
      </c>
      <c r="B592" s="21" t="s">
        <v>14772</v>
      </c>
      <c r="C592" s="21" t="s">
        <v>14636</v>
      </c>
      <c r="D592" s="21" t="s">
        <v>331</v>
      </c>
      <c r="E592" s="21" t="s">
        <v>14773</v>
      </c>
      <c r="F592" s="21" t="s">
        <v>14772</v>
      </c>
      <c r="G592" s="21" t="s">
        <v>14774</v>
      </c>
      <c r="H592" s="21" t="s">
        <v>14775</v>
      </c>
      <c r="I592" s="12" t="s">
        <v>14776</v>
      </c>
      <c r="J592" s="12" t="s">
        <v>14779</v>
      </c>
      <c r="K592" s="12" t="s">
        <v>14782</v>
      </c>
      <c r="L592" s="12" t="s">
        <v>14783</v>
      </c>
      <c r="M592" s="12" t="s">
        <v>14784</v>
      </c>
    </row>
    <row r="593" spans="1:13" ht="66">
      <c r="A593" s="21" t="s">
        <v>14771</v>
      </c>
      <c r="B593" s="21" t="s">
        <v>14772</v>
      </c>
      <c r="C593" s="21" t="s">
        <v>14636</v>
      </c>
      <c r="D593" s="21" t="s">
        <v>331</v>
      </c>
      <c r="E593" s="21" t="s">
        <v>14773</v>
      </c>
      <c r="F593" s="21" t="s">
        <v>14772</v>
      </c>
      <c r="G593" s="21" t="s">
        <v>14774</v>
      </c>
      <c r="H593" s="21" t="s">
        <v>14775</v>
      </c>
      <c r="I593" s="12" t="s">
        <v>14777</v>
      </c>
      <c r="J593" s="12" t="s">
        <v>14780</v>
      </c>
      <c r="K593" s="12" t="s">
        <v>14785</v>
      </c>
      <c r="L593" s="12" t="s">
        <v>14786</v>
      </c>
      <c r="M593" s="12" t="s">
        <v>14787</v>
      </c>
    </row>
    <row r="594" spans="1:13" ht="52.8">
      <c r="A594" s="21" t="s">
        <v>14771</v>
      </c>
      <c r="B594" s="21" t="s">
        <v>14772</v>
      </c>
      <c r="C594" s="21" t="s">
        <v>14636</v>
      </c>
      <c r="D594" s="21" t="s">
        <v>331</v>
      </c>
      <c r="E594" s="21" t="s">
        <v>14773</v>
      </c>
      <c r="F594" s="21" t="s">
        <v>14772</v>
      </c>
      <c r="G594" s="21" t="s">
        <v>14774</v>
      </c>
      <c r="H594" s="21" t="s">
        <v>14775</v>
      </c>
      <c r="I594" s="12" t="s">
        <v>14778</v>
      </c>
      <c r="J594" s="12" t="s">
        <v>14781</v>
      </c>
      <c r="K594" s="12" t="s">
        <v>14788</v>
      </c>
      <c r="L594" s="12" t="s">
        <v>14789</v>
      </c>
      <c r="M594" s="12" t="s">
        <v>14790</v>
      </c>
    </row>
    <row r="595" spans="1:13" ht="26.4">
      <c r="A595" s="21" t="s">
        <v>2021</v>
      </c>
      <c r="B595" s="21" t="s">
        <v>2023</v>
      </c>
      <c r="C595" s="21" t="s">
        <v>1954</v>
      </c>
      <c r="D595" s="21" t="s">
        <v>331</v>
      </c>
      <c r="E595" s="21" t="s">
        <v>2022</v>
      </c>
      <c r="F595" s="21" t="s">
        <v>2023</v>
      </c>
      <c r="G595" s="21" t="s">
        <v>2024</v>
      </c>
      <c r="H595" s="21" t="s">
        <v>2025</v>
      </c>
      <c r="I595" s="12" t="s">
        <v>2028</v>
      </c>
      <c r="J595" s="12" t="s">
        <v>2033</v>
      </c>
      <c r="K595" s="12"/>
      <c r="L595" s="12" t="s">
        <v>2038</v>
      </c>
      <c r="M595" s="12" t="s">
        <v>2039</v>
      </c>
    </row>
    <row r="596" spans="1:13" ht="26.4">
      <c r="A596" s="21" t="s">
        <v>2021</v>
      </c>
      <c r="B596" s="21" t="s">
        <v>2023</v>
      </c>
      <c r="C596" s="21" t="s">
        <v>1954</v>
      </c>
      <c r="D596" s="21" t="s">
        <v>331</v>
      </c>
      <c r="E596" s="21" t="s">
        <v>2022</v>
      </c>
      <c r="F596" s="21" t="s">
        <v>2023</v>
      </c>
      <c r="G596" s="21" t="s">
        <v>2024</v>
      </c>
      <c r="H596" s="21" t="s">
        <v>2025</v>
      </c>
      <c r="I596" s="12" t="s">
        <v>2029</v>
      </c>
      <c r="J596" s="12" t="s">
        <v>2034</v>
      </c>
      <c r="K596" s="12" t="s">
        <v>2040</v>
      </c>
      <c r="L596" s="12" t="s">
        <v>2041</v>
      </c>
      <c r="M596" s="12" t="s">
        <v>2042</v>
      </c>
    </row>
    <row r="597" spans="1:13" ht="52.8">
      <c r="A597" s="21" t="s">
        <v>2021</v>
      </c>
      <c r="B597" s="21" t="s">
        <v>2023</v>
      </c>
      <c r="C597" s="21" t="s">
        <v>1954</v>
      </c>
      <c r="D597" s="21" t="s">
        <v>331</v>
      </c>
      <c r="E597" s="21" t="s">
        <v>2022</v>
      </c>
      <c r="F597" s="21" t="s">
        <v>2023</v>
      </c>
      <c r="G597" s="21" t="s">
        <v>2024</v>
      </c>
      <c r="H597" s="21" t="s">
        <v>2025</v>
      </c>
      <c r="I597" s="12" t="s">
        <v>2030</v>
      </c>
      <c r="J597" s="12" t="s">
        <v>2035</v>
      </c>
      <c r="K597" s="12" t="s">
        <v>2043</v>
      </c>
      <c r="L597" s="12" t="s">
        <v>2044</v>
      </c>
      <c r="M597" s="12" t="s">
        <v>2043</v>
      </c>
    </row>
    <row r="598" spans="1:13" ht="26.4">
      <c r="A598" s="21" t="s">
        <v>2021</v>
      </c>
      <c r="B598" s="21" t="s">
        <v>2023</v>
      </c>
      <c r="C598" s="21" t="s">
        <v>1954</v>
      </c>
      <c r="D598" s="21" t="s">
        <v>331</v>
      </c>
      <c r="E598" s="21" t="s">
        <v>2022</v>
      </c>
      <c r="F598" s="21" t="s">
        <v>2023</v>
      </c>
      <c r="G598" s="21" t="s">
        <v>2024</v>
      </c>
      <c r="H598" s="21" t="s">
        <v>2025</v>
      </c>
      <c r="I598" s="12" t="s">
        <v>2031</v>
      </c>
      <c r="J598" s="12" t="s">
        <v>2036</v>
      </c>
      <c r="K598" s="12" t="s">
        <v>2045</v>
      </c>
      <c r="L598" s="12" t="s">
        <v>2046</v>
      </c>
      <c r="M598" s="12" t="s">
        <v>2045</v>
      </c>
    </row>
    <row r="599" spans="1:13" ht="39.6">
      <c r="A599" s="21" t="s">
        <v>2021</v>
      </c>
      <c r="B599" s="21" t="s">
        <v>2023</v>
      </c>
      <c r="C599" s="21" t="s">
        <v>1954</v>
      </c>
      <c r="D599" s="21" t="s">
        <v>331</v>
      </c>
      <c r="E599" s="21" t="s">
        <v>2022</v>
      </c>
      <c r="F599" s="21" t="s">
        <v>2023</v>
      </c>
      <c r="G599" s="21" t="s">
        <v>2024</v>
      </c>
      <c r="H599" s="21" t="s">
        <v>2025</v>
      </c>
      <c r="I599" s="12" t="s">
        <v>2032</v>
      </c>
      <c r="J599" s="12" t="s">
        <v>2037</v>
      </c>
      <c r="K599" s="12" t="s">
        <v>2047</v>
      </c>
      <c r="L599" s="12" t="s">
        <v>2048</v>
      </c>
      <c r="M599" s="12" t="s">
        <v>2047</v>
      </c>
    </row>
    <row r="600" spans="1:13" ht="105.6">
      <c r="A600" s="21" t="s">
        <v>1023</v>
      </c>
      <c r="B600" s="21" t="s">
        <v>1020</v>
      </c>
      <c r="C600" s="21" t="s">
        <v>1019</v>
      </c>
      <c r="D600" s="21" t="s">
        <v>71</v>
      </c>
      <c r="E600" s="21" t="s">
        <v>1087</v>
      </c>
      <c r="F600" s="21" t="s">
        <v>1020</v>
      </c>
      <c r="G600" s="21" t="s">
        <v>1021</v>
      </c>
      <c r="H600" s="21" t="s">
        <v>1022</v>
      </c>
      <c r="I600" s="12" t="s">
        <v>1024</v>
      </c>
      <c r="J600" s="12" t="s">
        <v>1038</v>
      </c>
      <c r="K600" s="12" t="s">
        <v>1052</v>
      </c>
      <c r="L600" s="12" t="s">
        <v>1053</v>
      </c>
      <c r="M600" s="12" t="s">
        <v>1054</v>
      </c>
    </row>
    <row r="601" spans="1:13" ht="52.8">
      <c r="A601" s="21" t="s">
        <v>1023</v>
      </c>
      <c r="B601" s="21" t="s">
        <v>1020</v>
      </c>
      <c r="C601" s="21" t="s">
        <v>1019</v>
      </c>
      <c r="D601" s="21" t="s">
        <v>71</v>
      </c>
      <c r="E601" s="21" t="s">
        <v>1087</v>
      </c>
      <c r="F601" s="21" t="s">
        <v>1020</v>
      </c>
      <c r="G601" s="21" t="s">
        <v>1021</v>
      </c>
      <c r="H601" s="21" t="s">
        <v>1022</v>
      </c>
      <c r="I601" s="12" t="s">
        <v>1025</v>
      </c>
      <c r="J601" s="12" t="s">
        <v>1039</v>
      </c>
      <c r="K601" s="12" t="s">
        <v>1055</v>
      </c>
      <c r="L601" s="12" t="s">
        <v>1056</v>
      </c>
      <c r="M601" s="12" t="s">
        <v>1057</v>
      </c>
    </row>
    <row r="602" spans="1:13" ht="66">
      <c r="A602" s="21" t="s">
        <v>1023</v>
      </c>
      <c r="B602" s="21" t="s">
        <v>1020</v>
      </c>
      <c r="C602" s="21" t="s">
        <v>1019</v>
      </c>
      <c r="D602" s="21" t="s">
        <v>71</v>
      </c>
      <c r="E602" s="21" t="s">
        <v>1087</v>
      </c>
      <c r="F602" s="21" t="s">
        <v>1020</v>
      </c>
      <c r="G602" s="21" t="s">
        <v>1021</v>
      </c>
      <c r="H602" s="21" t="s">
        <v>1022</v>
      </c>
      <c r="I602" s="12" t="s">
        <v>1026</v>
      </c>
      <c r="J602" s="12" t="s">
        <v>1040</v>
      </c>
      <c r="K602" s="12" t="s">
        <v>1058</v>
      </c>
      <c r="L602" s="12" t="s">
        <v>1059</v>
      </c>
      <c r="M602" s="12" t="s">
        <v>1058</v>
      </c>
    </row>
    <row r="603" spans="1:13" ht="39.6">
      <c r="A603" s="21" t="s">
        <v>1023</v>
      </c>
      <c r="B603" s="21" t="s">
        <v>1020</v>
      </c>
      <c r="C603" s="21" t="s">
        <v>1019</v>
      </c>
      <c r="D603" s="21" t="s">
        <v>71</v>
      </c>
      <c r="E603" s="21" t="s">
        <v>1087</v>
      </c>
      <c r="F603" s="21" t="s">
        <v>1020</v>
      </c>
      <c r="G603" s="21" t="s">
        <v>1021</v>
      </c>
      <c r="H603" s="21" t="s">
        <v>1022</v>
      </c>
      <c r="I603" s="12" t="s">
        <v>1027</v>
      </c>
      <c r="J603" s="12" t="s">
        <v>1041</v>
      </c>
      <c r="K603" s="12" t="s">
        <v>1060</v>
      </c>
      <c r="L603" s="12" t="s">
        <v>1061</v>
      </c>
      <c r="M603" s="12" t="s">
        <v>1062</v>
      </c>
    </row>
    <row r="604" spans="1:13" ht="118.8">
      <c r="A604" s="21" t="s">
        <v>1023</v>
      </c>
      <c r="B604" s="21" t="s">
        <v>1020</v>
      </c>
      <c r="C604" s="21" t="s">
        <v>1019</v>
      </c>
      <c r="D604" s="21" t="s">
        <v>71</v>
      </c>
      <c r="E604" s="21" t="s">
        <v>1087</v>
      </c>
      <c r="F604" s="21" t="s">
        <v>1020</v>
      </c>
      <c r="G604" s="21" t="s">
        <v>1021</v>
      </c>
      <c r="H604" s="21" t="s">
        <v>1022</v>
      </c>
      <c r="I604" s="12" t="s">
        <v>1028</v>
      </c>
      <c r="J604" s="12" t="s">
        <v>1042</v>
      </c>
      <c r="K604" s="12" t="s">
        <v>1063</v>
      </c>
      <c r="L604" s="12" t="s">
        <v>1064</v>
      </c>
      <c r="M604" s="12" t="s">
        <v>1063</v>
      </c>
    </row>
    <row r="605" spans="1:13" ht="52.8">
      <c r="A605" s="21" t="s">
        <v>1023</v>
      </c>
      <c r="B605" s="21" t="s">
        <v>1020</v>
      </c>
      <c r="C605" s="21" t="s">
        <v>1019</v>
      </c>
      <c r="D605" s="21" t="s">
        <v>71</v>
      </c>
      <c r="E605" s="21" t="s">
        <v>1087</v>
      </c>
      <c r="F605" s="21" t="s">
        <v>1020</v>
      </c>
      <c r="G605" s="21" t="s">
        <v>1021</v>
      </c>
      <c r="H605" s="21" t="s">
        <v>1022</v>
      </c>
      <c r="I605" s="12" t="s">
        <v>1029</v>
      </c>
      <c r="J605" s="12" t="s">
        <v>1043</v>
      </c>
      <c r="K605" s="12" t="s">
        <v>1065</v>
      </c>
      <c r="L605" s="12" t="s">
        <v>1066</v>
      </c>
      <c r="M605" s="12" t="s">
        <v>1065</v>
      </c>
    </row>
    <row r="606" spans="1:13" ht="52.8">
      <c r="A606" s="21" t="s">
        <v>1023</v>
      </c>
      <c r="B606" s="21" t="s">
        <v>1020</v>
      </c>
      <c r="C606" s="21" t="s">
        <v>1019</v>
      </c>
      <c r="D606" s="21" t="s">
        <v>71</v>
      </c>
      <c r="E606" s="21" t="s">
        <v>1087</v>
      </c>
      <c r="F606" s="21" t="s">
        <v>1020</v>
      </c>
      <c r="G606" s="21" t="s">
        <v>1021</v>
      </c>
      <c r="H606" s="21" t="s">
        <v>1022</v>
      </c>
      <c r="I606" s="12" t="s">
        <v>1030</v>
      </c>
      <c r="J606" s="12" t="s">
        <v>1044</v>
      </c>
      <c r="K606" s="12" t="s">
        <v>1067</v>
      </c>
      <c r="L606" s="12" t="s">
        <v>1068</v>
      </c>
      <c r="M606" s="12" t="s">
        <v>1067</v>
      </c>
    </row>
    <row r="607" spans="1:13" ht="92.4">
      <c r="A607" s="21" t="s">
        <v>1023</v>
      </c>
      <c r="B607" s="21" t="s">
        <v>1020</v>
      </c>
      <c r="C607" s="21" t="s">
        <v>1019</v>
      </c>
      <c r="D607" s="21" t="s">
        <v>71</v>
      </c>
      <c r="E607" s="21" t="s">
        <v>1087</v>
      </c>
      <c r="F607" s="21" t="s">
        <v>1020</v>
      </c>
      <c r="G607" s="21" t="s">
        <v>1021</v>
      </c>
      <c r="H607" s="21" t="s">
        <v>1022</v>
      </c>
      <c r="I607" s="12" t="s">
        <v>1031</v>
      </c>
      <c r="J607" s="12" t="s">
        <v>1045</v>
      </c>
      <c r="K607" s="12" t="s">
        <v>1069</v>
      </c>
      <c r="L607" s="12" t="s">
        <v>1070</v>
      </c>
      <c r="M607" s="12" t="s">
        <v>1071</v>
      </c>
    </row>
    <row r="608" spans="1:13" ht="158.4">
      <c r="A608" s="21" t="s">
        <v>1023</v>
      </c>
      <c r="B608" s="21" t="s">
        <v>1020</v>
      </c>
      <c r="C608" s="21" t="s">
        <v>1019</v>
      </c>
      <c r="D608" s="21" t="s">
        <v>71</v>
      </c>
      <c r="E608" s="21" t="s">
        <v>1087</v>
      </c>
      <c r="F608" s="21" t="s">
        <v>1020</v>
      </c>
      <c r="G608" s="21" t="s">
        <v>1021</v>
      </c>
      <c r="H608" s="21" t="s">
        <v>1022</v>
      </c>
      <c r="I608" s="12" t="s">
        <v>1032</v>
      </c>
      <c r="J608" s="12" t="s">
        <v>1046</v>
      </c>
      <c r="K608" s="12" t="s">
        <v>1072</v>
      </c>
      <c r="L608" s="12" t="s">
        <v>1073</v>
      </c>
      <c r="M608" s="12" t="s">
        <v>1032</v>
      </c>
    </row>
    <row r="609" spans="1:13" ht="39.6">
      <c r="A609" s="21" t="s">
        <v>1023</v>
      </c>
      <c r="B609" s="21" t="s">
        <v>1020</v>
      </c>
      <c r="C609" s="21" t="s">
        <v>1019</v>
      </c>
      <c r="D609" s="21" t="s">
        <v>71</v>
      </c>
      <c r="E609" s="21" t="s">
        <v>1087</v>
      </c>
      <c r="F609" s="21" t="s">
        <v>1020</v>
      </c>
      <c r="G609" s="21" t="s">
        <v>1021</v>
      </c>
      <c r="H609" s="21" t="s">
        <v>1022</v>
      </c>
      <c r="I609" s="12" t="s">
        <v>1033</v>
      </c>
      <c r="J609" s="12" t="s">
        <v>1047</v>
      </c>
      <c r="K609" s="12" t="s">
        <v>1074</v>
      </c>
      <c r="L609" s="12" t="s">
        <v>1075</v>
      </c>
      <c r="M609" s="12" t="s">
        <v>1074</v>
      </c>
    </row>
    <row r="610" spans="1:13" ht="105.6">
      <c r="A610" s="21" t="s">
        <v>1023</v>
      </c>
      <c r="B610" s="21" t="s">
        <v>1020</v>
      </c>
      <c r="C610" s="21" t="s">
        <v>1019</v>
      </c>
      <c r="D610" s="21" t="s">
        <v>71</v>
      </c>
      <c r="E610" s="21" t="s">
        <v>1087</v>
      </c>
      <c r="F610" s="21" t="s">
        <v>1020</v>
      </c>
      <c r="G610" s="21" t="s">
        <v>1021</v>
      </c>
      <c r="H610" s="21" t="s">
        <v>1022</v>
      </c>
      <c r="I610" s="12" t="s">
        <v>1034</v>
      </c>
      <c r="J610" s="12" t="s">
        <v>1048</v>
      </c>
      <c r="K610" s="12" t="s">
        <v>1076</v>
      </c>
      <c r="L610" s="12" t="s">
        <v>1077</v>
      </c>
      <c r="M610" s="12" t="s">
        <v>1078</v>
      </c>
    </row>
    <row r="611" spans="1:13" ht="92.4">
      <c r="A611" s="21" t="s">
        <v>1023</v>
      </c>
      <c r="B611" s="21" t="s">
        <v>1020</v>
      </c>
      <c r="C611" s="21" t="s">
        <v>1019</v>
      </c>
      <c r="D611" s="21" t="s">
        <v>71</v>
      </c>
      <c r="E611" s="21" t="s">
        <v>1087</v>
      </c>
      <c r="F611" s="21" t="s">
        <v>1020</v>
      </c>
      <c r="G611" s="21" t="s">
        <v>1021</v>
      </c>
      <c r="H611" s="21" t="s">
        <v>1022</v>
      </c>
      <c r="I611" s="12" t="s">
        <v>1035</v>
      </c>
      <c r="J611" s="12" t="s">
        <v>1049</v>
      </c>
      <c r="K611" s="12" t="s">
        <v>1079</v>
      </c>
      <c r="L611" s="12" t="s">
        <v>1080</v>
      </c>
      <c r="M611" s="12" t="s">
        <v>1079</v>
      </c>
    </row>
    <row r="612" spans="1:13" ht="52.8">
      <c r="A612" s="21" t="s">
        <v>1023</v>
      </c>
      <c r="B612" s="21" t="s">
        <v>1020</v>
      </c>
      <c r="C612" s="21" t="s">
        <v>1019</v>
      </c>
      <c r="D612" s="21" t="s">
        <v>71</v>
      </c>
      <c r="E612" s="21" t="s">
        <v>1087</v>
      </c>
      <c r="F612" s="21" t="s">
        <v>1020</v>
      </c>
      <c r="G612" s="21" t="s">
        <v>1021</v>
      </c>
      <c r="H612" s="21" t="s">
        <v>1022</v>
      </c>
      <c r="I612" s="12" t="s">
        <v>1036</v>
      </c>
      <c r="J612" s="12" t="s">
        <v>1050</v>
      </c>
      <c r="K612" s="12" t="s">
        <v>1081</v>
      </c>
      <c r="L612" s="12" t="s">
        <v>1082</v>
      </c>
      <c r="M612" s="12" t="s">
        <v>1083</v>
      </c>
    </row>
    <row r="613" spans="1:13" ht="52.8">
      <c r="A613" s="21" t="s">
        <v>1023</v>
      </c>
      <c r="B613" s="21" t="s">
        <v>1020</v>
      </c>
      <c r="C613" s="21" t="s">
        <v>1019</v>
      </c>
      <c r="D613" s="21" t="s">
        <v>71</v>
      </c>
      <c r="E613" s="21" t="s">
        <v>1087</v>
      </c>
      <c r="F613" s="21" t="s">
        <v>1020</v>
      </c>
      <c r="G613" s="21" t="s">
        <v>1021</v>
      </c>
      <c r="H613" s="21" t="s">
        <v>1022</v>
      </c>
      <c r="I613" s="12" t="s">
        <v>1037</v>
      </c>
      <c r="J613" s="12" t="s">
        <v>1051</v>
      </c>
      <c r="K613" s="12" t="s">
        <v>1084</v>
      </c>
      <c r="L613" s="12" t="s">
        <v>1085</v>
      </c>
      <c r="M613" s="12" t="s">
        <v>1086</v>
      </c>
    </row>
    <row r="614" spans="1:13" ht="26.4">
      <c r="A614" s="21" t="s">
        <v>7833</v>
      </c>
      <c r="B614" s="21" t="s">
        <v>7834</v>
      </c>
      <c r="C614" s="21" t="s">
        <v>7835</v>
      </c>
      <c r="D614" s="21" t="s">
        <v>331</v>
      </c>
      <c r="E614" s="21" t="s">
        <v>7836</v>
      </c>
      <c r="F614" s="21" t="s">
        <v>7834</v>
      </c>
      <c r="G614" s="21" t="s">
        <v>7837</v>
      </c>
      <c r="H614" s="21" t="s">
        <v>7838</v>
      </c>
      <c r="I614" s="12" t="s">
        <v>7839</v>
      </c>
      <c r="J614" s="12" t="s">
        <v>7840</v>
      </c>
      <c r="K614" s="12"/>
      <c r="L614" s="12" t="s">
        <v>7837</v>
      </c>
      <c r="M614" s="12" t="s">
        <v>7834</v>
      </c>
    </row>
    <row r="615" spans="1:13" ht="92.4">
      <c r="A615" s="21" t="s">
        <v>2099</v>
      </c>
      <c r="B615" s="21" t="s">
        <v>2100</v>
      </c>
      <c r="C615" s="21" t="s">
        <v>1957</v>
      </c>
      <c r="D615" s="21" t="s">
        <v>331</v>
      </c>
      <c r="E615" s="21" t="s">
        <v>2101</v>
      </c>
      <c r="F615" s="21" t="s">
        <v>2100</v>
      </c>
      <c r="G615" s="21" t="s">
        <v>2102</v>
      </c>
      <c r="H615" s="21" t="s">
        <v>2103</v>
      </c>
      <c r="I615" s="12" t="s">
        <v>2106</v>
      </c>
      <c r="J615" s="12" t="s">
        <v>2104</v>
      </c>
      <c r="K615" s="12"/>
      <c r="L615" s="12" t="s">
        <v>2108</v>
      </c>
      <c r="M615" s="12" t="s">
        <v>2109</v>
      </c>
    </row>
    <row r="616" spans="1:13" ht="92.4">
      <c r="A616" s="21" t="s">
        <v>2099</v>
      </c>
      <c r="B616" s="21" t="s">
        <v>2100</v>
      </c>
      <c r="C616" s="21" t="s">
        <v>1957</v>
      </c>
      <c r="D616" s="21" t="s">
        <v>331</v>
      </c>
      <c r="E616" s="21" t="s">
        <v>2101</v>
      </c>
      <c r="F616" s="21" t="s">
        <v>2100</v>
      </c>
      <c r="G616" s="21" t="s">
        <v>2102</v>
      </c>
      <c r="H616" s="21" t="s">
        <v>2103</v>
      </c>
      <c r="I616" s="12" t="s">
        <v>2107</v>
      </c>
      <c r="J616" s="12" t="s">
        <v>2105</v>
      </c>
      <c r="K616" s="12"/>
      <c r="L616" s="12" t="s">
        <v>2110</v>
      </c>
      <c r="M616" s="12" t="s">
        <v>2111</v>
      </c>
    </row>
    <row r="617" spans="1:13" ht="92.4">
      <c r="A617" s="21" t="s">
        <v>2099</v>
      </c>
      <c r="B617" s="21" t="s">
        <v>2100</v>
      </c>
      <c r="C617" s="21" t="s">
        <v>1957</v>
      </c>
      <c r="D617" s="21" t="s">
        <v>331</v>
      </c>
      <c r="E617" s="21" t="s">
        <v>2101</v>
      </c>
      <c r="F617" s="21" t="s">
        <v>2100</v>
      </c>
      <c r="G617" s="21" t="s">
        <v>2102</v>
      </c>
      <c r="H617" s="21" t="s">
        <v>2103</v>
      </c>
      <c r="I617" s="12" t="s">
        <v>2080</v>
      </c>
      <c r="J617" s="12" t="s">
        <v>2073</v>
      </c>
      <c r="K617" s="12" t="s">
        <v>2092</v>
      </c>
      <c r="L617" s="12" t="s">
        <v>2093</v>
      </c>
      <c r="M617" s="12" t="s">
        <v>2094</v>
      </c>
    </row>
    <row r="618" spans="1:13" ht="92.4">
      <c r="A618" s="21" t="s">
        <v>2099</v>
      </c>
      <c r="B618" s="21" t="s">
        <v>2100</v>
      </c>
      <c r="C618" s="21" t="s">
        <v>1957</v>
      </c>
      <c r="D618" s="21" t="s">
        <v>331</v>
      </c>
      <c r="E618" s="21" t="s">
        <v>2101</v>
      </c>
      <c r="F618" s="21" t="s">
        <v>2100</v>
      </c>
      <c r="G618" s="21" t="s">
        <v>2102</v>
      </c>
      <c r="H618" s="21" t="s">
        <v>2103</v>
      </c>
      <c r="I618" s="12" t="s">
        <v>2082</v>
      </c>
      <c r="J618" s="12" t="s">
        <v>350</v>
      </c>
      <c r="K618" s="12" t="s">
        <v>340</v>
      </c>
      <c r="L618" s="12" t="s">
        <v>341</v>
      </c>
      <c r="M618" s="12" t="s">
        <v>342</v>
      </c>
    </row>
    <row r="619" spans="1:13" ht="66">
      <c r="A619" s="21" t="s">
        <v>402</v>
      </c>
      <c r="B619" s="21" t="s">
        <v>391</v>
      </c>
      <c r="C619" s="21" t="s">
        <v>372</v>
      </c>
      <c r="D619" s="21" t="s">
        <v>331</v>
      </c>
      <c r="E619" s="22" t="s">
        <v>390</v>
      </c>
      <c r="F619" s="22" t="s">
        <v>391</v>
      </c>
      <c r="G619" s="21" t="s">
        <v>392</v>
      </c>
      <c r="H619" s="21" t="s">
        <v>393</v>
      </c>
      <c r="I619" s="12" t="s">
        <v>394</v>
      </c>
      <c r="J619" s="12" t="s">
        <v>396</v>
      </c>
      <c r="K619" s="12"/>
      <c r="L619" s="12" t="s">
        <v>398</v>
      </c>
      <c r="M619" s="12" t="s">
        <v>399</v>
      </c>
    </row>
    <row r="620" spans="1:13" ht="66">
      <c r="A620" s="21" t="s">
        <v>402</v>
      </c>
      <c r="B620" s="21" t="s">
        <v>391</v>
      </c>
      <c r="C620" s="21" t="s">
        <v>372</v>
      </c>
      <c r="D620" s="21" t="s">
        <v>331</v>
      </c>
      <c r="E620" s="22" t="s">
        <v>390</v>
      </c>
      <c r="F620" s="22" t="s">
        <v>391</v>
      </c>
      <c r="G620" s="21" t="s">
        <v>392</v>
      </c>
      <c r="H620" s="21" t="s">
        <v>393</v>
      </c>
      <c r="I620" s="12" t="s">
        <v>395</v>
      </c>
      <c r="J620" s="12" t="s">
        <v>397</v>
      </c>
      <c r="K620" s="12"/>
      <c r="L620" s="12" t="s">
        <v>400</v>
      </c>
      <c r="M620" s="12" t="s">
        <v>401</v>
      </c>
    </row>
    <row r="621" spans="1:13" ht="52.8">
      <c r="A621" s="21" t="s">
        <v>1006</v>
      </c>
      <c r="B621" s="21" t="s">
        <v>1007</v>
      </c>
      <c r="C621" s="21" t="s">
        <v>407</v>
      </c>
      <c r="D621" s="21" t="s">
        <v>71</v>
      </c>
      <c r="E621" s="22" t="s">
        <v>1005</v>
      </c>
      <c r="F621" s="22" t="s">
        <v>1007</v>
      </c>
      <c r="G621" s="21" t="s">
        <v>1008</v>
      </c>
      <c r="H621" s="21" t="s">
        <v>1009</v>
      </c>
      <c r="I621" s="12" t="s">
        <v>683</v>
      </c>
      <c r="J621" s="12" t="s">
        <v>560</v>
      </c>
      <c r="K621" s="12" t="s">
        <v>683</v>
      </c>
      <c r="L621" s="12" t="s">
        <v>684</v>
      </c>
      <c r="M621" s="12" t="s">
        <v>685</v>
      </c>
    </row>
    <row r="622" spans="1:13" ht="66">
      <c r="A622" s="21" t="s">
        <v>1006</v>
      </c>
      <c r="B622" s="21" t="s">
        <v>1007</v>
      </c>
      <c r="C622" s="21" t="s">
        <v>407</v>
      </c>
      <c r="D622" s="21" t="s">
        <v>71</v>
      </c>
      <c r="E622" s="22" t="s">
        <v>1005</v>
      </c>
      <c r="F622" s="22" t="s">
        <v>1007</v>
      </c>
      <c r="G622" s="21" t="s">
        <v>1008</v>
      </c>
      <c r="H622" s="21" t="s">
        <v>1009</v>
      </c>
      <c r="I622" s="12" t="s">
        <v>686</v>
      </c>
      <c r="J622" s="12" t="s">
        <v>561</v>
      </c>
      <c r="K622" s="12" t="s">
        <v>686</v>
      </c>
      <c r="L622" s="12" t="s">
        <v>687</v>
      </c>
      <c r="M622" s="12" t="s">
        <v>688</v>
      </c>
    </row>
    <row r="623" spans="1:13" ht="52.8">
      <c r="A623" s="21" t="s">
        <v>1006</v>
      </c>
      <c r="B623" s="21" t="s">
        <v>1007</v>
      </c>
      <c r="C623" s="21" t="s">
        <v>407</v>
      </c>
      <c r="D623" s="21" t="s">
        <v>71</v>
      </c>
      <c r="E623" s="22" t="s">
        <v>1005</v>
      </c>
      <c r="F623" s="22" t="s">
        <v>1007</v>
      </c>
      <c r="G623" s="21" t="s">
        <v>1008</v>
      </c>
      <c r="H623" s="21" t="s">
        <v>1009</v>
      </c>
      <c r="I623" s="12" t="s">
        <v>689</v>
      </c>
      <c r="J623" s="12" t="s">
        <v>562</v>
      </c>
      <c r="K623" s="12" t="s">
        <v>689</v>
      </c>
      <c r="L623" s="12" t="s">
        <v>690</v>
      </c>
      <c r="M623" s="12" t="s">
        <v>691</v>
      </c>
    </row>
    <row r="624" spans="1:13" ht="52.8">
      <c r="A624" s="21" t="s">
        <v>1006</v>
      </c>
      <c r="B624" s="21" t="s">
        <v>1007</v>
      </c>
      <c r="C624" s="21" t="s">
        <v>407</v>
      </c>
      <c r="D624" s="21" t="s">
        <v>71</v>
      </c>
      <c r="E624" s="22" t="s">
        <v>1005</v>
      </c>
      <c r="F624" s="22" t="s">
        <v>1007</v>
      </c>
      <c r="G624" s="21" t="s">
        <v>1008</v>
      </c>
      <c r="H624" s="21" t="s">
        <v>1009</v>
      </c>
      <c r="I624" s="12" t="s">
        <v>867</v>
      </c>
      <c r="J624" s="12" t="s">
        <v>629</v>
      </c>
      <c r="K624" s="12" t="s">
        <v>867</v>
      </c>
      <c r="L624" s="12" t="s">
        <v>868</v>
      </c>
      <c r="M624" s="12" t="s">
        <v>867</v>
      </c>
    </row>
    <row r="625" spans="1:13" ht="52.8">
      <c r="A625" s="21" t="s">
        <v>1006</v>
      </c>
      <c r="B625" s="21" t="s">
        <v>1007</v>
      </c>
      <c r="C625" s="21" t="s">
        <v>407</v>
      </c>
      <c r="D625" s="21" t="s">
        <v>71</v>
      </c>
      <c r="E625" s="22" t="s">
        <v>1005</v>
      </c>
      <c r="F625" s="22" t="s">
        <v>1007</v>
      </c>
      <c r="G625" s="21" t="s">
        <v>1008</v>
      </c>
      <c r="H625" s="21" t="s">
        <v>1009</v>
      </c>
      <c r="I625" s="12" t="s">
        <v>696</v>
      </c>
      <c r="J625" s="12" t="s">
        <v>565</v>
      </c>
      <c r="K625" s="12" t="s">
        <v>696</v>
      </c>
      <c r="L625" s="12" t="s">
        <v>697</v>
      </c>
      <c r="M625" s="12" t="s">
        <v>698</v>
      </c>
    </row>
    <row r="626" spans="1:13" ht="52.8">
      <c r="A626" s="21" t="s">
        <v>1006</v>
      </c>
      <c r="B626" s="21" t="s">
        <v>1007</v>
      </c>
      <c r="C626" s="21" t="s">
        <v>407</v>
      </c>
      <c r="D626" s="21" t="s">
        <v>71</v>
      </c>
      <c r="E626" s="22" t="s">
        <v>1005</v>
      </c>
      <c r="F626" s="22" t="s">
        <v>1007</v>
      </c>
      <c r="G626" s="21" t="s">
        <v>1008</v>
      </c>
      <c r="H626" s="21" t="s">
        <v>1009</v>
      </c>
      <c r="I626" s="12" t="s">
        <v>727</v>
      </c>
      <c r="J626" s="12" t="s">
        <v>576</v>
      </c>
      <c r="K626" s="12" t="s">
        <v>727</v>
      </c>
      <c r="L626" s="12" t="s">
        <v>728</v>
      </c>
      <c r="M626" s="12" t="s">
        <v>729</v>
      </c>
    </row>
    <row r="627" spans="1:13" ht="52.8">
      <c r="A627" s="21" t="s">
        <v>1006</v>
      </c>
      <c r="B627" s="21" t="s">
        <v>1007</v>
      </c>
      <c r="C627" s="21" t="s">
        <v>407</v>
      </c>
      <c r="D627" s="21" t="s">
        <v>71</v>
      </c>
      <c r="E627" s="22" t="s">
        <v>1005</v>
      </c>
      <c r="F627" s="22" t="s">
        <v>1007</v>
      </c>
      <c r="G627" s="21" t="s">
        <v>1008</v>
      </c>
      <c r="H627" s="21" t="s">
        <v>1009</v>
      </c>
      <c r="I627" s="12" t="s">
        <v>699</v>
      </c>
      <c r="J627" s="12" t="s">
        <v>566</v>
      </c>
      <c r="K627" s="12" t="s">
        <v>699</v>
      </c>
      <c r="L627" s="12" t="s">
        <v>700</v>
      </c>
      <c r="M627" s="12" t="s">
        <v>701</v>
      </c>
    </row>
    <row r="628" spans="1:13" ht="52.8">
      <c r="A628" s="21" t="s">
        <v>1006</v>
      </c>
      <c r="B628" s="21" t="s">
        <v>1007</v>
      </c>
      <c r="C628" s="21" t="s">
        <v>407</v>
      </c>
      <c r="D628" s="21" t="s">
        <v>71</v>
      </c>
      <c r="E628" s="22" t="s">
        <v>1005</v>
      </c>
      <c r="F628" s="22" t="s">
        <v>1007</v>
      </c>
      <c r="G628" s="21" t="s">
        <v>1008</v>
      </c>
      <c r="H628" s="21" t="s">
        <v>1009</v>
      </c>
      <c r="I628" s="12" t="s">
        <v>725</v>
      </c>
      <c r="J628" s="12" t="s">
        <v>575</v>
      </c>
      <c r="K628" s="12" t="s">
        <v>725</v>
      </c>
      <c r="L628" s="12" t="s">
        <v>726</v>
      </c>
      <c r="M628" s="12" t="s">
        <v>725</v>
      </c>
    </row>
    <row r="629" spans="1:13" ht="52.8">
      <c r="A629" s="21" t="s">
        <v>1006</v>
      </c>
      <c r="B629" s="21" t="s">
        <v>1007</v>
      </c>
      <c r="C629" s="21" t="s">
        <v>407</v>
      </c>
      <c r="D629" s="21" t="s">
        <v>71</v>
      </c>
      <c r="E629" s="22" t="s">
        <v>1005</v>
      </c>
      <c r="F629" s="22" t="s">
        <v>1007</v>
      </c>
      <c r="G629" s="21" t="s">
        <v>1008</v>
      </c>
      <c r="H629" s="21" t="s">
        <v>1009</v>
      </c>
      <c r="I629" s="12" t="s">
        <v>944</v>
      </c>
      <c r="J629" s="12" t="s">
        <v>660</v>
      </c>
      <c r="K629" s="12" t="s">
        <v>942</v>
      </c>
      <c r="L629" s="12" t="s">
        <v>943</v>
      </c>
      <c r="M629" s="12" t="s">
        <v>944</v>
      </c>
    </row>
    <row r="630" spans="1:13" ht="52.8">
      <c r="A630" s="21" t="s">
        <v>1006</v>
      </c>
      <c r="B630" s="21" t="s">
        <v>1007</v>
      </c>
      <c r="C630" s="21" t="s">
        <v>407</v>
      </c>
      <c r="D630" s="21" t="s">
        <v>71</v>
      </c>
      <c r="E630" s="22" t="s">
        <v>1005</v>
      </c>
      <c r="F630" s="22" t="s">
        <v>1007</v>
      </c>
      <c r="G630" s="21" t="s">
        <v>1008</v>
      </c>
      <c r="H630" s="21" t="s">
        <v>1009</v>
      </c>
      <c r="I630" s="12" t="s">
        <v>702</v>
      </c>
      <c r="J630" s="12" t="s">
        <v>567</v>
      </c>
      <c r="K630" s="12" t="s">
        <v>702</v>
      </c>
      <c r="L630" s="12" t="s">
        <v>703</v>
      </c>
      <c r="M630" s="12" t="s">
        <v>704</v>
      </c>
    </row>
    <row r="631" spans="1:13" ht="52.8">
      <c r="A631" s="21" t="s">
        <v>1006</v>
      </c>
      <c r="B631" s="21" t="s">
        <v>1007</v>
      </c>
      <c r="C631" s="21" t="s">
        <v>407</v>
      </c>
      <c r="D631" s="21" t="s">
        <v>71</v>
      </c>
      <c r="E631" s="22" t="s">
        <v>1005</v>
      </c>
      <c r="F631" s="22" t="s">
        <v>1007</v>
      </c>
      <c r="G631" s="21" t="s">
        <v>1008</v>
      </c>
      <c r="H631" s="21" t="s">
        <v>1009</v>
      </c>
      <c r="I631" s="12" t="s">
        <v>705</v>
      </c>
      <c r="J631" s="12" t="s">
        <v>568</v>
      </c>
      <c r="K631" s="12" t="s">
        <v>705</v>
      </c>
      <c r="L631" s="12" t="s">
        <v>706</v>
      </c>
      <c r="M631" s="12" t="s">
        <v>707</v>
      </c>
    </row>
    <row r="632" spans="1:13" ht="52.8">
      <c r="A632" s="21" t="s">
        <v>1006</v>
      </c>
      <c r="B632" s="21" t="s">
        <v>1007</v>
      </c>
      <c r="C632" s="21" t="s">
        <v>407</v>
      </c>
      <c r="D632" s="21" t="s">
        <v>71</v>
      </c>
      <c r="E632" s="22" t="s">
        <v>1005</v>
      </c>
      <c r="F632" s="22" t="s">
        <v>1007</v>
      </c>
      <c r="G632" s="21" t="s">
        <v>1008</v>
      </c>
      <c r="H632" s="21" t="s">
        <v>1009</v>
      </c>
      <c r="I632" s="12" t="s">
        <v>723</v>
      </c>
      <c r="J632" s="12" t="s">
        <v>574</v>
      </c>
      <c r="K632" s="12" t="s">
        <v>723</v>
      </c>
      <c r="L632" s="12" t="s">
        <v>724</v>
      </c>
      <c r="M632" s="12" t="s">
        <v>723</v>
      </c>
    </row>
    <row r="633" spans="1:13" ht="52.8">
      <c r="A633" s="21" t="s">
        <v>1006</v>
      </c>
      <c r="B633" s="21" t="s">
        <v>1007</v>
      </c>
      <c r="C633" s="21" t="s">
        <v>407</v>
      </c>
      <c r="D633" s="21" t="s">
        <v>71</v>
      </c>
      <c r="E633" s="22" t="s">
        <v>1005</v>
      </c>
      <c r="F633" s="22" t="s">
        <v>1007</v>
      </c>
      <c r="G633" s="21" t="s">
        <v>1008</v>
      </c>
      <c r="H633" s="21" t="s">
        <v>1009</v>
      </c>
      <c r="I633" s="12" t="s">
        <v>708</v>
      </c>
      <c r="J633" s="12" t="s">
        <v>569</v>
      </c>
      <c r="K633" s="12" t="s">
        <v>708</v>
      </c>
      <c r="L633" s="12" t="s">
        <v>709</v>
      </c>
      <c r="M633" s="12" t="s">
        <v>710</v>
      </c>
    </row>
    <row r="634" spans="1:13" ht="52.8">
      <c r="A634" s="21" t="s">
        <v>1006</v>
      </c>
      <c r="B634" s="21" t="s">
        <v>1007</v>
      </c>
      <c r="C634" s="21" t="s">
        <v>407</v>
      </c>
      <c r="D634" s="21" t="s">
        <v>71</v>
      </c>
      <c r="E634" s="22" t="s">
        <v>1005</v>
      </c>
      <c r="F634" s="22" t="s">
        <v>1007</v>
      </c>
      <c r="G634" s="21" t="s">
        <v>1008</v>
      </c>
      <c r="H634" s="21" t="s">
        <v>1009</v>
      </c>
      <c r="I634" s="12" t="s">
        <v>711</v>
      </c>
      <c r="J634" s="12" t="s">
        <v>570</v>
      </c>
      <c r="K634" s="12" t="s">
        <v>711</v>
      </c>
      <c r="L634" s="12" t="s">
        <v>712</v>
      </c>
      <c r="M634" s="12" t="s">
        <v>713</v>
      </c>
    </row>
    <row r="635" spans="1:13" ht="52.8">
      <c r="A635" s="21" t="s">
        <v>1006</v>
      </c>
      <c r="B635" s="21" t="s">
        <v>1007</v>
      </c>
      <c r="C635" s="21" t="s">
        <v>407</v>
      </c>
      <c r="D635" s="21" t="s">
        <v>71</v>
      </c>
      <c r="E635" s="22" t="s">
        <v>1005</v>
      </c>
      <c r="F635" s="22" t="s">
        <v>1007</v>
      </c>
      <c r="G635" s="21" t="s">
        <v>1008</v>
      </c>
      <c r="H635" s="21" t="s">
        <v>1009</v>
      </c>
      <c r="I635" s="12" t="s">
        <v>714</v>
      </c>
      <c r="J635" s="12" t="s">
        <v>571</v>
      </c>
      <c r="K635" s="12" t="s">
        <v>714</v>
      </c>
      <c r="L635" s="12" t="s">
        <v>715</v>
      </c>
      <c r="M635" s="12" t="s">
        <v>716</v>
      </c>
    </row>
    <row r="636" spans="1:13" ht="52.8">
      <c r="A636" s="21" t="s">
        <v>1006</v>
      </c>
      <c r="B636" s="21" t="s">
        <v>1007</v>
      </c>
      <c r="C636" s="21" t="s">
        <v>407</v>
      </c>
      <c r="D636" s="21" t="s">
        <v>71</v>
      </c>
      <c r="E636" s="22" t="s">
        <v>1005</v>
      </c>
      <c r="F636" s="22" t="s">
        <v>1007</v>
      </c>
      <c r="G636" s="21" t="s">
        <v>1008</v>
      </c>
      <c r="H636" s="21" t="s">
        <v>1009</v>
      </c>
      <c r="I636" s="12" t="s">
        <v>717</v>
      </c>
      <c r="J636" s="12" t="s">
        <v>572</v>
      </c>
      <c r="K636" s="12" t="s">
        <v>717</v>
      </c>
      <c r="L636" s="12" t="s">
        <v>718</v>
      </c>
      <c r="M636" s="12" t="s">
        <v>719</v>
      </c>
    </row>
    <row r="637" spans="1:13" ht="52.8">
      <c r="A637" s="21" t="s">
        <v>1006</v>
      </c>
      <c r="B637" s="21" t="s">
        <v>1007</v>
      </c>
      <c r="C637" s="21" t="s">
        <v>407</v>
      </c>
      <c r="D637" s="21" t="s">
        <v>71</v>
      </c>
      <c r="E637" s="22" t="s">
        <v>1005</v>
      </c>
      <c r="F637" s="22" t="s">
        <v>1007</v>
      </c>
      <c r="G637" s="21" t="s">
        <v>1008</v>
      </c>
      <c r="H637" s="21" t="s">
        <v>1009</v>
      </c>
      <c r="I637" s="12" t="s">
        <v>720</v>
      </c>
      <c r="J637" s="12" t="s">
        <v>573</v>
      </c>
      <c r="K637" s="12" t="s">
        <v>720</v>
      </c>
      <c r="L637" s="12" t="s">
        <v>721</v>
      </c>
      <c r="M637" s="12" t="s">
        <v>722</v>
      </c>
    </row>
    <row r="638" spans="1:13" ht="52.8">
      <c r="A638" s="21" t="s">
        <v>1006</v>
      </c>
      <c r="B638" s="21" t="s">
        <v>1007</v>
      </c>
      <c r="C638" s="21" t="s">
        <v>407</v>
      </c>
      <c r="D638" s="21" t="s">
        <v>71</v>
      </c>
      <c r="E638" s="22" t="s">
        <v>1005</v>
      </c>
      <c r="F638" s="22" t="s">
        <v>1007</v>
      </c>
      <c r="G638" s="21" t="s">
        <v>1008</v>
      </c>
      <c r="H638" s="21" t="s">
        <v>1009</v>
      </c>
      <c r="I638" s="12" t="s">
        <v>975</v>
      </c>
      <c r="J638" s="12" t="s">
        <v>672</v>
      </c>
      <c r="K638" s="12" t="s">
        <v>975</v>
      </c>
      <c r="L638" s="12" t="s">
        <v>976</v>
      </c>
      <c r="M638" s="12" t="s">
        <v>975</v>
      </c>
    </row>
    <row r="639" spans="1:13" ht="52.8">
      <c r="A639" s="21" t="s">
        <v>1006</v>
      </c>
      <c r="B639" s="21" t="s">
        <v>1007</v>
      </c>
      <c r="C639" s="21" t="s">
        <v>407</v>
      </c>
      <c r="D639" s="21" t="s">
        <v>71</v>
      </c>
      <c r="E639" s="22" t="s">
        <v>1005</v>
      </c>
      <c r="F639" s="22" t="s">
        <v>1007</v>
      </c>
      <c r="G639" s="21" t="s">
        <v>1008</v>
      </c>
      <c r="H639" s="21" t="s">
        <v>1009</v>
      </c>
      <c r="I639" s="12" t="s">
        <v>833</v>
      </c>
      <c r="J639" s="12" t="s">
        <v>616</v>
      </c>
      <c r="K639" s="12" t="s">
        <v>833</v>
      </c>
      <c r="L639" s="12" t="s">
        <v>834</v>
      </c>
      <c r="M639" s="12" t="s">
        <v>833</v>
      </c>
    </row>
    <row r="640" spans="1:13" ht="52.8">
      <c r="A640" s="21" t="s">
        <v>1006</v>
      </c>
      <c r="B640" s="21" t="s">
        <v>1007</v>
      </c>
      <c r="C640" s="21" t="s">
        <v>407</v>
      </c>
      <c r="D640" s="21" t="s">
        <v>71</v>
      </c>
      <c r="E640" s="22" t="s">
        <v>1005</v>
      </c>
      <c r="F640" s="22" t="s">
        <v>1007</v>
      </c>
      <c r="G640" s="21" t="s">
        <v>1008</v>
      </c>
      <c r="H640" s="21" t="s">
        <v>1009</v>
      </c>
      <c r="I640" s="12" t="s">
        <v>730</v>
      </c>
      <c r="J640" s="12" t="s">
        <v>577</v>
      </c>
      <c r="K640" s="12" t="s">
        <v>730</v>
      </c>
      <c r="L640" s="12" t="s">
        <v>731</v>
      </c>
      <c r="M640" s="12" t="s">
        <v>732</v>
      </c>
    </row>
    <row r="641" spans="1:13" ht="52.8">
      <c r="A641" s="21" t="s">
        <v>1006</v>
      </c>
      <c r="B641" s="21" t="s">
        <v>1007</v>
      </c>
      <c r="C641" s="21" t="s">
        <v>407</v>
      </c>
      <c r="D641" s="21" t="s">
        <v>71</v>
      </c>
      <c r="E641" s="22" t="s">
        <v>1005</v>
      </c>
      <c r="F641" s="22" t="s">
        <v>1007</v>
      </c>
      <c r="G641" s="21" t="s">
        <v>1008</v>
      </c>
      <c r="H641" s="21" t="s">
        <v>1009</v>
      </c>
      <c r="I641" s="12" t="s">
        <v>736</v>
      </c>
      <c r="J641" s="12" t="s">
        <v>579</v>
      </c>
      <c r="K641" s="12" t="s">
        <v>736</v>
      </c>
      <c r="L641" s="12" t="s">
        <v>737</v>
      </c>
      <c r="M641" s="12" t="s">
        <v>736</v>
      </c>
    </row>
    <row r="642" spans="1:13" ht="52.8">
      <c r="A642" s="21" t="s">
        <v>1006</v>
      </c>
      <c r="B642" s="21" t="s">
        <v>1007</v>
      </c>
      <c r="C642" s="21" t="s">
        <v>407</v>
      </c>
      <c r="D642" s="21" t="s">
        <v>71</v>
      </c>
      <c r="E642" s="22" t="s">
        <v>1005</v>
      </c>
      <c r="F642" s="22" t="s">
        <v>1007</v>
      </c>
      <c r="G642" s="21" t="s">
        <v>1008</v>
      </c>
      <c r="H642" s="21" t="s">
        <v>1009</v>
      </c>
      <c r="I642" s="12" t="s">
        <v>733</v>
      </c>
      <c r="J642" s="12" t="s">
        <v>578</v>
      </c>
      <c r="K642" s="12" t="s">
        <v>733</v>
      </c>
      <c r="L642" s="12" t="s">
        <v>734</v>
      </c>
      <c r="M642" s="12" t="s">
        <v>735</v>
      </c>
    </row>
    <row r="643" spans="1:13" ht="52.8">
      <c r="A643" s="21" t="s">
        <v>1006</v>
      </c>
      <c r="B643" s="21" t="s">
        <v>1007</v>
      </c>
      <c r="C643" s="21" t="s">
        <v>407</v>
      </c>
      <c r="D643" s="21" t="s">
        <v>71</v>
      </c>
      <c r="E643" s="22" t="s">
        <v>1005</v>
      </c>
      <c r="F643" s="22" t="s">
        <v>1007</v>
      </c>
      <c r="G643" s="21" t="s">
        <v>1008</v>
      </c>
      <c r="H643" s="21" t="s">
        <v>1009</v>
      </c>
      <c r="I643" s="12" t="s">
        <v>741</v>
      </c>
      <c r="J643" s="12" t="s">
        <v>581</v>
      </c>
      <c r="K643" s="12" t="s">
        <v>741</v>
      </c>
      <c r="L643" s="12" t="s">
        <v>742</v>
      </c>
      <c r="M643" s="12" t="s">
        <v>741</v>
      </c>
    </row>
    <row r="644" spans="1:13" ht="79.2">
      <c r="A644" s="21" t="s">
        <v>1006</v>
      </c>
      <c r="B644" s="21" t="s">
        <v>1007</v>
      </c>
      <c r="C644" s="21" t="s">
        <v>407</v>
      </c>
      <c r="D644" s="21" t="s">
        <v>71</v>
      </c>
      <c r="E644" s="22" t="s">
        <v>1005</v>
      </c>
      <c r="F644" s="22" t="s">
        <v>1007</v>
      </c>
      <c r="G644" s="21" t="s">
        <v>1008</v>
      </c>
      <c r="H644" s="21" t="s">
        <v>1009</v>
      </c>
      <c r="I644" s="12" t="s">
        <v>1010</v>
      </c>
      <c r="J644" s="12" t="s">
        <v>580</v>
      </c>
      <c r="K644" s="12" t="s">
        <v>738</v>
      </c>
      <c r="L644" s="12" t="s">
        <v>739</v>
      </c>
      <c r="M644" s="12" t="s">
        <v>740</v>
      </c>
    </row>
    <row r="645" spans="1:13" ht="52.8">
      <c r="A645" s="21" t="s">
        <v>1006</v>
      </c>
      <c r="B645" s="21" t="s">
        <v>1007</v>
      </c>
      <c r="C645" s="21" t="s">
        <v>407</v>
      </c>
      <c r="D645" s="21" t="s">
        <v>71</v>
      </c>
      <c r="E645" s="22" t="s">
        <v>1005</v>
      </c>
      <c r="F645" s="22" t="s">
        <v>1007</v>
      </c>
      <c r="G645" s="21" t="s">
        <v>1008</v>
      </c>
      <c r="H645" s="21" t="s">
        <v>1009</v>
      </c>
      <c r="I645" s="12" t="s">
        <v>977</v>
      </c>
      <c r="J645" s="12" t="s">
        <v>673</v>
      </c>
      <c r="K645" s="12" t="s">
        <v>977</v>
      </c>
      <c r="L645" s="12" t="s">
        <v>978</v>
      </c>
      <c r="M645" s="12" t="s">
        <v>977</v>
      </c>
    </row>
    <row r="646" spans="1:13" ht="52.8">
      <c r="A646" s="21" t="s">
        <v>1006</v>
      </c>
      <c r="B646" s="21" t="s">
        <v>1007</v>
      </c>
      <c r="C646" s="21" t="s">
        <v>407</v>
      </c>
      <c r="D646" s="21" t="s">
        <v>71</v>
      </c>
      <c r="E646" s="22" t="s">
        <v>1005</v>
      </c>
      <c r="F646" s="22" t="s">
        <v>1007</v>
      </c>
      <c r="G646" s="21" t="s">
        <v>1008</v>
      </c>
      <c r="H646" s="21" t="s">
        <v>1009</v>
      </c>
      <c r="I646" s="12" t="s">
        <v>757</v>
      </c>
      <c r="J646" s="12" t="s">
        <v>587</v>
      </c>
      <c r="K646" s="12" t="s">
        <v>757</v>
      </c>
      <c r="L646" s="12" t="s">
        <v>758</v>
      </c>
      <c r="M646" s="12" t="s">
        <v>757</v>
      </c>
    </row>
    <row r="647" spans="1:13" ht="52.8">
      <c r="A647" s="21" t="s">
        <v>1006</v>
      </c>
      <c r="B647" s="21" t="s">
        <v>1007</v>
      </c>
      <c r="C647" s="21" t="s">
        <v>407</v>
      </c>
      <c r="D647" s="21" t="s">
        <v>71</v>
      </c>
      <c r="E647" s="22" t="s">
        <v>1005</v>
      </c>
      <c r="F647" s="22" t="s">
        <v>1007</v>
      </c>
      <c r="G647" s="21" t="s">
        <v>1008</v>
      </c>
      <c r="H647" s="21" t="s">
        <v>1009</v>
      </c>
      <c r="I647" s="12" t="s">
        <v>746</v>
      </c>
      <c r="J647" s="12" t="s">
        <v>583</v>
      </c>
      <c r="K647" s="12" t="s">
        <v>746</v>
      </c>
      <c r="L647" s="12" t="s">
        <v>747</v>
      </c>
      <c r="M647" s="12" t="s">
        <v>748</v>
      </c>
    </row>
    <row r="648" spans="1:13" ht="52.8">
      <c r="A648" s="21" t="s">
        <v>1006</v>
      </c>
      <c r="B648" s="21" t="s">
        <v>1007</v>
      </c>
      <c r="C648" s="21" t="s">
        <v>407</v>
      </c>
      <c r="D648" s="21" t="s">
        <v>71</v>
      </c>
      <c r="E648" s="22" t="s">
        <v>1005</v>
      </c>
      <c r="F648" s="22" t="s">
        <v>1007</v>
      </c>
      <c r="G648" s="21" t="s">
        <v>1008</v>
      </c>
      <c r="H648" s="21" t="s">
        <v>1009</v>
      </c>
      <c r="I648" s="12" t="s">
        <v>1011</v>
      </c>
      <c r="J648" s="12" t="s">
        <v>582</v>
      </c>
      <c r="K648" s="12" t="s">
        <v>743</v>
      </c>
      <c r="L648" s="12" t="s">
        <v>744</v>
      </c>
      <c r="M648" s="12" t="s">
        <v>745</v>
      </c>
    </row>
    <row r="649" spans="1:13" ht="52.8">
      <c r="A649" s="21" t="s">
        <v>1006</v>
      </c>
      <c r="B649" s="21" t="s">
        <v>1007</v>
      </c>
      <c r="C649" s="21" t="s">
        <v>407</v>
      </c>
      <c r="D649" s="21" t="s">
        <v>71</v>
      </c>
      <c r="E649" s="22" t="s">
        <v>1005</v>
      </c>
      <c r="F649" s="22" t="s">
        <v>1007</v>
      </c>
      <c r="G649" s="21" t="s">
        <v>1008</v>
      </c>
      <c r="H649" s="21" t="s">
        <v>1009</v>
      </c>
      <c r="I649" s="12" t="s">
        <v>752</v>
      </c>
      <c r="J649" s="12" t="s">
        <v>585</v>
      </c>
      <c r="K649" s="12" t="s">
        <v>752</v>
      </c>
      <c r="L649" s="12" t="s">
        <v>753</v>
      </c>
      <c r="M649" s="12" t="s">
        <v>752</v>
      </c>
    </row>
    <row r="650" spans="1:13" ht="52.8">
      <c r="A650" s="21" t="s">
        <v>1006</v>
      </c>
      <c r="B650" s="21" t="s">
        <v>1007</v>
      </c>
      <c r="C650" s="21" t="s">
        <v>407</v>
      </c>
      <c r="D650" s="21" t="s">
        <v>71</v>
      </c>
      <c r="E650" s="22" t="s">
        <v>1005</v>
      </c>
      <c r="F650" s="22" t="s">
        <v>1007</v>
      </c>
      <c r="G650" s="21" t="s">
        <v>1008</v>
      </c>
      <c r="H650" s="21" t="s">
        <v>1009</v>
      </c>
      <c r="I650" s="12" t="s">
        <v>754</v>
      </c>
      <c r="J650" s="12" t="s">
        <v>586</v>
      </c>
      <c r="K650" s="12" t="s">
        <v>754</v>
      </c>
      <c r="L650" s="12" t="s">
        <v>755</v>
      </c>
      <c r="M650" s="12" t="s">
        <v>756</v>
      </c>
    </row>
    <row r="651" spans="1:13" ht="52.8">
      <c r="A651" s="21" t="s">
        <v>1006</v>
      </c>
      <c r="B651" s="21" t="s">
        <v>1007</v>
      </c>
      <c r="C651" s="21" t="s">
        <v>407</v>
      </c>
      <c r="D651" s="21" t="s">
        <v>71</v>
      </c>
      <c r="E651" s="22" t="s">
        <v>1005</v>
      </c>
      <c r="F651" s="22" t="s">
        <v>1007</v>
      </c>
      <c r="G651" s="21" t="s">
        <v>1008</v>
      </c>
      <c r="H651" s="21" t="s">
        <v>1009</v>
      </c>
      <c r="I651" s="12" t="s">
        <v>749</v>
      </c>
      <c r="J651" s="12" t="s">
        <v>584</v>
      </c>
      <c r="K651" s="12" t="s">
        <v>749</v>
      </c>
      <c r="L651" s="12" t="s">
        <v>750</v>
      </c>
      <c r="M651" s="12" t="s">
        <v>751</v>
      </c>
    </row>
    <row r="652" spans="1:13" ht="52.8">
      <c r="A652" s="21" t="s">
        <v>1006</v>
      </c>
      <c r="B652" s="21" t="s">
        <v>1007</v>
      </c>
      <c r="C652" s="21" t="s">
        <v>407</v>
      </c>
      <c r="D652" s="21" t="s">
        <v>71</v>
      </c>
      <c r="E652" s="22" t="s">
        <v>1005</v>
      </c>
      <c r="F652" s="22" t="s">
        <v>1007</v>
      </c>
      <c r="G652" s="21" t="s">
        <v>1008</v>
      </c>
      <c r="H652" s="21" t="s">
        <v>1009</v>
      </c>
      <c r="I652" s="12" t="s">
        <v>762</v>
      </c>
      <c r="J652" s="12" t="s">
        <v>589</v>
      </c>
      <c r="K652" s="12" t="s">
        <v>762</v>
      </c>
      <c r="L652" s="12" t="s">
        <v>763</v>
      </c>
      <c r="M652" s="12" t="s">
        <v>764</v>
      </c>
    </row>
    <row r="653" spans="1:13" ht="52.8">
      <c r="A653" s="21" t="s">
        <v>1006</v>
      </c>
      <c r="B653" s="21" t="s">
        <v>1007</v>
      </c>
      <c r="C653" s="21" t="s">
        <v>407</v>
      </c>
      <c r="D653" s="21" t="s">
        <v>71</v>
      </c>
      <c r="E653" s="22" t="s">
        <v>1005</v>
      </c>
      <c r="F653" s="22" t="s">
        <v>1007</v>
      </c>
      <c r="G653" s="21" t="s">
        <v>1008</v>
      </c>
      <c r="H653" s="21" t="s">
        <v>1009</v>
      </c>
      <c r="I653" s="12" t="s">
        <v>765</v>
      </c>
      <c r="J653" s="12" t="s">
        <v>590</v>
      </c>
      <c r="K653" s="12" t="s">
        <v>765</v>
      </c>
      <c r="L653" s="12" t="s">
        <v>766</v>
      </c>
      <c r="M653" s="12" t="s">
        <v>767</v>
      </c>
    </row>
    <row r="654" spans="1:13" ht="52.8">
      <c r="A654" s="21" t="s">
        <v>1006</v>
      </c>
      <c r="B654" s="21" t="s">
        <v>1007</v>
      </c>
      <c r="C654" s="21" t="s">
        <v>407</v>
      </c>
      <c r="D654" s="21" t="s">
        <v>71</v>
      </c>
      <c r="E654" s="22" t="s">
        <v>1005</v>
      </c>
      <c r="F654" s="22" t="s">
        <v>1007</v>
      </c>
      <c r="G654" s="21" t="s">
        <v>1008</v>
      </c>
      <c r="H654" s="21" t="s">
        <v>1009</v>
      </c>
      <c r="I654" s="12" t="s">
        <v>771</v>
      </c>
      <c r="J654" s="12" t="s">
        <v>592</v>
      </c>
      <c r="K654" s="12" t="s">
        <v>771</v>
      </c>
      <c r="L654" s="12" t="s">
        <v>772</v>
      </c>
      <c r="M654" s="12" t="s">
        <v>773</v>
      </c>
    </row>
    <row r="655" spans="1:13" ht="52.8">
      <c r="A655" s="21" t="s">
        <v>1006</v>
      </c>
      <c r="B655" s="21" t="s">
        <v>1007</v>
      </c>
      <c r="C655" s="21" t="s">
        <v>407</v>
      </c>
      <c r="D655" s="21" t="s">
        <v>71</v>
      </c>
      <c r="E655" s="22" t="s">
        <v>1005</v>
      </c>
      <c r="F655" s="22" t="s">
        <v>1007</v>
      </c>
      <c r="G655" s="21" t="s">
        <v>1008</v>
      </c>
      <c r="H655" s="21" t="s">
        <v>1009</v>
      </c>
      <c r="I655" s="12" t="s">
        <v>759</v>
      </c>
      <c r="J655" s="12" t="s">
        <v>588</v>
      </c>
      <c r="K655" s="12" t="s">
        <v>759</v>
      </c>
      <c r="L655" s="12" t="s">
        <v>760</v>
      </c>
      <c r="M655" s="12" t="s">
        <v>761</v>
      </c>
    </row>
    <row r="656" spans="1:13" ht="52.8">
      <c r="A656" s="21" t="s">
        <v>1006</v>
      </c>
      <c r="B656" s="21" t="s">
        <v>1007</v>
      </c>
      <c r="C656" s="21" t="s">
        <v>407</v>
      </c>
      <c r="D656" s="21" t="s">
        <v>71</v>
      </c>
      <c r="E656" s="22" t="s">
        <v>1005</v>
      </c>
      <c r="F656" s="22" t="s">
        <v>1007</v>
      </c>
      <c r="G656" s="21" t="s">
        <v>1008</v>
      </c>
      <c r="H656" s="21" t="s">
        <v>1009</v>
      </c>
      <c r="I656" s="12" t="s">
        <v>774</v>
      </c>
      <c r="J656" s="12" t="s">
        <v>593</v>
      </c>
      <c r="K656" s="12" t="s">
        <v>774</v>
      </c>
      <c r="L656" s="12" t="s">
        <v>775</v>
      </c>
      <c r="M656" s="12" t="s">
        <v>776</v>
      </c>
    </row>
    <row r="657" spans="1:13" ht="52.8">
      <c r="A657" s="21" t="s">
        <v>1006</v>
      </c>
      <c r="B657" s="21" t="s">
        <v>1007</v>
      </c>
      <c r="C657" s="21" t="s">
        <v>407</v>
      </c>
      <c r="D657" s="21" t="s">
        <v>71</v>
      </c>
      <c r="E657" s="22" t="s">
        <v>1005</v>
      </c>
      <c r="F657" s="22" t="s">
        <v>1007</v>
      </c>
      <c r="G657" s="21" t="s">
        <v>1008</v>
      </c>
      <c r="H657" s="21" t="s">
        <v>1009</v>
      </c>
      <c r="I657" s="12" t="s">
        <v>777</v>
      </c>
      <c r="J657" s="12" t="s">
        <v>594</v>
      </c>
      <c r="K657" s="12" t="s">
        <v>777</v>
      </c>
      <c r="L657" s="12" t="s">
        <v>778</v>
      </c>
      <c r="M657" s="12" t="s">
        <v>779</v>
      </c>
    </row>
    <row r="658" spans="1:13" ht="52.8">
      <c r="A658" s="21" t="s">
        <v>1006</v>
      </c>
      <c r="B658" s="21" t="s">
        <v>1007</v>
      </c>
      <c r="C658" s="21" t="s">
        <v>407</v>
      </c>
      <c r="D658" s="21" t="s">
        <v>71</v>
      </c>
      <c r="E658" s="22" t="s">
        <v>1005</v>
      </c>
      <c r="F658" s="22" t="s">
        <v>1007</v>
      </c>
      <c r="G658" s="21" t="s">
        <v>1008</v>
      </c>
      <c r="H658" s="21" t="s">
        <v>1009</v>
      </c>
      <c r="I658" s="12" t="s">
        <v>780</v>
      </c>
      <c r="J658" s="12" t="s">
        <v>595</v>
      </c>
      <c r="K658" s="12" t="s">
        <v>780</v>
      </c>
      <c r="L658" s="12" t="s">
        <v>781</v>
      </c>
      <c r="M658" s="12" t="s">
        <v>782</v>
      </c>
    </row>
    <row r="659" spans="1:13" ht="52.8">
      <c r="A659" s="21" t="s">
        <v>1006</v>
      </c>
      <c r="B659" s="21" t="s">
        <v>1007</v>
      </c>
      <c r="C659" s="21" t="s">
        <v>407</v>
      </c>
      <c r="D659" s="21" t="s">
        <v>71</v>
      </c>
      <c r="E659" s="22" t="s">
        <v>1005</v>
      </c>
      <c r="F659" s="22" t="s">
        <v>1007</v>
      </c>
      <c r="G659" s="21" t="s">
        <v>1008</v>
      </c>
      <c r="H659" s="21" t="s">
        <v>1009</v>
      </c>
      <c r="I659" s="12" t="s">
        <v>768</v>
      </c>
      <c r="J659" s="12" t="s">
        <v>591</v>
      </c>
      <c r="K659" s="12" t="s">
        <v>768</v>
      </c>
      <c r="L659" s="12" t="s">
        <v>769</v>
      </c>
      <c r="M659" s="12" t="s">
        <v>770</v>
      </c>
    </row>
    <row r="660" spans="1:13" ht="52.8">
      <c r="A660" s="21" t="s">
        <v>1006</v>
      </c>
      <c r="B660" s="21" t="s">
        <v>1007</v>
      </c>
      <c r="C660" s="21" t="s">
        <v>407</v>
      </c>
      <c r="D660" s="21" t="s">
        <v>71</v>
      </c>
      <c r="E660" s="22" t="s">
        <v>1005</v>
      </c>
      <c r="F660" s="22" t="s">
        <v>1007</v>
      </c>
      <c r="G660" s="21" t="s">
        <v>1008</v>
      </c>
      <c r="H660" s="21" t="s">
        <v>1009</v>
      </c>
      <c r="I660" s="12" t="s">
        <v>786</v>
      </c>
      <c r="J660" s="12" t="s">
        <v>597</v>
      </c>
      <c r="K660" s="12" t="s">
        <v>786</v>
      </c>
      <c r="L660" s="12" t="s">
        <v>787</v>
      </c>
      <c r="M660" s="12" t="s">
        <v>788</v>
      </c>
    </row>
    <row r="661" spans="1:13" ht="52.8">
      <c r="A661" s="21" t="s">
        <v>1006</v>
      </c>
      <c r="B661" s="21" t="s">
        <v>1007</v>
      </c>
      <c r="C661" s="21" t="s">
        <v>407</v>
      </c>
      <c r="D661" s="21" t="s">
        <v>71</v>
      </c>
      <c r="E661" s="22" t="s">
        <v>1005</v>
      </c>
      <c r="F661" s="22" t="s">
        <v>1007</v>
      </c>
      <c r="G661" s="21" t="s">
        <v>1008</v>
      </c>
      <c r="H661" s="21" t="s">
        <v>1009</v>
      </c>
      <c r="I661" s="12" t="s">
        <v>783</v>
      </c>
      <c r="J661" s="12" t="s">
        <v>596</v>
      </c>
      <c r="K661" s="12" t="s">
        <v>783</v>
      </c>
      <c r="L661" s="12" t="s">
        <v>784</v>
      </c>
      <c r="M661" s="12" t="s">
        <v>785</v>
      </c>
    </row>
    <row r="662" spans="1:13" ht="66">
      <c r="A662" s="21" t="s">
        <v>1006</v>
      </c>
      <c r="B662" s="21" t="s">
        <v>1007</v>
      </c>
      <c r="C662" s="21" t="s">
        <v>407</v>
      </c>
      <c r="D662" s="21" t="s">
        <v>71</v>
      </c>
      <c r="E662" s="22" t="s">
        <v>1005</v>
      </c>
      <c r="F662" s="22" t="s">
        <v>1007</v>
      </c>
      <c r="G662" s="21" t="s">
        <v>1008</v>
      </c>
      <c r="H662" s="21" t="s">
        <v>1009</v>
      </c>
      <c r="I662" s="12" t="s">
        <v>1012</v>
      </c>
      <c r="J662" s="12" t="s">
        <v>598</v>
      </c>
      <c r="K662" s="12" t="s">
        <v>789</v>
      </c>
      <c r="L662" s="12" t="s">
        <v>790</v>
      </c>
      <c r="M662" s="12" t="s">
        <v>791</v>
      </c>
    </row>
    <row r="663" spans="1:13" ht="52.8">
      <c r="A663" s="21" t="s">
        <v>1006</v>
      </c>
      <c r="B663" s="21" t="s">
        <v>1007</v>
      </c>
      <c r="C663" s="21" t="s">
        <v>407</v>
      </c>
      <c r="D663" s="21" t="s">
        <v>71</v>
      </c>
      <c r="E663" s="22" t="s">
        <v>1005</v>
      </c>
      <c r="F663" s="22" t="s">
        <v>1007</v>
      </c>
      <c r="G663" s="21" t="s">
        <v>1008</v>
      </c>
      <c r="H663" s="21" t="s">
        <v>1009</v>
      </c>
      <c r="I663" s="12" t="s">
        <v>795</v>
      </c>
      <c r="J663" s="12" t="s">
        <v>600</v>
      </c>
      <c r="K663" s="12" t="s">
        <v>795</v>
      </c>
      <c r="L663" s="12" t="s">
        <v>796</v>
      </c>
      <c r="M663" s="12" t="s">
        <v>795</v>
      </c>
    </row>
    <row r="664" spans="1:13" ht="52.8">
      <c r="A664" s="21" t="s">
        <v>1006</v>
      </c>
      <c r="B664" s="21" t="s">
        <v>1007</v>
      </c>
      <c r="C664" s="21" t="s">
        <v>407</v>
      </c>
      <c r="D664" s="21" t="s">
        <v>71</v>
      </c>
      <c r="E664" s="22" t="s">
        <v>1005</v>
      </c>
      <c r="F664" s="22" t="s">
        <v>1007</v>
      </c>
      <c r="G664" s="21" t="s">
        <v>1008</v>
      </c>
      <c r="H664" s="21" t="s">
        <v>1009</v>
      </c>
      <c r="I664" s="12" t="s">
        <v>797</v>
      </c>
      <c r="J664" s="12" t="s">
        <v>601</v>
      </c>
      <c r="K664" s="12" t="s">
        <v>797</v>
      </c>
      <c r="L664" s="12" t="s">
        <v>798</v>
      </c>
      <c r="M664" s="12" t="s">
        <v>799</v>
      </c>
    </row>
    <row r="665" spans="1:13" ht="52.8">
      <c r="A665" s="21" t="s">
        <v>1006</v>
      </c>
      <c r="B665" s="21" t="s">
        <v>1007</v>
      </c>
      <c r="C665" s="21" t="s">
        <v>407</v>
      </c>
      <c r="D665" s="21" t="s">
        <v>71</v>
      </c>
      <c r="E665" s="22" t="s">
        <v>1005</v>
      </c>
      <c r="F665" s="22" t="s">
        <v>1007</v>
      </c>
      <c r="G665" s="21" t="s">
        <v>1008</v>
      </c>
      <c r="H665" s="21" t="s">
        <v>1009</v>
      </c>
      <c r="I665" s="12" t="s">
        <v>800</v>
      </c>
      <c r="J665" s="12" t="s">
        <v>602</v>
      </c>
      <c r="K665" s="12" t="s">
        <v>800</v>
      </c>
      <c r="L665" s="12" t="s">
        <v>801</v>
      </c>
      <c r="M665" s="12" t="s">
        <v>800</v>
      </c>
    </row>
    <row r="666" spans="1:13" ht="52.8">
      <c r="A666" s="21" t="s">
        <v>1006</v>
      </c>
      <c r="B666" s="21" t="s">
        <v>1007</v>
      </c>
      <c r="C666" s="21" t="s">
        <v>407</v>
      </c>
      <c r="D666" s="21" t="s">
        <v>71</v>
      </c>
      <c r="E666" s="22" t="s">
        <v>1005</v>
      </c>
      <c r="F666" s="22" t="s">
        <v>1007</v>
      </c>
      <c r="G666" s="21" t="s">
        <v>1008</v>
      </c>
      <c r="H666" s="21" t="s">
        <v>1009</v>
      </c>
      <c r="I666" s="12" t="s">
        <v>802</v>
      </c>
      <c r="J666" s="12" t="s">
        <v>603</v>
      </c>
      <c r="K666" s="12" t="s">
        <v>802</v>
      </c>
      <c r="L666" s="12" t="s">
        <v>803</v>
      </c>
      <c r="M666" s="12" t="s">
        <v>804</v>
      </c>
    </row>
    <row r="667" spans="1:13" ht="52.8">
      <c r="A667" s="21" t="s">
        <v>1006</v>
      </c>
      <c r="B667" s="21" t="s">
        <v>1007</v>
      </c>
      <c r="C667" s="21" t="s">
        <v>407</v>
      </c>
      <c r="D667" s="21" t="s">
        <v>71</v>
      </c>
      <c r="E667" s="22" t="s">
        <v>1005</v>
      </c>
      <c r="F667" s="22" t="s">
        <v>1007</v>
      </c>
      <c r="G667" s="21" t="s">
        <v>1008</v>
      </c>
      <c r="H667" s="21" t="s">
        <v>1009</v>
      </c>
      <c r="I667" s="12" t="s">
        <v>805</v>
      </c>
      <c r="J667" s="12" t="s">
        <v>604</v>
      </c>
      <c r="K667" s="12" t="s">
        <v>805</v>
      </c>
      <c r="L667" s="12" t="s">
        <v>806</v>
      </c>
      <c r="M667" s="12" t="s">
        <v>807</v>
      </c>
    </row>
    <row r="668" spans="1:13" ht="66">
      <c r="A668" s="21" t="s">
        <v>1006</v>
      </c>
      <c r="B668" s="21" t="s">
        <v>1007</v>
      </c>
      <c r="C668" s="21" t="s">
        <v>407</v>
      </c>
      <c r="D668" s="21" t="s">
        <v>71</v>
      </c>
      <c r="E668" s="22" t="s">
        <v>1005</v>
      </c>
      <c r="F668" s="22" t="s">
        <v>1007</v>
      </c>
      <c r="G668" s="21" t="s">
        <v>1008</v>
      </c>
      <c r="H668" s="21" t="s">
        <v>1009</v>
      </c>
      <c r="I668" s="12" t="s">
        <v>869</v>
      </c>
      <c r="J668" s="12" t="s">
        <v>630</v>
      </c>
      <c r="K668" s="12" t="s">
        <v>869</v>
      </c>
      <c r="L668" s="12" t="s">
        <v>870</v>
      </c>
      <c r="M668" s="12" t="s">
        <v>869</v>
      </c>
    </row>
    <row r="669" spans="1:13" ht="52.8">
      <c r="A669" s="21" t="s">
        <v>1006</v>
      </c>
      <c r="B669" s="21" t="s">
        <v>1007</v>
      </c>
      <c r="C669" s="21" t="s">
        <v>407</v>
      </c>
      <c r="D669" s="21" t="s">
        <v>71</v>
      </c>
      <c r="E669" s="22" t="s">
        <v>1005</v>
      </c>
      <c r="F669" s="22" t="s">
        <v>1007</v>
      </c>
      <c r="G669" s="21" t="s">
        <v>1008</v>
      </c>
      <c r="H669" s="21" t="s">
        <v>1009</v>
      </c>
      <c r="I669" s="12" t="s">
        <v>808</v>
      </c>
      <c r="J669" s="12" t="s">
        <v>605</v>
      </c>
      <c r="K669" s="12" t="s">
        <v>808</v>
      </c>
      <c r="L669" s="12" t="s">
        <v>809</v>
      </c>
      <c r="M669" s="12" t="s">
        <v>808</v>
      </c>
    </row>
    <row r="670" spans="1:13" ht="52.8">
      <c r="A670" s="21" t="s">
        <v>1006</v>
      </c>
      <c r="B670" s="21" t="s">
        <v>1007</v>
      </c>
      <c r="C670" s="21" t="s">
        <v>407</v>
      </c>
      <c r="D670" s="21" t="s">
        <v>71</v>
      </c>
      <c r="E670" s="22" t="s">
        <v>1005</v>
      </c>
      <c r="F670" s="22" t="s">
        <v>1007</v>
      </c>
      <c r="G670" s="21" t="s">
        <v>1008</v>
      </c>
      <c r="H670" s="21" t="s">
        <v>1009</v>
      </c>
      <c r="I670" s="12" t="s">
        <v>817</v>
      </c>
      <c r="J670" s="12" t="s">
        <v>609</v>
      </c>
      <c r="K670" s="12" t="s">
        <v>817</v>
      </c>
      <c r="L670" s="12" t="s">
        <v>818</v>
      </c>
      <c r="M670" s="12" t="s">
        <v>819</v>
      </c>
    </row>
    <row r="671" spans="1:13" ht="52.8">
      <c r="A671" s="21" t="s">
        <v>1006</v>
      </c>
      <c r="B671" s="21" t="s">
        <v>1007</v>
      </c>
      <c r="C671" s="21" t="s">
        <v>407</v>
      </c>
      <c r="D671" s="21" t="s">
        <v>71</v>
      </c>
      <c r="E671" s="22" t="s">
        <v>1005</v>
      </c>
      <c r="F671" s="22" t="s">
        <v>1007</v>
      </c>
      <c r="G671" s="21" t="s">
        <v>1008</v>
      </c>
      <c r="H671" s="21" t="s">
        <v>1009</v>
      </c>
      <c r="I671" s="12" t="s">
        <v>813</v>
      </c>
      <c r="J671" s="12" t="s">
        <v>607</v>
      </c>
      <c r="K671" s="12" t="s">
        <v>813</v>
      </c>
      <c r="L671" s="12" t="s">
        <v>814</v>
      </c>
      <c r="M671" s="12" t="s">
        <v>813</v>
      </c>
    </row>
    <row r="672" spans="1:13" ht="52.8">
      <c r="A672" s="21" t="s">
        <v>1006</v>
      </c>
      <c r="B672" s="21" t="s">
        <v>1007</v>
      </c>
      <c r="C672" s="21" t="s">
        <v>407</v>
      </c>
      <c r="D672" s="21" t="s">
        <v>71</v>
      </c>
      <c r="E672" s="22" t="s">
        <v>1005</v>
      </c>
      <c r="F672" s="22" t="s">
        <v>1007</v>
      </c>
      <c r="G672" s="21" t="s">
        <v>1008</v>
      </c>
      <c r="H672" s="21" t="s">
        <v>1009</v>
      </c>
      <c r="I672" s="12" t="s">
        <v>815</v>
      </c>
      <c r="J672" s="12" t="s">
        <v>608</v>
      </c>
      <c r="K672" s="12" t="s">
        <v>815</v>
      </c>
      <c r="L672" s="12" t="s">
        <v>816</v>
      </c>
      <c r="M672" s="12" t="s">
        <v>815</v>
      </c>
    </row>
    <row r="673" spans="1:13" ht="52.8">
      <c r="A673" s="21" t="s">
        <v>1006</v>
      </c>
      <c r="B673" s="21" t="s">
        <v>1007</v>
      </c>
      <c r="C673" s="21" t="s">
        <v>407</v>
      </c>
      <c r="D673" s="21" t="s">
        <v>71</v>
      </c>
      <c r="E673" s="22" t="s">
        <v>1005</v>
      </c>
      <c r="F673" s="22" t="s">
        <v>1007</v>
      </c>
      <c r="G673" s="21" t="s">
        <v>1008</v>
      </c>
      <c r="H673" s="21" t="s">
        <v>1009</v>
      </c>
      <c r="I673" s="12" t="s">
        <v>820</v>
      </c>
      <c r="J673" s="12" t="s">
        <v>610</v>
      </c>
      <c r="K673" s="12" t="s">
        <v>820</v>
      </c>
      <c r="L673" s="12" t="s">
        <v>821</v>
      </c>
      <c r="M673" s="12" t="s">
        <v>820</v>
      </c>
    </row>
    <row r="674" spans="1:13" ht="52.8">
      <c r="A674" s="21" t="s">
        <v>1006</v>
      </c>
      <c r="B674" s="21" t="s">
        <v>1007</v>
      </c>
      <c r="C674" s="21" t="s">
        <v>407</v>
      </c>
      <c r="D674" s="21" t="s">
        <v>71</v>
      </c>
      <c r="E674" s="22" t="s">
        <v>1005</v>
      </c>
      <c r="F674" s="22" t="s">
        <v>1007</v>
      </c>
      <c r="G674" s="21" t="s">
        <v>1008</v>
      </c>
      <c r="H674" s="21" t="s">
        <v>1009</v>
      </c>
      <c r="I674" s="12" t="s">
        <v>825</v>
      </c>
      <c r="J674" s="12" t="s">
        <v>612</v>
      </c>
      <c r="K674" s="12" t="s">
        <v>825</v>
      </c>
      <c r="L674" s="12" t="s">
        <v>826</v>
      </c>
      <c r="M674" s="12" t="s">
        <v>825</v>
      </c>
    </row>
    <row r="675" spans="1:13" ht="52.8">
      <c r="A675" s="21" t="s">
        <v>1006</v>
      </c>
      <c r="B675" s="21" t="s">
        <v>1007</v>
      </c>
      <c r="C675" s="21" t="s">
        <v>407</v>
      </c>
      <c r="D675" s="21" t="s">
        <v>71</v>
      </c>
      <c r="E675" s="22" t="s">
        <v>1005</v>
      </c>
      <c r="F675" s="22" t="s">
        <v>1007</v>
      </c>
      <c r="G675" s="21" t="s">
        <v>1008</v>
      </c>
      <c r="H675" s="21" t="s">
        <v>1009</v>
      </c>
      <c r="I675" s="12" t="s">
        <v>827</v>
      </c>
      <c r="J675" s="12" t="s">
        <v>613</v>
      </c>
      <c r="K675" s="12" t="s">
        <v>827</v>
      </c>
      <c r="L675" s="12" t="s">
        <v>828</v>
      </c>
      <c r="M675" s="12" t="s">
        <v>827</v>
      </c>
    </row>
    <row r="676" spans="1:13" ht="52.8">
      <c r="A676" s="21" t="s">
        <v>1006</v>
      </c>
      <c r="B676" s="21" t="s">
        <v>1007</v>
      </c>
      <c r="C676" s="21" t="s">
        <v>407</v>
      </c>
      <c r="D676" s="21" t="s">
        <v>71</v>
      </c>
      <c r="E676" s="22" t="s">
        <v>1005</v>
      </c>
      <c r="F676" s="22" t="s">
        <v>1007</v>
      </c>
      <c r="G676" s="21" t="s">
        <v>1008</v>
      </c>
      <c r="H676" s="21" t="s">
        <v>1009</v>
      </c>
      <c r="I676" s="12" t="s">
        <v>993</v>
      </c>
      <c r="J676" s="12" t="s">
        <v>679</v>
      </c>
      <c r="K676" s="12" t="s">
        <v>993</v>
      </c>
      <c r="L676" s="12" t="s">
        <v>994</v>
      </c>
      <c r="M676" s="12" t="s">
        <v>995</v>
      </c>
    </row>
    <row r="677" spans="1:13" ht="52.8">
      <c r="A677" s="21" t="s">
        <v>1006</v>
      </c>
      <c r="B677" s="21" t="s">
        <v>1007</v>
      </c>
      <c r="C677" s="21" t="s">
        <v>407</v>
      </c>
      <c r="D677" s="21" t="s">
        <v>71</v>
      </c>
      <c r="E677" s="22" t="s">
        <v>1005</v>
      </c>
      <c r="F677" s="22" t="s">
        <v>1007</v>
      </c>
      <c r="G677" s="21" t="s">
        <v>1008</v>
      </c>
      <c r="H677" s="21" t="s">
        <v>1009</v>
      </c>
      <c r="I677" s="12" t="s">
        <v>835</v>
      </c>
      <c r="J677" s="12" t="s">
        <v>617</v>
      </c>
      <c r="K677" s="12" t="s">
        <v>835</v>
      </c>
      <c r="L677" s="12" t="s">
        <v>836</v>
      </c>
      <c r="M677" s="12" t="s">
        <v>837</v>
      </c>
    </row>
    <row r="678" spans="1:13" ht="52.8">
      <c r="A678" s="21" t="s">
        <v>1006</v>
      </c>
      <c r="B678" s="21" t="s">
        <v>1007</v>
      </c>
      <c r="C678" s="21" t="s">
        <v>407</v>
      </c>
      <c r="D678" s="21" t="s">
        <v>71</v>
      </c>
      <c r="E678" s="22" t="s">
        <v>1005</v>
      </c>
      <c r="F678" s="22" t="s">
        <v>1007</v>
      </c>
      <c r="G678" s="21" t="s">
        <v>1008</v>
      </c>
      <c r="H678" s="21" t="s">
        <v>1009</v>
      </c>
      <c r="I678" s="12" t="s">
        <v>1013</v>
      </c>
      <c r="J678" s="12" t="s">
        <v>599</v>
      </c>
      <c r="K678" s="12" t="s">
        <v>792</v>
      </c>
      <c r="L678" s="12" t="s">
        <v>793</v>
      </c>
      <c r="M678" s="12" t="s">
        <v>794</v>
      </c>
    </row>
    <row r="679" spans="1:13" ht="52.8">
      <c r="A679" s="21" t="s">
        <v>1006</v>
      </c>
      <c r="B679" s="21" t="s">
        <v>1007</v>
      </c>
      <c r="C679" s="21" t="s">
        <v>407</v>
      </c>
      <c r="D679" s="21" t="s">
        <v>71</v>
      </c>
      <c r="E679" s="22" t="s">
        <v>1005</v>
      </c>
      <c r="F679" s="22" t="s">
        <v>1007</v>
      </c>
      <c r="G679" s="21" t="s">
        <v>1008</v>
      </c>
      <c r="H679" s="21" t="s">
        <v>1009</v>
      </c>
      <c r="I679" s="12" t="s">
        <v>840</v>
      </c>
      <c r="J679" s="12" t="s">
        <v>619</v>
      </c>
      <c r="K679" s="12" t="s">
        <v>840</v>
      </c>
      <c r="L679" s="12" t="s">
        <v>841</v>
      </c>
      <c r="M679" s="12" t="s">
        <v>842</v>
      </c>
    </row>
    <row r="680" spans="1:13" ht="52.8">
      <c r="A680" s="21" t="s">
        <v>1006</v>
      </c>
      <c r="B680" s="21" t="s">
        <v>1007</v>
      </c>
      <c r="C680" s="21" t="s">
        <v>407</v>
      </c>
      <c r="D680" s="21" t="s">
        <v>71</v>
      </c>
      <c r="E680" s="22" t="s">
        <v>1005</v>
      </c>
      <c r="F680" s="22" t="s">
        <v>1007</v>
      </c>
      <c r="G680" s="21" t="s">
        <v>1008</v>
      </c>
      <c r="H680" s="21" t="s">
        <v>1009</v>
      </c>
      <c r="I680" s="12" t="s">
        <v>843</v>
      </c>
      <c r="J680" s="12" t="s">
        <v>620</v>
      </c>
      <c r="K680" s="12" t="s">
        <v>843</v>
      </c>
      <c r="L680" s="12" t="s">
        <v>844</v>
      </c>
      <c r="M680" s="12" t="s">
        <v>845</v>
      </c>
    </row>
    <row r="681" spans="1:13" ht="52.8">
      <c r="A681" s="21" t="s">
        <v>1006</v>
      </c>
      <c r="B681" s="21" t="s">
        <v>1007</v>
      </c>
      <c r="C681" s="21" t="s">
        <v>407</v>
      </c>
      <c r="D681" s="21" t="s">
        <v>71</v>
      </c>
      <c r="E681" s="22" t="s">
        <v>1005</v>
      </c>
      <c r="F681" s="22" t="s">
        <v>1007</v>
      </c>
      <c r="G681" s="21" t="s">
        <v>1008</v>
      </c>
      <c r="H681" s="21" t="s">
        <v>1009</v>
      </c>
      <c r="I681" s="12" t="s">
        <v>859</v>
      </c>
      <c r="J681" s="12" t="s">
        <v>626</v>
      </c>
      <c r="K681" s="12" t="s">
        <v>859</v>
      </c>
      <c r="L681" s="12" t="s">
        <v>860</v>
      </c>
      <c r="M681" s="12" t="s">
        <v>861</v>
      </c>
    </row>
    <row r="682" spans="1:13" ht="52.8">
      <c r="A682" s="21" t="s">
        <v>1006</v>
      </c>
      <c r="B682" s="21" t="s">
        <v>1007</v>
      </c>
      <c r="C682" s="21" t="s">
        <v>407</v>
      </c>
      <c r="D682" s="21" t="s">
        <v>71</v>
      </c>
      <c r="E682" s="22" t="s">
        <v>1005</v>
      </c>
      <c r="F682" s="22" t="s">
        <v>1007</v>
      </c>
      <c r="G682" s="21" t="s">
        <v>1008</v>
      </c>
      <c r="H682" s="21" t="s">
        <v>1009</v>
      </c>
      <c r="I682" s="12" t="s">
        <v>864</v>
      </c>
      <c r="J682" s="12" t="s">
        <v>628</v>
      </c>
      <c r="K682" s="12" t="s">
        <v>864</v>
      </c>
      <c r="L682" s="12" t="s">
        <v>865</v>
      </c>
      <c r="M682" s="12" t="s">
        <v>866</v>
      </c>
    </row>
    <row r="683" spans="1:13" ht="52.8">
      <c r="A683" s="21" t="s">
        <v>1006</v>
      </c>
      <c r="B683" s="21" t="s">
        <v>1007</v>
      </c>
      <c r="C683" s="21" t="s">
        <v>407</v>
      </c>
      <c r="D683" s="21" t="s">
        <v>71</v>
      </c>
      <c r="E683" s="22" t="s">
        <v>1005</v>
      </c>
      <c r="F683" s="22" t="s">
        <v>1007</v>
      </c>
      <c r="G683" s="21" t="s">
        <v>1008</v>
      </c>
      <c r="H683" s="21" t="s">
        <v>1009</v>
      </c>
      <c r="I683" s="12" t="s">
        <v>854</v>
      </c>
      <c r="J683" s="12" t="s">
        <v>624</v>
      </c>
      <c r="K683" s="12" t="s">
        <v>854</v>
      </c>
      <c r="L683" s="12" t="s">
        <v>855</v>
      </c>
      <c r="M683" s="12" t="s">
        <v>854</v>
      </c>
    </row>
    <row r="684" spans="1:13" ht="52.8">
      <c r="A684" s="21" t="s">
        <v>1006</v>
      </c>
      <c r="B684" s="21" t="s">
        <v>1007</v>
      </c>
      <c r="C684" s="21" t="s">
        <v>407</v>
      </c>
      <c r="D684" s="21" t="s">
        <v>71</v>
      </c>
      <c r="E684" s="22" t="s">
        <v>1005</v>
      </c>
      <c r="F684" s="22" t="s">
        <v>1007</v>
      </c>
      <c r="G684" s="21" t="s">
        <v>1008</v>
      </c>
      <c r="H684" s="21" t="s">
        <v>1009</v>
      </c>
      <c r="I684" s="12" t="s">
        <v>862</v>
      </c>
      <c r="J684" s="12" t="s">
        <v>627</v>
      </c>
      <c r="K684" s="12" t="s">
        <v>862</v>
      </c>
      <c r="L684" s="12" t="s">
        <v>863</v>
      </c>
      <c r="M684" s="12" t="s">
        <v>862</v>
      </c>
    </row>
    <row r="685" spans="1:13" ht="52.8">
      <c r="A685" s="21" t="s">
        <v>1006</v>
      </c>
      <c r="B685" s="21" t="s">
        <v>1007</v>
      </c>
      <c r="C685" s="21" t="s">
        <v>407</v>
      </c>
      <c r="D685" s="21" t="s">
        <v>71</v>
      </c>
      <c r="E685" s="22" t="s">
        <v>1005</v>
      </c>
      <c r="F685" s="22" t="s">
        <v>1007</v>
      </c>
      <c r="G685" s="21" t="s">
        <v>1008</v>
      </c>
      <c r="H685" s="21" t="s">
        <v>1009</v>
      </c>
      <c r="I685" s="12" t="s">
        <v>856</v>
      </c>
      <c r="J685" s="12" t="s">
        <v>625</v>
      </c>
      <c r="K685" s="12" t="s">
        <v>856</v>
      </c>
      <c r="L685" s="12" t="s">
        <v>857</v>
      </c>
      <c r="M685" s="12" t="s">
        <v>858</v>
      </c>
    </row>
    <row r="686" spans="1:13" ht="52.8">
      <c r="A686" s="21" t="s">
        <v>1006</v>
      </c>
      <c r="B686" s="21" t="s">
        <v>1007</v>
      </c>
      <c r="C686" s="21" t="s">
        <v>407</v>
      </c>
      <c r="D686" s="21" t="s">
        <v>71</v>
      </c>
      <c r="E686" s="22" t="s">
        <v>1005</v>
      </c>
      <c r="F686" s="22" t="s">
        <v>1007</v>
      </c>
      <c r="G686" s="21" t="s">
        <v>1008</v>
      </c>
      <c r="H686" s="21" t="s">
        <v>1009</v>
      </c>
      <c r="I686" s="12" t="s">
        <v>885</v>
      </c>
      <c r="J686" s="12" t="s">
        <v>637</v>
      </c>
      <c r="K686" s="12" t="s">
        <v>885</v>
      </c>
      <c r="L686" s="12" t="s">
        <v>886</v>
      </c>
      <c r="M686" s="12" t="s">
        <v>885</v>
      </c>
    </row>
    <row r="687" spans="1:13" ht="52.8">
      <c r="A687" s="21" t="s">
        <v>1006</v>
      </c>
      <c r="B687" s="21" t="s">
        <v>1007</v>
      </c>
      <c r="C687" s="21" t="s">
        <v>407</v>
      </c>
      <c r="D687" s="21" t="s">
        <v>71</v>
      </c>
      <c r="E687" s="22" t="s">
        <v>1005</v>
      </c>
      <c r="F687" s="22" t="s">
        <v>1007</v>
      </c>
      <c r="G687" s="21" t="s">
        <v>1008</v>
      </c>
      <c r="H687" s="21" t="s">
        <v>1009</v>
      </c>
      <c r="I687" s="12" t="s">
        <v>881</v>
      </c>
      <c r="J687" s="12" t="s">
        <v>635</v>
      </c>
      <c r="K687" s="12" t="s">
        <v>881</v>
      </c>
      <c r="L687" s="12" t="s">
        <v>882</v>
      </c>
      <c r="M687" s="12" t="s">
        <v>881</v>
      </c>
    </row>
    <row r="688" spans="1:13" ht="52.8">
      <c r="A688" s="21" t="s">
        <v>1006</v>
      </c>
      <c r="B688" s="21" t="s">
        <v>1007</v>
      </c>
      <c r="C688" s="21" t="s">
        <v>407</v>
      </c>
      <c r="D688" s="21" t="s">
        <v>71</v>
      </c>
      <c r="E688" s="22" t="s">
        <v>1005</v>
      </c>
      <c r="F688" s="22" t="s">
        <v>1007</v>
      </c>
      <c r="G688" s="21" t="s">
        <v>1008</v>
      </c>
      <c r="H688" s="21" t="s">
        <v>1009</v>
      </c>
      <c r="I688" s="12" t="s">
        <v>883</v>
      </c>
      <c r="J688" s="12" t="s">
        <v>636</v>
      </c>
      <c r="K688" s="12" t="s">
        <v>883</v>
      </c>
      <c r="L688" s="12" t="s">
        <v>884</v>
      </c>
      <c r="M688" s="12" t="s">
        <v>883</v>
      </c>
    </row>
    <row r="689" spans="1:13" ht="52.8">
      <c r="A689" s="21" t="s">
        <v>1006</v>
      </c>
      <c r="B689" s="21" t="s">
        <v>1007</v>
      </c>
      <c r="C689" s="21" t="s">
        <v>407</v>
      </c>
      <c r="D689" s="21" t="s">
        <v>71</v>
      </c>
      <c r="E689" s="22" t="s">
        <v>1005</v>
      </c>
      <c r="F689" s="22" t="s">
        <v>1007</v>
      </c>
      <c r="G689" s="21" t="s">
        <v>1008</v>
      </c>
      <c r="H689" s="21" t="s">
        <v>1009</v>
      </c>
      <c r="I689" s="12" t="s">
        <v>878</v>
      </c>
      <c r="J689" s="12" t="s">
        <v>634</v>
      </c>
      <c r="K689" s="12" t="s">
        <v>878</v>
      </c>
      <c r="L689" s="12" t="s">
        <v>879</v>
      </c>
      <c r="M689" s="12" t="s">
        <v>880</v>
      </c>
    </row>
    <row r="690" spans="1:13" ht="52.8">
      <c r="A690" s="21" t="s">
        <v>1006</v>
      </c>
      <c r="B690" s="21" t="s">
        <v>1007</v>
      </c>
      <c r="C690" s="21" t="s">
        <v>407</v>
      </c>
      <c r="D690" s="21" t="s">
        <v>71</v>
      </c>
      <c r="E690" s="22" t="s">
        <v>1005</v>
      </c>
      <c r="F690" s="22" t="s">
        <v>1007</v>
      </c>
      <c r="G690" s="21" t="s">
        <v>1008</v>
      </c>
      <c r="H690" s="21" t="s">
        <v>1009</v>
      </c>
      <c r="I690" s="12" t="s">
        <v>810</v>
      </c>
      <c r="J690" s="12" t="s">
        <v>606</v>
      </c>
      <c r="K690" s="12" t="s">
        <v>810</v>
      </c>
      <c r="L690" s="12" t="s">
        <v>811</v>
      </c>
      <c r="M690" s="12" t="s">
        <v>812</v>
      </c>
    </row>
    <row r="691" spans="1:13" ht="52.8">
      <c r="A691" s="21" t="s">
        <v>1006</v>
      </c>
      <c r="B691" s="21" t="s">
        <v>1007</v>
      </c>
      <c r="C691" s="21" t="s">
        <v>407</v>
      </c>
      <c r="D691" s="21" t="s">
        <v>71</v>
      </c>
      <c r="E691" s="22" t="s">
        <v>1005</v>
      </c>
      <c r="F691" s="22" t="s">
        <v>1007</v>
      </c>
      <c r="G691" s="21" t="s">
        <v>1008</v>
      </c>
      <c r="H691" s="21" t="s">
        <v>1009</v>
      </c>
      <c r="I691" s="12" t="s">
        <v>692</v>
      </c>
      <c r="J691" s="12" t="s">
        <v>563</v>
      </c>
      <c r="K691" s="12" t="s">
        <v>692</v>
      </c>
      <c r="L691" s="12" t="s">
        <v>693</v>
      </c>
      <c r="M691" s="12" t="s">
        <v>692</v>
      </c>
    </row>
    <row r="692" spans="1:13" ht="52.8">
      <c r="A692" s="21" t="s">
        <v>1006</v>
      </c>
      <c r="B692" s="21" t="s">
        <v>1007</v>
      </c>
      <c r="C692" s="21" t="s">
        <v>407</v>
      </c>
      <c r="D692" s="21" t="s">
        <v>71</v>
      </c>
      <c r="E692" s="22" t="s">
        <v>1005</v>
      </c>
      <c r="F692" s="22" t="s">
        <v>1007</v>
      </c>
      <c r="G692" s="21" t="s">
        <v>1008</v>
      </c>
      <c r="H692" s="21" t="s">
        <v>1009</v>
      </c>
      <c r="I692" s="12" t="s">
        <v>694</v>
      </c>
      <c r="J692" s="12" t="s">
        <v>564</v>
      </c>
      <c r="K692" s="12" t="s">
        <v>694</v>
      </c>
      <c r="L692" s="12" t="s">
        <v>695</v>
      </c>
      <c r="M692" s="12" t="s">
        <v>694</v>
      </c>
    </row>
    <row r="693" spans="1:13" ht="52.8">
      <c r="A693" s="21" t="s">
        <v>1006</v>
      </c>
      <c r="B693" s="21" t="s">
        <v>1007</v>
      </c>
      <c r="C693" s="21" t="s">
        <v>407</v>
      </c>
      <c r="D693" s="21" t="s">
        <v>71</v>
      </c>
      <c r="E693" s="22" t="s">
        <v>1005</v>
      </c>
      <c r="F693" s="22" t="s">
        <v>1007</v>
      </c>
      <c r="G693" s="21" t="s">
        <v>1008</v>
      </c>
      <c r="H693" s="21" t="s">
        <v>1009</v>
      </c>
      <c r="I693" s="12" t="s">
        <v>838</v>
      </c>
      <c r="J693" s="12" t="s">
        <v>618</v>
      </c>
      <c r="K693" s="12" t="s">
        <v>838</v>
      </c>
      <c r="L693" s="12" t="s">
        <v>839</v>
      </c>
      <c r="M693" s="12" t="s">
        <v>838</v>
      </c>
    </row>
    <row r="694" spans="1:13" ht="92.4">
      <c r="A694" s="21" t="s">
        <v>1006</v>
      </c>
      <c r="B694" s="21" t="s">
        <v>1007</v>
      </c>
      <c r="C694" s="21" t="s">
        <v>407</v>
      </c>
      <c r="D694" s="21" t="s">
        <v>71</v>
      </c>
      <c r="E694" s="22" t="s">
        <v>1005</v>
      </c>
      <c r="F694" s="22" t="s">
        <v>1007</v>
      </c>
      <c r="G694" s="21" t="s">
        <v>1008</v>
      </c>
      <c r="H694" s="21" t="s">
        <v>1009</v>
      </c>
      <c r="I694" s="12" t="s">
        <v>1014</v>
      </c>
      <c r="J694" s="12" t="s">
        <v>638</v>
      </c>
      <c r="K694" s="12" t="s">
        <v>887</v>
      </c>
      <c r="L694" s="12" t="s">
        <v>888</v>
      </c>
      <c r="M694" s="12" t="s">
        <v>889</v>
      </c>
    </row>
    <row r="695" spans="1:13" ht="52.8">
      <c r="A695" s="21" t="s">
        <v>1006</v>
      </c>
      <c r="B695" s="21" t="s">
        <v>1007</v>
      </c>
      <c r="C695" s="21" t="s">
        <v>407</v>
      </c>
      <c r="D695" s="21" t="s">
        <v>71</v>
      </c>
      <c r="E695" s="22" t="s">
        <v>1005</v>
      </c>
      <c r="F695" s="22" t="s">
        <v>1007</v>
      </c>
      <c r="G695" s="21" t="s">
        <v>1008</v>
      </c>
      <c r="H695" s="21" t="s">
        <v>1009</v>
      </c>
      <c r="I695" s="12" t="s">
        <v>894</v>
      </c>
      <c r="J695" s="12" t="s">
        <v>641</v>
      </c>
      <c r="K695" s="12" t="s">
        <v>894</v>
      </c>
      <c r="L695" s="12" t="s">
        <v>895</v>
      </c>
      <c r="M695" s="12" t="s">
        <v>894</v>
      </c>
    </row>
    <row r="696" spans="1:13" ht="52.8">
      <c r="A696" s="21" t="s">
        <v>1006</v>
      </c>
      <c r="B696" s="21" t="s">
        <v>1007</v>
      </c>
      <c r="C696" s="21" t="s">
        <v>407</v>
      </c>
      <c r="D696" s="21" t="s">
        <v>71</v>
      </c>
      <c r="E696" s="22" t="s">
        <v>1005</v>
      </c>
      <c r="F696" s="22" t="s">
        <v>1007</v>
      </c>
      <c r="G696" s="21" t="s">
        <v>1008</v>
      </c>
      <c r="H696" s="21" t="s">
        <v>1009</v>
      </c>
      <c r="I696" s="12" t="s">
        <v>890</v>
      </c>
      <c r="J696" s="12" t="s">
        <v>639</v>
      </c>
      <c r="K696" s="12" t="s">
        <v>890</v>
      </c>
      <c r="L696" s="12" t="s">
        <v>891</v>
      </c>
      <c r="M696" s="12" t="s">
        <v>890</v>
      </c>
    </row>
    <row r="697" spans="1:13" ht="52.8">
      <c r="A697" s="21" t="s">
        <v>1006</v>
      </c>
      <c r="B697" s="21" t="s">
        <v>1007</v>
      </c>
      <c r="C697" s="21" t="s">
        <v>407</v>
      </c>
      <c r="D697" s="21" t="s">
        <v>71</v>
      </c>
      <c r="E697" s="22" t="s">
        <v>1005</v>
      </c>
      <c r="F697" s="22" t="s">
        <v>1007</v>
      </c>
      <c r="G697" s="21" t="s">
        <v>1008</v>
      </c>
      <c r="H697" s="21" t="s">
        <v>1009</v>
      </c>
      <c r="I697" s="12" t="s">
        <v>875</v>
      </c>
      <c r="J697" s="12" t="s">
        <v>633</v>
      </c>
      <c r="K697" s="12" t="s">
        <v>875</v>
      </c>
      <c r="L697" s="12" t="s">
        <v>876</v>
      </c>
      <c r="M697" s="12" t="s">
        <v>877</v>
      </c>
    </row>
    <row r="698" spans="1:13" ht="52.8">
      <c r="A698" s="21" t="s">
        <v>1006</v>
      </c>
      <c r="B698" s="21" t="s">
        <v>1007</v>
      </c>
      <c r="C698" s="21" t="s">
        <v>407</v>
      </c>
      <c r="D698" s="21" t="s">
        <v>71</v>
      </c>
      <c r="E698" s="22" t="s">
        <v>1005</v>
      </c>
      <c r="F698" s="22" t="s">
        <v>1007</v>
      </c>
      <c r="G698" s="21" t="s">
        <v>1008</v>
      </c>
      <c r="H698" s="21" t="s">
        <v>1009</v>
      </c>
      <c r="I698" s="12" t="s">
        <v>871</v>
      </c>
      <c r="J698" s="12" t="s">
        <v>631</v>
      </c>
      <c r="K698" s="12" t="s">
        <v>871</v>
      </c>
      <c r="L698" s="12" t="s">
        <v>872</v>
      </c>
      <c r="M698" s="12" t="s">
        <v>871</v>
      </c>
    </row>
    <row r="699" spans="1:13" ht="52.8">
      <c r="A699" s="21" t="s">
        <v>1006</v>
      </c>
      <c r="B699" s="21" t="s">
        <v>1007</v>
      </c>
      <c r="C699" s="21" t="s">
        <v>407</v>
      </c>
      <c r="D699" s="21" t="s">
        <v>71</v>
      </c>
      <c r="E699" s="22" t="s">
        <v>1005</v>
      </c>
      <c r="F699" s="22" t="s">
        <v>1007</v>
      </c>
      <c r="G699" s="21" t="s">
        <v>1008</v>
      </c>
      <c r="H699" s="21" t="s">
        <v>1009</v>
      </c>
      <c r="I699" s="12" t="s">
        <v>829</v>
      </c>
      <c r="J699" s="12" t="s">
        <v>614</v>
      </c>
      <c r="K699" s="12" t="s">
        <v>829</v>
      </c>
      <c r="L699" s="12" t="s">
        <v>830</v>
      </c>
      <c r="M699" s="12" t="s">
        <v>829</v>
      </c>
    </row>
    <row r="700" spans="1:13" ht="52.8">
      <c r="A700" s="21" t="s">
        <v>1006</v>
      </c>
      <c r="B700" s="21" t="s">
        <v>1007</v>
      </c>
      <c r="C700" s="21" t="s">
        <v>407</v>
      </c>
      <c r="D700" s="21" t="s">
        <v>71</v>
      </c>
      <c r="E700" s="22" t="s">
        <v>1005</v>
      </c>
      <c r="F700" s="22" t="s">
        <v>1007</v>
      </c>
      <c r="G700" s="21" t="s">
        <v>1008</v>
      </c>
      <c r="H700" s="21" t="s">
        <v>1009</v>
      </c>
      <c r="I700" s="12" t="s">
        <v>892</v>
      </c>
      <c r="J700" s="12" t="s">
        <v>640</v>
      </c>
      <c r="K700" s="12" t="s">
        <v>892</v>
      </c>
      <c r="L700" s="12" t="s">
        <v>893</v>
      </c>
      <c r="M700" s="12" t="s">
        <v>892</v>
      </c>
    </row>
    <row r="701" spans="1:13" ht="52.8">
      <c r="A701" s="21" t="s">
        <v>1006</v>
      </c>
      <c r="B701" s="21" t="s">
        <v>1007</v>
      </c>
      <c r="C701" s="21" t="s">
        <v>407</v>
      </c>
      <c r="D701" s="21" t="s">
        <v>71</v>
      </c>
      <c r="E701" s="22" t="s">
        <v>1005</v>
      </c>
      <c r="F701" s="22" t="s">
        <v>1007</v>
      </c>
      <c r="G701" s="21" t="s">
        <v>1008</v>
      </c>
      <c r="H701" s="21" t="s">
        <v>1009</v>
      </c>
      <c r="I701" s="12" t="s">
        <v>896</v>
      </c>
      <c r="J701" s="12" t="s">
        <v>642</v>
      </c>
      <c r="K701" s="12" t="s">
        <v>896</v>
      </c>
      <c r="L701" s="12" t="s">
        <v>897</v>
      </c>
      <c r="M701" s="12" t="s">
        <v>898</v>
      </c>
    </row>
    <row r="702" spans="1:13" ht="52.8">
      <c r="A702" s="21" t="s">
        <v>1006</v>
      </c>
      <c r="B702" s="21" t="s">
        <v>1007</v>
      </c>
      <c r="C702" s="21" t="s">
        <v>407</v>
      </c>
      <c r="D702" s="21" t="s">
        <v>71</v>
      </c>
      <c r="E702" s="22" t="s">
        <v>1005</v>
      </c>
      <c r="F702" s="22" t="s">
        <v>1007</v>
      </c>
      <c r="G702" s="21" t="s">
        <v>1008</v>
      </c>
      <c r="H702" s="21" t="s">
        <v>1009</v>
      </c>
      <c r="I702" s="12" t="s">
        <v>902</v>
      </c>
      <c r="J702" s="12" t="s">
        <v>644</v>
      </c>
      <c r="K702" s="12" t="s">
        <v>902</v>
      </c>
      <c r="L702" s="12" t="s">
        <v>903</v>
      </c>
      <c r="M702" s="12" t="s">
        <v>902</v>
      </c>
    </row>
    <row r="703" spans="1:13" ht="52.8">
      <c r="A703" s="21" t="s">
        <v>1006</v>
      </c>
      <c r="B703" s="21" t="s">
        <v>1007</v>
      </c>
      <c r="C703" s="21" t="s">
        <v>407</v>
      </c>
      <c r="D703" s="21" t="s">
        <v>71</v>
      </c>
      <c r="E703" s="22" t="s">
        <v>1005</v>
      </c>
      <c r="F703" s="22" t="s">
        <v>1007</v>
      </c>
      <c r="G703" s="21" t="s">
        <v>1008</v>
      </c>
      <c r="H703" s="21" t="s">
        <v>1009</v>
      </c>
      <c r="I703" s="12" t="s">
        <v>904</v>
      </c>
      <c r="J703" s="12" t="s">
        <v>645</v>
      </c>
      <c r="K703" s="12" t="s">
        <v>904</v>
      </c>
      <c r="L703" s="12" t="s">
        <v>905</v>
      </c>
      <c r="M703" s="12" t="s">
        <v>904</v>
      </c>
    </row>
    <row r="704" spans="1:13" ht="52.8">
      <c r="A704" s="21" t="s">
        <v>1006</v>
      </c>
      <c r="B704" s="21" t="s">
        <v>1007</v>
      </c>
      <c r="C704" s="21" t="s">
        <v>407</v>
      </c>
      <c r="D704" s="21" t="s">
        <v>71</v>
      </c>
      <c r="E704" s="22" t="s">
        <v>1005</v>
      </c>
      <c r="F704" s="22" t="s">
        <v>1007</v>
      </c>
      <c r="G704" s="21" t="s">
        <v>1008</v>
      </c>
      <c r="H704" s="21" t="s">
        <v>1009</v>
      </c>
      <c r="I704" s="12" t="s">
        <v>906</v>
      </c>
      <c r="J704" s="12" t="s">
        <v>646</v>
      </c>
      <c r="K704" s="12" t="s">
        <v>906</v>
      </c>
      <c r="L704" s="12" t="s">
        <v>907</v>
      </c>
      <c r="M704" s="12" t="s">
        <v>908</v>
      </c>
    </row>
    <row r="705" spans="1:13" ht="52.8">
      <c r="A705" s="21" t="s">
        <v>1006</v>
      </c>
      <c r="B705" s="21" t="s">
        <v>1007</v>
      </c>
      <c r="C705" s="21" t="s">
        <v>407</v>
      </c>
      <c r="D705" s="21" t="s">
        <v>71</v>
      </c>
      <c r="E705" s="22" t="s">
        <v>1005</v>
      </c>
      <c r="F705" s="22" t="s">
        <v>1007</v>
      </c>
      <c r="G705" s="21" t="s">
        <v>1008</v>
      </c>
      <c r="H705" s="21" t="s">
        <v>1009</v>
      </c>
      <c r="I705" s="12" t="s">
        <v>911</v>
      </c>
      <c r="J705" s="12" t="s">
        <v>648</v>
      </c>
      <c r="K705" s="12" t="s">
        <v>911</v>
      </c>
      <c r="L705" s="12" t="s">
        <v>912</v>
      </c>
      <c r="M705" s="12" t="s">
        <v>911</v>
      </c>
    </row>
    <row r="706" spans="1:13" ht="52.8">
      <c r="A706" s="21" t="s">
        <v>1006</v>
      </c>
      <c r="B706" s="21" t="s">
        <v>1007</v>
      </c>
      <c r="C706" s="21" t="s">
        <v>407</v>
      </c>
      <c r="D706" s="21" t="s">
        <v>71</v>
      </c>
      <c r="E706" s="22" t="s">
        <v>1005</v>
      </c>
      <c r="F706" s="22" t="s">
        <v>1007</v>
      </c>
      <c r="G706" s="21" t="s">
        <v>1008</v>
      </c>
      <c r="H706" s="21" t="s">
        <v>1009</v>
      </c>
      <c r="I706" s="12" t="s">
        <v>917</v>
      </c>
      <c r="J706" s="12" t="s">
        <v>651</v>
      </c>
      <c r="K706" s="12" t="s">
        <v>917</v>
      </c>
      <c r="L706" s="12" t="s">
        <v>918</v>
      </c>
      <c r="M706" s="12" t="s">
        <v>919</v>
      </c>
    </row>
    <row r="707" spans="1:13" ht="52.8">
      <c r="A707" s="21" t="s">
        <v>1006</v>
      </c>
      <c r="B707" s="21" t="s">
        <v>1007</v>
      </c>
      <c r="C707" s="21" t="s">
        <v>407</v>
      </c>
      <c r="D707" s="21" t="s">
        <v>71</v>
      </c>
      <c r="E707" s="22" t="s">
        <v>1005</v>
      </c>
      <c r="F707" s="22" t="s">
        <v>1007</v>
      </c>
      <c r="G707" s="21" t="s">
        <v>1008</v>
      </c>
      <c r="H707" s="21" t="s">
        <v>1009</v>
      </c>
      <c r="I707" s="12" t="s">
        <v>909</v>
      </c>
      <c r="J707" s="12" t="s">
        <v>647</v>
      </c>
      <c r="K707" s="12" t="s">
        <v>909</v>
      </c>
      <c r="L707" s="12" t="s">
        <v>910</v>
      </c>
      <c r="M707" s="12" t="s">
        <v>909</v>
      </c>
    </row>
    <row r="708" spans="1:13" ht="52.8">
      <c r="A708" s="21" t="s">
        <v>1006</v>
      </c>
      <c r="B708" s="21" t="s">
        <v>1007</v>
      </c>
      <c r="C708" s="21" t="s">
        <v>407</v>
      </c>
      <c r="D708" s="21" t="s">
        <v>71</v>
      </c>
      <c r="E708" s="22" t="s">
        <v>1005</v>
      </c>
      <c r="F708" s="22" t="s">
        <v>1007</v>
      </c>
      <c r="G708" s="21" t="s">
        <v>1008</v>
      </c>
      <c r="H708" s="21" t="s">
        <v>1009</v>
      </c>
      <c r="I708" s="12" t="s">
        <v>915</v>
      </c>
      <c r="J708" s="12" t="s">
        <v>650</v>
      </c>
      <c r="K708" s="12" t="s">
        <v>915</v>
      </c>
      <c r="L708" s="12" t="s">
        <v>916</v>
      </c>
      <c r="M708" s="12" t="s">
        <v>915</v>
      </c>
    </row>
    <row r="709" spans="1:13" ht="52.8">
      <c r="A709" s="21" t="s">
        <v>1006</v>
      </c>
      <c r="B709" s="21" t="s">
        <v>1007</v>
      </c>
      <c r="C709" s="21" t="s">
        <v>407</v>
      </c>
      <c r="D709" s="21" t="s">
        <v>71</v>
      </c>
      <c r="E709" s="22" t="s">
        <v>1005</v>
      </c>
      <c r="F709" s="22" t="s">
        <v>1007</v>
      </c>
      <c r="G709" s="21" t="s">
        <v>1008</v>
      </c>
      <c r="H709" s="21" t="s">
        <v>1009</v>
      </c>
      <c r="I709" s="12" t="s">
        <v>913</v>
      </c>
      <c r="J709" s="12" t="s">
        <v>649</v>
      </c>
      <c r="K709" s="12" t="s">
        <v>913</v>
      </c>
      <c r="L709" s="12" t="s">
        <v>914</v>
      </c>
      <c r="M709" s="12" t="s">
        <v>913</v>
      </c>
    </row>
    <row r="710" spans="1:13" ht="66">
      <c r="A710" s="21" t="s">
        <v>1006</v>
      </c>
      <c r="B710" s="21" t="s">
        <v>1007</v>
      </c>
      <c r="C710" s="21" t="s">
        <v>407</v>
      </c>
      <c r="D710" s="21" t="s">
        <v>71</v>
      </c>
      <c r="E710" s="22" t="s">
        <v>1005</v>
      </c>
      <c r="F710" s="22" t="s">
        <v>1007</v>
      </c>
      <c r="G710" s="21" t="s">
        <v>1008</v>
      </c>
      <c r="H710" s="21" t="s">
        <v>1009</v>
      </c>
      <c r="I710" s="12" t="s">
        <v>1015</v>
      </c>
      <c r="J710" s="12" t="s">
        <v>653</v>
      </c>
      <c r="K710" s="12" t="s">
        <v>922</v>
      </c>
      <c r="L710" s="12" t="s">
        <v>923</v>
      </c>
      <c r="M710" s="12" t="s">
        <v>924</v>
      </c>
    </row>
    <row r="711" spans="1:13" ht="52.8">
      <c r="A711" s="21" t="s">
        <v>1006</v>
      </c>
      <c r="B711" s="21" t="s">
        <v>1007</v>
      </c>
      <c r="C711" s="21" t="s">
        <v>407</v>
      </c>
      <c r="D711" s="21" t="s">
        <v>71</v>
      </c>
      <c r="E711" s="22" t="s">
        <v>1005</v>
      </c>
      <c r="F711" s="22" t="s">
        <v>1007</v>
      </c>
      <c r="G711" s="21" t="s">
        <v>1008</v>
      </c>
      <c r="H711" s="21" t="s">
        <v>1009</v>
      </c>
      <c r="I711" s="12" t="s">
        <v>928</v>
      </c>
      <c r="J711" s="12" t="s">
        <v>655</v>
      </c>
      <c r="K711" s="12" t="s">
        <v>928</v>
      </c>
      <c r="L711" s="12" t="s">
        <v>929</v>
      </c>
      <c r="M711" s="12" t="s">
        <v>930</v>
      </c>
    </row>
    <row r="712" spans="1:13" ht="132">
      <c r="A712" s="21" t="s">
        <v>1006</v>
      </c>
      <c r="B712" s="21" t="s">
        <v>1007</v>
      </c>
      <c r="C712" s="21" t="s">
        <v>407</v>
      </c>
      <c r="D712" s="21" t="s">
        <v>71</v>
      </c>
      <c r="E712" s="22" t="s">
        <v>1005</v>
      </c>
      <c r="F712" s="22" t="s">
        <v>1007</v>
      </c>
      <c r="G712" s="21" t="s">
        <v>1008</v>
      </c>
      <c r="H712" s="21" t="s">
        <v>1009</v>
      </c>
      <c r="I712" s="12" t="s">
        <v>1016</v>
      </c>
      <c r="J712" s="12" t="s">
        <v>654</v>
      </c>
      <c r="K712" s="12" t="s">
        <v>925</v>
      </c>
      <c r="L712" s="12" t="s">
        <v>926</v>
      </c>
      <c r="M712" s="12" t="s">
        <v>927</v>
      </c>
    </row>
    <row r="713" spans="1:13" ht="66">
      <c r="A713" s="21" t="s">
        <v>1006</v>
      </c>
      <c r="B713" s="21" t="s">
        <v>1007</v>
      </c>
      <c r="C713" s="21" t="s">
        <v>407</v>
      </c>
      <c r="D713" s="21" t="s">
        <v>71</v>
      </c>
      <c r="E713" s="22" t="s">
        <v>1005</v>
      </c>
      <c r="F713" s="22" t="s">
        <v>1007</v>
      </c>
      <c r="G713" s="21" t="s">
        <v>1008</v>
      </c>
      <c r="H713" s="21" t="s">
        <v>1009</v>
      </c>
      <c r="I713" s="12" t="s">
        <v>873</v>
      </c>
      <c r="J713" s="12" t="s">
        <v>632</v>
      </c>
      <c r="K713" s="12" t="s">
        <v>873</v>
      </c>
      <c r="L713" s="12" t="s">
        <v>874</v>
      </c>
      <c r="M713" s="12" t="s">
        <v>873</v>
      </c>
    </row>
    <row r="714" spans="1:13" ht="52.8">
      <c r="A714" s="21" t="s">
        <v>1006</v>
      </c>
      <c r="B714" s="21" t="s">
        <v>1007</v>
      </c>
      <c r="C714" s="21" t="s">
        <v>407</v>
      </c>
      <c r="D714" s="21" t="s">
        <v>71</v>
      </c>
      <c r="E714" s="22" t="s">
        <v>1005</v>
      </c>
      <c r="F714" s="22" t="s">
        <v>1007</v>
      </c>
      <c r="G714" s="21" t="s">
        <v>1008</v>
      </c>
      <c r="H714" s="21" t="s">
        <v>1009</v>
      </c>
      <c r="I714" s="12" t="s">
        <v>931</v>
      </c>
      <c r="J714" s="12" t="s">
        <v>656</v>
      </c>
      <c r="K714" s="12" t="s">
        <v>931</v>
      </c>
      <c r="L714" s="12" t="s">
        <v>932</v>
      </c>
      <c r="M714" s="12" t="s">
        <v>933</v>
      </c>
    </row>
    <row r="715" spans="1:13" ht="52.8">
      <c r="A715" s="21" t="s">
        <v>1006</v>
      </c>
      <c r="B715" s="21" t="s">
        <v>1007</v>
      </c>
      <c r="C715" s="21" t="s">
        <v>407</v>
      </c>
      <c r="D715" s="21" t="s">
        <v>71</v>
      </c>
      <c r="E715" s="22" t="s">
        <v>1005</v>
      </c>
      <c r="F715" s="22" t="s">
        <v>1007</v>
      </c>
      <c r="G715" s="21" t="s">
        <v>1008</v>
      </c>
      <c r="H715" s="21" t="s">
        <v>1009</v>
      </c>
      <c r="I715" s="12" t="s">
        <v>937</v>
      </c>
      <c r="J715" s="12" t="s">
        <v>658</v>
      </c>
      <c r="K715" s="12" t="s">
        <v>937</v>
      </c>
      <c r="L715" s="12" t="s">
        <v>938</v>
      </c>
      <c r="M715" s="12" t="s">
        <v>937</v>
      </c>
    </row>
    <row r="716" spans="1:13" ht="52.8">
      <c r="A716" s="21" t="s">
        <v>1006</v>
      </c>
      <c r="B716" s="21" t="s">
        <v>1007</v>
      </c>
      <c r="C716" s="21" t="s">
        <v>407</v>
      </c>
      <c r="D716" s="21" t="s">
        <v>71</v>
      </c>
      <c r="E716" s="22" t="s">
        <v>1005</v>
      </c>
      <c r="F716" s="22" t="s">
        <v>1007</v>
      </c>
      <c r="G716" s="21" t="s">
        <v>1008</v>
      </c>
      <c r="H716" s="21" t="s">
        <v>1009</v>
      </c>
      <c r="I716" s="12" t="s">
        <v>939</v>
      </c>
      <c r="J716" s="12" t="s">
        <v>659</v>
      </c>
      <c r="K716" s="12" t="s">
        <v>939</v>
      </c>
      <c r="L716" s="12" t="s">
        <v>940</v>
      </c>
      <c r="M716" s="12" t="s">
        <v>941</v>
      </c>
    </row>
    <row r="717" spans="1:13" ht="52.8">
      <c r="A717" s="21" t="s">
        <v>1006</v>
      </c>
      <c r="B717" s="21" t="s">
        <v>1007</v>
      </c>
      <c r="C717" s="21" t="s">
        <v>407</v>
      </c>
      <c r="D717" s="21" t="s">
        <v>71</v>
      </c>
      <c r="E717" s="22" t="s">
        <v>1005</v>
      </c>
      <c r="F717" s="22" t="s">
        <v>1007</v>
      </c>
      <c r="G717" s="21" t="s">
        <v>1008</v>
      </c>
      <c r="H717" s="21" t="s">
        <v>1009</v>
      </c>
      <c r="I717" s="12" t="s">
        <v>954</v>
      </c>
      <c r="J717" s="12" t="s">
        <v>664</v>
      </c>
      <c r="K717" s="12" t="s">
        <v>954</v>
      </c>
      <c r="L717" s="12" t="s">
        <v>955</v>
      </c>
      <c r="M717" s="12" t="s">
        <v>956</v>
      </c>
    </row>
    <row r="718" spans="1:13" ht="66">
      <c r="A718" s="21" t="s">
        <v>1006</v>
      </c>
      <c r="B718" s="21" t="s">
        <v>1007</v>
      </c>
      <c r="C718" s="21" t="s">
        <v>407</v>
      </c>
      <c r="D718" s="21" t="s">
        <v>71</v>
      </c>
      <c r="E718" s="22" t="s">
        <v>1005</v>
      </c>
      <c r="F718" s="22" t="s">
        <v>1007</v>
      </c>
      <c r="G718" s="21" t="s">
        <v>1008</v>
      </c>
      <c r="H718" s="21" t="s">
        <v>1009</v>
      </c>
      <c r="I718" s="12" t="s">
        <v>945</v>
      </c>
      <c r="J718" s="12" t="s">
        <v>661</v>
      </c>
      <c r="K718" s="12" t="s">
        <v>945</v>
      </c>
      <c r="L718" s="12" t="s">
        <v>946</v>
      </c>
      <c r="M718" s="12" t="s">
        <v>947</v>
      </c>
    </row>
    <row r="719" spans="1:13" ht="52.8">
      <c r="A719" s="21" t="s">
        <v>1006</v>
      </c>
      <c r="B719" s="21" t="s">
        <v>1007</v>
      </c>
      <c r="C719" s="21" t="s">
        <v>407</v>
      </c>
      <c r="D719" s="21" t="s">
        <v>71</v>
      </c>
      <c r="E719" s="22" t="s">
        <v>1005</v>
      </c>
      <c r="F719" s="22" t="s">
        <v>1007</v>
      </c>
      <c r="G719" s="21" t="s">
        <v>1008</v>
      </c>
      <c r="H719" s="21" t="s">
        <v>1009</v>
      </c>
      <c r="I719" s="12" t="s">
        <v>920</v>
      </c>
      <c r="J719" s="12" t="s">
        <v>652</v>
      </c>
      <c r="K719" s="12" t="s">
        <v>920</v>
      </c>
      <c r="L719" s="12" t="s">
        <v>921</v>
      </c>
      <c r="M719" s="12" t="s">
        <v>920</v>
      </c>
    </row>
    <row r="720" spans="1:13" ht="66">
      <c r="A720" s="21" t="s">
        <v>1006</v>
      </c>
      <c r="B720" s="21" t="s">
        <v>1007</v>
      </c>
      <c r="C720" s="21" t="s">
        <v>407</v>
      </c>
      <c r="D720" s="21" t="s">
        <v>71</v>
      </c>
      <c r="E720" s="22" t="s">
        <v>1005</v>
      </c>
      <c r="F720" s="22" t="s">
        <v>1007</v>
      </c>
      <c r="G720" s="21" t="s">
        <v>1008</v>
      </c>
      <c r="H720" s="21" t="s">
        <v>1009</v>
      </c>
      <c r="I720" s="12" t="s">
        <v>966</v>
      </c>
      <c r="J720" s="12" t="s">
        <v>669</v>
      </c>
      <c r="K720" s="12" t="s">
        <v>966</v>
      </c>
      <c r="L720" s="12" t="s">
        <v>967</v>
      </c>
      <c r="M720" s="12" t="s">
        <v>968</v>
      </c>
    </row>
    <row r="721" spans="1:13" ht="52.8">
      <c r="A721" s="21" t="s">
        <v>1006</v>
      </c>
      <c r="B721" s="21" t="s">
        <v>1007</v>
      </c>
      <c r="C721" s="21" t="s">
        <v>407</v>
      </c>
      <c r="D721" s="21" t="s">
        <v>71</v>
      </c>
      <c r="E721" s="22" t="s">
        <v>1005</v>
      </c>
      <c r="F721" s="22" t="s">
        <v>1007</v>
      </c>
      <c r="G721" s="21" t="s">
        <v>1008</v>
      </c>
      <c r="H721" s="21" t="s">
        <v>1009</v>
      </c>
      <c r="I721" s="12" t="s">
        <v>934</v>
      </c>
      <c r="J721" s="12" t="s">
        <v>657</v>
      </c>
      <c r="K721" s="12" t="s">
        <v>934</v>
      </c>
      <c r="L721" s="12" t="s">
        <v>935</v>
      </c>
      <c r="M721" s="12" t="s">
        <v>936</v>
      </c>
    </row>
    <row r="722" spans="1:13" ht="66">
      <c r="A722" s="21" t="s">
        <v>1006</v>
      </c>
      <c r="B722" s="21" t="s">
        <v>1007</v>
      </c>
      <c r="C722" s="21" t="s">
        <v>407</v>
      </c>
      <c r="D722" s="21" t="s">
        <v>71</v>
      </c>
      <c r="E722" s="22" t="s">
        <v>1005</v>
      </c>
      <c r="F722" s="22" t="s">
        <v>1007</v>
      </c>
      <c r="G722" s="21" t="s">
        <v>1008</v>
      </c>
      <c r="H722" s="21" t="s">
        <v>1009</v>
      </c>
      <c r="I722" s="12" t="s">
        <v>957</v>
      </c>
      <c r="J722" s="12" t="s">
        <v>665</v>
      </c>
      <c r="K722" s="12" t="s">
        <v>957</v>
      </c>
      <c r="L722" s="12" t="s">
        <v>958</v>
      </c>
      <c r="M722" s="12" t="s">
        <v>957</v>
      </c>
    </row>
    <row r="723" spans="1:13" ht="52.8">
      <c r="A723" s="21" t="s">
        <v>1006</v>
      </c>
      <c r="B723" s="21" t="s">
        <v>1007</v>
      </c>
      <c r="C723" s="21" t="s">
        <v>407</v>
      </c>
      <c r="D723" s="21" t="s">
        <v>71</v>
      </c>
      <c r="E723" s="22" t="s">
        <v>1005</v>
      </c>
      <c r="F723" s="22" t="s">
        <v>1007</v>
      </c>
      <c r="G723" s="21" t="s">
        <v>1008</v>
      </c>
      <c r="H723" s="21" t="s">
        <v>1009</v>
      </c>
      <c r="I723" s="12" t="s">
        <v>963</v>
      </c>
      <c r="J723" s="12" t="s">
        <v>668</v>
      </c>
      <c r="K723" s="12" t="s">
        <v>963</v>
      </c>
      <c r="L723" s="12" t="s">
        <v>964</v>
      </c>
      <c r="M723" s="12" t="s">
        <v>965</v>
      </c>
    </row>
    <row r="724" spans="1:13" ht="52.8">
      <c r="A724" s="21" t="s">
        <v>1006</v>
      </c>
      <c r="B724" s="21" t="s">
        <v>1007</v>
      </c>
      <c r="C724" s="21" t="s">
        <v>407</v>
      </c>
      <c r="D724" s="21" t="s">
        <v>71</v>
      </c>
      <c r="E724" s="22" t="s">
        <v>1005</v>
      </c>
      <c r="F724" s="22" t="s">
        <v>1007</v>
      </c>
      <c r="G724" s="21" t="s">
        <v>1008</v>
      </c>
      <c r="H724" s="21" t="s">
        <v>1009</v>
      </c>
      <c r="I724" s="12" t="s">
        <v>971</v>
      </c>
      <c r="J724" s="12" t="s">
        <v>670</v>
      </c>
      <c r="K724" s="12" t="s">
        <v>969</v>
      </c>
      <c r="L724" s="12" t="s">
        <v>970</v>
      </c>
      <c r="M724" s="12" t="s">
        <v>971</v>
      </c>
    </row>
    <row r="725" spans="1:13" ht="52.8">
      <c r="A725" s="21" t="s">
        <v>1006</v>
      </c>
      <c r="B725" s="21" t="s">
        <v>1007</v>
      </c>
      <c r="C725" s="21" t="s">
        <v>407</v>
      </c>
      <c r="D725" s="21" t="s">
        <v>71</v>
      </c>
      <c r="E725" s="22" t="s">
        <v>1005</v>
      </c>
      <c r="F725" s="22" t="s">
        <v>1007</v>
      </c>
      <c r="G725" s="21" t="s">
        <v>1008</v>
      </c>
      <c r="H725" s="21" t="s">
        <v>1009</v>
      </c>
      <c r="I725" s="12" t="s">
        <v>959</v>
      </c>
      <c r="J725" s="12" t="s">
        <v>666</v>
      </c>
      <c r="K725" s="12" t="s">
        <v>959</v>
      </c>
      <c r="L725" s="12" t="s">
        <v>960</v>
      </c>
      <c r="M725" s="12" t="s">
        <v>959</v>
      </c>
    </row>
    <row r="726" spans="1:13" ht="52.8">
      <c r="A726" s="21" t="s">
        <v>1006</v>
      </c>
      <c r="B726" s="21" t="s">
        <v>1007</v>
      </c>
      <c r="C726" s="21" t="s">
        <v>407</v>
      </c>
      <c r="D726" s="21" t="s">
        <v>71</v>
      </c>
      <c r="E726" s="22" t="s">
        <v>1005</v>
      </c>
      <c r="F726" s="22" t="s">
        <v>1007</v>
      </c>
      <c r="G726" s="21" t="s">
        <v>1008</v>
      </c>
      <c r="H726" s="21" t="s">
        <v>1009</v>
      </c>
      <c r="I726" s="12" t="s">
        <v>961</v>
      </c>
      <c r="J726" s="12" t="s">
        <v>667</v>
      </c>
      <c r="K726" s="12" t="s">
        <v>961</v>
      </c>
      <c r="L726" s="12" t="s">
        <v>962</v>
      </c>
      <c r="M726" s="12" t="s">
        <v>961</v>
      </c>
    </row>
    <row r="727" spans="1:13" ht="52.8">
      <c r="A727" s="21" t="s">
        <v>1006</v>
      </c>
      <c r="B727" s="21" t="s">
        <v>1007</v>
      </c>
      <c r="C727" s="21" t="s">
        <v>407</v>
      </c>
      <c r="D727" s="21" t="s">
        <v>71</v>
      </c>
      <c r="E727" s="22" t="s">
        <v>1005</v>
      </c>
      <c r="F727" s="22" t="s">
        <v>1007</v>
      </c>
      <c r="G727" s="21" t="s">
        <v>1008</v>
      </c>
      <c r="H727" s="21" t="s">
        <v>1009</v>
      </c>
      <c r="I727" s="12" t="s">
        <v>948</v>
      </c>
      <c r="J727" s="12" t="s">
        <v>662</v>
      </c>
      <c r="K727" s="12" t="s">
        <v>948</v>
      </c>
      <c r="L727" s="12" t="s">
        <v>949</v>
      </c>
      <c r="M727" s="12" t="s">
        <v>950</v>
      </c>
    </row>
    <row r="728" spans="1:13" ht="52.8">
      <c r="A728" s="21" t="s">
        <v>1006</v>
      </c>
      <c r="B728" s="21" t="s">
        <v>1007</v>
      </c>
      <c r="C728" s="21" t="s">
        <v>407</v>
      </c>
      <c r="D728" s="21" t="s">
        <v>71</v>
      </c>
      <c r="E728" s="22" t="s">
        <v>1005</v>
      </c>
      <c r="F728" s="22" t="s">
        <v>1007</v>
      </c>
      <c r="G728" s="21" t="s">
        <v>1008</v>
      </c>
      <c r="H728" s="21" t="s">
        <v>1009</v>
      </c>
      <c r="I728" s="12" t="s">
        <v>951</v>
      </c>
      <c r="J728" s="12" t="s">
        <v>663</v>
      </c>
      <c r="K728" s="12" t="s">
        <v>951</v>
      </c>
      <c r="L728" s="12" t="s">
        <v>952</v>
      </c>
      <c r="M728" s="12" t="s">
        <v>953</v>
      </c>
    </row>
    <row r="729" spans="1:13" ht="52.8">
      <c r="A729" s="21" t="s">
        <v>1006</v>
      </c>
      <c r="B729" s="21" t="s">
        <v>1007</v>
      </c>
      <c r="C729" s="21" t="s">
        <v>407</v>
      </c>
      <c r="D729" s="21" t="s">
        <v>71</v>
      </c>
      <c r="E729" s="22" t="s">
        <v>1005</v>
      </c>
      <c r="F729" s="22" t="s">
        <v>1007</v>
      </c>
      <c r="G729" s="21" t="s">
        <v>1008</v>
      </c>
      <c r="H729" s="21" t="s">
        <v>1009</v>
      </c>
      <c r="I729" s="12" t="s">
        <v>990</v>
      </c>
      <c r="J729" s="12" t="s">
        <v>678</v>
      </c>
      <c r="K729" s="12" t="s">
        <v>990</v>
      </c>
      <c r="L729" s="12" t="s">
        <v>991</v>
      </c>
      <c r="M729" s="12" t="s">
        <v>992</v>
      </c>
    </row>
    <row r="730" spans="1:13" ht="52.8">
      <c r="A730" s="21" t="s">
        <v>1006</v>
      </c>
      <c r="B730" s="21" t="s">
        <v>1007</v>
      </c>
      <c r="C730" s="21" t="s">
        <v>407</v>
      </c>
      <c r="D730" s="21" t="s">
        <v>71</v>
      </c>
      <c r="E730" s="22" t="s">
        <v>1005</v>
      </c>
      <c r="F730" s="22" t="s">
        <v>1007</v>
      </c>
      <c r="G730" s="21" t="s">
        <v>1008</v>
      </c>
      <c r="H730" s="21" t="s">
        <v>1009</v>
      </c>
      <c r="I730" s="12" t="s">
        <v>979</v>
      </c>
      <c r="J730" s="12" t="s">
        <v>674</v>
      </c>
      <c r="K730" s="12" t="s">
        <v>979</v>
      </c>
      <c r="L730" s="12" t="s">
        <v>980</v>
      </c>
      <c r="M730" s="12" t="s">
        <v>979</v>
      </c>
    </row>
    <row r="731" spans="1:13" ht="118.8">
      <c r="A731" s="21" t="s">
        <v>1006</v>
      </c>
      <c r="B731" s="21" t="s">
        <v>1007</v>
      </c>
      <c r="C731" s="21" t="s">
        <v>407</v>
      </c>
      <c r="D731" s="21" t="s">
        <v>71</v>
      </c>
      <c r="E731" s="22" t="s">
        <v>1005</v>
      </c>
      <c r="F731" s="22" t="s">
        <v>1007</v>
      </c>
      <c r="G731" s="21" t="s">
        <v>1008</v>
      </c>
      <c r="H731" s="21" t="s">
        <v>1009</v>
      </c>
      <c r="I731" s="12" t="s">
        <v>974</v>
      </c>
      <c r="J731" s="12" t="s">
        <v>671</v>
      </c>
      <c r="K731" s="12" t="s">
        <v>972</v>
      </c>
      <c r="L731" s="12" t="s">
        <v>973</v>
      </c>
      <c r="M731" s="12" t="s">
        <v>974</v>
      </c>
    </row>
    <row r="732" spans="1:13" ht="79.2">
      <c r="A732" s="21" t="s">
        <v>1006</v>
      </c>
      <c r="B732" s="21" t="s">
        <v>1007</v>
      </c>
      <c r="C732" s="21" t="s">
        <v>407</v>
      </c>
      <c r="D732" s="21" t="s">
        <v>71</v>
      </c>
      <c r="E732" s="22" t="s">
        <v>1005</v>
      </c>
      <c r="F732" s="22" t="s">
        <v>1007</v>
      </c>
      <c r="G732" s="21" t="s">
        <v>1008</v>
      </c>
      <c r="H732" s="21" t="s">
        <v>1009</v>
      </c>
      <c r="I732" s="12" t="s">
        <v>1017</v>
      </c>
      <c r="J732" s="12" t="s">
        <v>611</v>
      </c>
      <c r="K732" s="12" t="s">
        <v>822</v>
      </c>
      <c r="L732" s="12" t="s">
        <v>823</v>
      </c>
      <c r="M732" s="12" t="s">
        <v>824</v>
      </c>
    </row>
    <row r="733" spans="1:13" ht="52.8">
      <c r="A733" s="21" t="s">
        <v>1006</v>
      </c>
      <c r="B733" s="21" t="s">
        <v>1007</v>
      </c>
      <c r="C733" s="21" t="s">
        <v>407</v>
      </c>
      <c r="D733" s="21" t="s">
        <v>71</v>
      </c>
      <c r="E733" s="22" t="s">
        <v>1005</v>
      </c>
      <c r="F733" s="22" t="s">
        <v>1007</v>
      </c>
      <c r="G733" s="21" t="s">
        <v>1008</v>
      </c>
      <c r="H733" s="21" t="s">
        <v>1009</v>
      </c>
      <c r="I733" s="12" t="s">
        <v>846</v>
      </c>
      <c r="J733" s="12" t="s">
        <v>621</v>
      </c>
      <c r="K733" s="12" t="s">
        <v>846</v>
      </c>
      <c r="L733" s="12" t="s">
        <v>847</v>
      </c>
      <c r="M733" s="12" t="s">
        <v>846</v>
      </c>
    </row>
    <row r="734" spans="1:13" ht="52.8">
      <c r="A734" s="21" t="s">
        <v>1006</v>
      </c>
      <c r="B734" s="21" t="s">
        <v>1007</v>
      </c>
      <c r="C734" s="21" t="s">
        <v>407</v>
      </c>
      <c r="D734" s="21" t="s">
        <v>71</v>
      </c>
      <c r="E734" s="22" t="s">
        <v>1005</v>
      </c>
      <c r="F734" s="22" t="s">
        <v>1007</v>
      </c>
      <c r="G734" s="21" t="s">
        <v>1008</v>
      </c>
      <c r="H734" s="21" t="s">
        <v>1009</v>
      </c>
      <c r="I734" s="12" t="s">
        <v>981</v>
      </c>
      <c r="J734" s="12" t="s">
        <v>675</v>
      </c>
      <c r="K734" s="12" t="s">
        <v>981</v>
      </c>
      <c r="L734" s="12" t="s">
        <v>982</v>
      </c>
      <c r="M734" s="12" t="s">
        <v>983</v>
      </c>
    </row>
    <row r="735" spans="1:13" ht="105.6">
      <c r="A735" s="21" t="s">
        <v>1006</v>
      </c>
      <c r="B735" s="21" t="s">
        <v>1007</v>
      </c>
      <c r="C735" s="21" t="s">
        <v>407</v>
      </c>
      <c r="D735" s="21" t="s">
        <v>71</v>
      </c>
      <c r="E735" s="22" t="s">
        <v>1005</v>
      </c>
      <c r="F735" s="22" t="s">
        <v>1007</v>
      </c>
      <c r="G735" s="21" t="s">
        <v>1008</v>
      </c>
      <c r="H735" s="21" t="s">
        <v>1009</v>
      </c>
      <c r="I735" s="12" t="s">
        <v>899</v>
      </c>
      <c r="J735" s="12" t="s">
        <v>643</v>
      </c>
      <c r="K735" s="12" t="s">
        <v>899</v>
      </c>
      <c r="L735" s="12" t="s">
        <v>900</v>
      </c>
      <c r="M735" s="12" t="s">
        <v>901</v>
      </c>
    </row>
    <row r="736" spans="1:13" ht="52.8">
      <c r="A736" s="21" t="s">
        <v>1006</v>
      </c>
      <c r="B736" s="21" t="s">
        <v>1007</v>
      </c>
      <c r="C736" s="21" t="s">
        <v>407</v>
      </c>
      <c r="D736" s="21" t="s">
        <v>71</v>
      </c>
      <c r="E736" s="22" t="s">
        <v>1005</v>
      </c>
      <c r="F736" s="22" t="s">
        <v>1007</v>
      </c>
      <c r="G736" s="21" t="s">
        <v>1008</v>
      </c>
      <c r="H736" s="21" t="s">
        <v>1009</v>
      </c>
      <c r="I736" s="12" t="s">
        <v>831</v>
      </c>
      <c r="J736" s="12" t="s">
        <v>615</v>
      </c>
      <c r="K736" s="12" t="s">
        <v>831</v>
      </c>
      <c r="L736" s="12" t="s">
        <v>832</v>
      </c>
      <c r="M736" s="12" t="s">
        <v>831</v>
      </c>
    </row>
    <row r="737" spans="1:13" ht="118.8">
      <c r="A737" s="21" t="s">
        <v>1006</v>
      </c>
      <c r="B737" s="21" t="s">
        <v>1007</v>
      </c>
      <c r="C737" s="21" t="s">
        <v>407</v>
      </c>
      <c r="D737" s="21" t="s">
        <v>71</v>
      </c>
      <c r="E737" s="22" t="s">
        <v>1005</v>
      </c>
      <c r="F737" s="22" t="s">
        <v>1007</v>
      </c>
      <c r="G737" s="21" t="s">
        <v>1008</v>
      </c>
      <c r="H737" s="21" t="s">
        <v>1009</v>
      </c>
      <c r="I737" s="12" t="s">
        <v>1018</v>
      </c>
      <c r="J737" s="12" t="s">
        <v>677</v>
      </c>
      <c r="K737" s="12" t="s">
        <v>987</v>
      </c>
      <c r="L737" s="12" t="s">
        <v>988</v>
      </c>
      <c r="M737" s="12" t="s">
        <v>989</v>
      </c>
    </row>
    <row r="738" spans="1:13" ht="52.8">
      <c r="A738" s="21" t="s">
        <v>1006</v>
      </c>
      <c r="B738" s="21" t="s">
        <v>1007</v>
      </c>
      <c r="C738" s="21" t="s">
        <v>407</v>
      </c>
      <c r="D738" s="21" t="s">
        <v>71</v>
      </c>
      <c r="E738" s="22" t="s">
        <v>1005</v>
      </c>
      <c r="F738" s="22" t="s">
        <v>1007</v>
      </c>
      <c r="G738" s="21" t="s">
        <v>1008</v>
      </c>
      <c r="H738" s="21" t="s">
        <v>1009</v>
      </c>
      <c r="I738" s="12" t="s">
        <v>850</v>
      </c>
      <c r="J738" s="12" t="s">
        <v>622</v>
      </c>
      <c r="K738" s="12" t="s">
        <v>848</v>
      </c>
      <c r="L738" s="12" t="s">
        <v>849</v>
      </c>
      <c r="M738" s="12" t="s">
        <v>850</v>
      </c>
    </row>
    <row r="739" spans="1:13" ht="52.8">
      <c r="A739" s="21" t="s">
        <v>1006</v>
      </c>
      <c r="B739" s="21" t="s">
        <v>1007</v>
      </c>
      <c r="C739" s="21" t="s">
        <v>407</v>
      </c>
      <c r="D739" s="21" t="s">
        <v>71</v>
      </c>
      <c r="E739" s="22" t="s">
        <v>1005</v>
      </c>
      <c r="F739" s="22" t="s">
        <v>1007</v>
      </c>
      <c r="G739" s="21" t="s">
        <v>1008</v>
      </c>
      <c r="H739" s="21" t="s">
        <v>1009</v>
      </c>
      <c r="I739" s="12" t="s">
        <v>853</v>
      </c>
      <c r="J739" s="12" t="s">
        <v>623</v>
      </c>
      <c r="K739" s="12" t="s">
        <v>851</v>
      </c>
      <c r="L739" s="12" t="s">
        <v>852</v>
      </c>
      <c r="M739" s="12" t="s">
        <v>853</v>
      </c>
    </row>
    <row r="740" spans="1:13" ht="52.8">
      <c r="A740" s="21" t="s">
        <v>1006</v>
      </c>
      <c r="B740" s="21" t="s">
        <v>1007</v>
      </c>
      <c r="C740" s="21" t="s">
        <v>407</v>
      </c>
      <c r="D740" s="21" t="s">
        <v>71</v>
      </c>
      <c r="E740" s="22" t="s">
        <v>1005</v>
      </c>
      <c r="F740" s="22" t="s">
        <v>1007</v>
      </c>
      <c r="G740" s="21" t="s">
        <v>1008</v>
      </c>
      <c r="H740" s="21" t="s">
        <v>1009</v>
      </c>
      <c r="I740" s="12" t="s">
        <v>986</v>
      </c>
      <c r="J740" s="12" t="s">
        <v>676</v>
      </c>
      <c r="K740" s="12" t="s">
        <v>984</v>
      </c>
      <c r="L740" s="12" t="s">
        <v>985</v>
      </c>
      <c r="M740" s="12" t="s">
        <v>986</v>
      </c>
    </row>
    <row r="741" spans="1:13" ht="52.8">
      <c r="A741" s="21" t="s">
        <v>1006</v>
      </c>
      <c r="B741" s="21" t="s">
        <v>1007</v>
      </c>
      <c r="C741" s="21" t="s">
        <v>407</v>
      </c>
      <c r="D741" s="21" t="s">
        <v>71</v>
      </c>
      <c r="E741" s="22" t="s">
        <v>1005</v>
      </c>
      <c r="F741" s="22" t="s">
        <v>1007</v>
      </c>
      <c r="G741" s="21" t="s">
        <v>1008</v>
      </c>
      <c r="H741" s="21" t="s">
        <v>1009</v>
      </c>
      <c r="I741" s="12" t="s">
        <v>998</v>
      </c>
      <c r="J741" s="12" t="s">
        <v>680</v>
      </c>
      <c r="K741" s="12" t="s">
        <v>996</v>
      </c>
      <c r="L741" s="12" t="s">
        <v>997</v>
      </c>
      <c r="M741" s="12" t="s">
        <v>998</v>
      </c>
    </row>
    <row r="742" spans="1:13" ht="52.8">
      <c r="A742" s="21" t="s">
        <v>1006</v>
      </c>
      <c r="B742" s="21" t="s">
        <v>1007</v>
      </c>
      <c r="C742" s="21" t="s">
        <v>407</v>
      </c>
      <c r="D742" s="21" t="s">
        <v>71</v>
      </c>
      <c r="E742" s="22" t="s">
        <v>1005</v>
      </c>
      <c r="F742" s="22" t="s">
        <v>1007</v>
      </c>
      <c r="G742" s="21" t="s">
        <v>1008</v>
      </c>
      <c r="H742" s="21" t="s">
        <v>1009</v>
      </c>
      <c r="I742" s="12" t="s">
        <v>1002</v>
      </c>
      <c r="J742" s="12" t="s">
        <v>682</v>
      </c>
      <c r="K742" s="12" t="s">
        <v>1002</v>
      </c>
      <c r="L742" s="12" t="s">
        <v>1003</v>
      </c>
      <c r="M742" s="12" t="s">
        <v>1004</v>
      </c>
    </row>
    <row r="743" spans="1:13" ht="52.8">
      <c r="A743" s="21" t="s">
        <v>1006</v>
      </c>
      <c r="B743" s="21" t="s">
        <v>1007</v>
      </c>
      <c r="C743" s="21" t="s">
        <v>407</v>
      </c>
      <c r="D743" s="21" t="s">
        <v>71</v>
      </c>
      <c r="E743" s="22" t="s">
        <v>1005</v>
      </c>
      <c r="F743" s="22" t="s">
        <v>1007</v>
      </c>
      <c r="G743" s="21" t="s">
        <v>1008</v>
      </c>
      <c r="H743" s="21" t="s">
        <v>1009</v>
      </c>
      <c r="I743" s="12" t="s">
        <v>999</v>
      </c>
      <c r="J743" s="12" t="s">
        <v>681</v>
      </c>
      <c r="K743" s="12" t="s">
        <v>999</v>
      </c>
      <c r="L743" s="12" t="s">
        <v>1000</v>
      </c>
      <c r="M743" s="12" t="s">
        <v>1001</v>
      </c>
    </row>
    <row r="744" spans="1:13" ht="39.6">
      <c r="A744" s="21" t="s">
        <v>2961</v>
      </c>
      <c r="B744" s="21" t="s">
        <v>2962</v>
      </c>
      <c r="C744" s="21" t="s">
        <v>2963</v>
      </c>
      <c r="D744" s="21" t="s">
        <v>71</v>
      </c>
      <c r="E744" s="22" t="s">
        <v>2964</v>
      </c>
      <c r="F744" s="22" t="s">
        <v>2962</v>
      </c>
      <c r="G744" s="21" t="s">
        <v>2965</v>
      </c>
      <c r="H744" s="21" t="s">
        <v>2966</v>
      </c>
      <c r="I744" s="12" t="s">
        <v>3346</v>
      </c>
      <c r="J744" s="12" t="s">
        <v>3247</v>
      </c>
      <c r="K744" s="12" t="s">
        <v>2967</v>
      </c>
      <c r="L744" s="12" t="s">
        <v>2968</v>
      </c>
      <c r="M744" s="12" t="s">
        <v>2969</v>
      </c>
    </row>
    <row r="745" spans="1:13" ht="39.6">
      <c r="A745" s="21" t="s">
        <v>2961</v>
      </c>
      <c r="B745" s="21" t="s">
        <v>2962</v>
      </c>
      <c r="C745" s="21" t="s">
        <v>2963</v>
      </c>
      <c r="D745" s="21" t="s">
        <v>71</v>
      </c>
      <c r="E745" s="22" t="s">
        <v>2964</v>
      </c>
      <c r="F745" s="22" t="s">
        <v>2962</v>
      </c>
      <c r="G745" s="21" t="s">
        <v>2965</v>
      </c>
      <c r="H745" s="21" t="s">
        <v>2966</v>
      </c>
      <c r="I745" s="12" t="s">
        <v>3347</v>
      </c>
      <c r="J745" s="12" t="s">
        <v>3248</v>
      </c>
      <c r="K745" s="12" t="s">
        <v>2970</v>
      </c>
      <c r="L745" s="12" t="s">
        <v>2971</v>
      </c>
      <c r="M745" s="12" t="s">
        <v>2972</v>
      </c>
    </row>
    <row r="746" spans="1:13" ht="39.6">
      <c r="A746" s="21" t="s">
        <v>2961</v>
      </c>
      <c r="B746" s="21" t="s">
        <v>2962</v>
      </c>
      <c r="C746" s="21" t="s">
        <v>2963</v>
      </c>
      <c r="D746" s="21" t="s">
        <v>71</v>
      </c>
      <c r="E746" s="22" t="s">
        <v>2964</v>
      </c>
      <c r="F746" s="22" t="s">
        <v>2962</v>
      </c>
      <c r="G746" s="21" t="s">
        <v>2965</v>
      </c>
      <c r="H746" s="21" t="s">
        <v>2966</v>
      </c>
      <c r="I746" s="12" t="s">
        <v>3348</v>
      </c>
      <c r="J746" s="12" t="s">
        <v>3249</v>
      </c>
      <c r="K746" s="12"/>
      <c r="L746" s="12" t="s">
        <v>2973</v>
      </c>
      <c r="M746" s="12" t="s">
        <v>2974</v>
      </c>
    </row>
    <row r="747" spans="1:13" ht="39.6">
      <c r="A747" s="21" t="s">
        <v>2961</v>
      </c>
      <c r="B747" s="21" t="s">
        <v>2962</v>
      </c>
      <c r="C747" s="21" t="s">
        <v>2963</v>
      </c>
      <c r="D747" s="21" t="s">
        <v>71</v>
      </c>
      <c r="E747" s="22" t="s">
        <v>2964</v>
      </c>
      <c r="F747" s="22" t="s">
        <v>2962</v>
      </c>
      <c r="G747" s="21" t="s">
        <v>2965</v>
      </c>
      <c r="H747" s="21" t="s">
        <v>2966</v>
      </c>
      <c r="I747" s="12" t="s">
        <v>3349</v>
      </c>
      <c r="J747" s="12" t="s">
        <v>3250</v>
      </c>
      <c r="K747" s="12" t="s">
        <v>2975</v>
      </c>
      <c r="L747" s="12" t="s">
        <v>2976</v>
      </c>
      <c r="M747" s="12" t="s">
        <v>2977</v>
      </c>
    </row>
    <row r="748" spans="1:13" ht="39.6">
      <c r="A748" s="21" t="s">
        <v>2961</v>
      </c>
      <c r="B748" s="21" t="s">
        <v>2962</v>
      </c>
      <c r="C748" s="21" t="s">
        <v>2963</v>
      </c>
      <c r="D748" s="21" t="s">
        <v>71</v>
      </c>
      <c r="E748" s="22" t="s">
        <v>2964</v>
      </c>
      <c r="F748" s="22" t="s">
        <v>2962</v>
      </c>
      <c r="G748" s="21" t="s">
        <v>2965</v>
      </c>
      <c r="H748" s="21" t="s">
        <v>2966</v>
      </c>
      <c r="I748" s="12" t="s">
        <v>3350</v>
      </c>
      <c r="J748" s="12" t="s">
        <v>3251</v>
      </c>
      <c r="K748" s="12" t="s">
        <v>2978</v>
      </c>
      <c r="L748" s="12" t="s">
        <v>2979</v>
      </c>
      <c r="M748" s="12" t="s">
        <v>2980</v>
      </c>
    </row>
    <row r="749" spans="1:13" ht="39.6">
      <c r="A749" s="21" t="s">
        <v>2961</v>
      </c>
      <c r="B749" s="21" t="s">
        <v>2962</v>
      </c>
      <c r="C749" s="21" t="s">
        <v>2963</v>
      </c>
      <c r="D749" s="21" t="s">
        <v>71</v>
      </c>
      <c r="E749" s="22" t="s">
        <v>2964</v>
      </c>
      <c r="F749" s="22" t="s">
        <v>2962</v>
      </c>
      <c r="G749" s="21" t="s">
        <v>2965</v>
      </c>
      <c r="H749" s="21" t="s">
        <v>2966</v>
      </c>
      <c r="I749" s="12" t="s">
        <v>3351</v>
      </c>
      <c r="J749" s="12" t="s">
        <v>3252</v>
      </c>
      <c r="K749" s="12"/>
      <c r="L749" s="12" t="s">
        <v>2981</v>
      </c>
      <c r="M749" s="12" t="s">
        <v>2982</v>
      </c>
    </row>
    <row r="750" spans="1:13" ht="39.6">
      <c r="A750" s="21" t="s">
        <v>2961</v>
      </c>
      <c r="B750" s="21" t="s">
        <v>2962</v>
      </c>
      <c r="C750" s="21" t="s">
        <v>2963</v>
      </c>
      <c r="D750" s="21" t="s">
        <v>71</v>
      </c>
      <c r="E750" s="22" t="s">
        <v>2964</v>
      </c>
      <c r="F750" s="22" t="s">
        <v>2962</v>
      </c>
      <c r="G750" s="21" t="s">
        <v>2965</v>
      </c>
      <c r="H750" s="21" t="s">
        <v>2966</v>
      </c>
      <c r="I750" s="12" t="s">
        <v>3352</v>
      </c>
      <c r="J750" s="12" t="s">
        <v>3253</v>
      </c>
      <c r="K750" s="12" t="s">
        <v>2983</v>
      </c>
      <c r="L750" s="12" t="s">
        <v>2984</v>
      </c>
      <c r="M750" s="12" t="s">
        <v>2985</v>
      </c>
    </row>
    <row r="751" spans="1:13" ht="39.6">
      <c r="A751" s="21" t="s">
        <v>2961</v>
      </c>
      <c r="B751" s="21" t="s">
        <v>2962</v>
      </c>
      <c r="C751" s="21" t="s">
        <v>2963</v>
      </c>
      <c r="D751" s="21" t="s">
        <v>71</v>
      </c>
      <c r="E751" s="22" t="s">
        <v>2964</v>
      </c>
      <c r="F751" s="22" t="s">
        <v>2962</v>
      </c>
      <c r="G751" s="21" t="s">
        <v>2965</v>
      </c>
      <c r="H751" s="21" t="s">
        <v>2966</v>
      </c>
      <c r="I751" s="12" t="s">
        <v>3353</v>
      </c>
      <c r="J751" s="12" t="s">
        <v>3254</v>
      </c>
      <c r="K751" s="12" t="s">
        <v>2986</v>
      </c>
      <c r="L751" s="12" t="s">
        <v>2987</v>
      </c>
      <c r="M751" s="12" t="s">
        <v>2988</v>
      </c>
    </row>
    <row r="752" spans="1:13" ht="39.6">
      <c r="A752" s="21" t="s">
        <v>2961</v>
      </c>
      <c r="B752" s="21" t="s">
        <v>2962</v>
      </c>
      <c r="C752" s="21" t="s">
        <v>2963</v>
      </c>
      <c r="D752" s="21" t="s">
        <v>71</v>
      </c>
      <c r="E752" s="22" t="s">
        <v>2964</v>
      </c>
      <c r="F752" s="22" t="s">
        <v>2962</v>
      </c>
      <c r="G752" s="21" t="s">
        <v>2965</v>
      </c>
      <c r="H752" s="21" t="s">
        <v>2966</v>
      </c>
      <c r="I752" s="12" t="s">
        <v>3354</v>
      </c>
      <c r="J752" s="12" t="s">
        <v>3255</v>
      </c>
      <c r="K752" s="12" t="s">
        <v>2989</v>
      </c>
      <c r="L752" s="12" t="s">
        <v>2990</v>
      </c>
      <c r="M752" s="12" t="s">
        <v>2991</v>
      </c>
    </row>
    <row r="753" spans="1:13" ht="39.6">
      <c r="A753" s="21" t="s">
        <v>2961</v>
      </c>
      <c r="B753" s="21" t="s">
        <v>2962</v>
      </c>
      <c r="C753" s="21" t="s">
        <v>2963</v>
      </c>
      <c r="D753" s="21" t="s">
        <v>71</v>
      </c>
      <c r="E753" s="22" t="s">
        <v>2964</v>
      </c>
      <c r="F753" s="22" t="s">
        <v>2962</v>
      </c>
      <c r="G753" s="21" t="s">
        <v>2965</v>
      </c>
      <c r="H753" s="21" t="s">
        <v>2966</v>
      </c>
      <c r="I753" s="12" t="s">
        <v>3355</v>
      </c>
      <c r="J753" s="12" t="s">
        <v>3256</v>
      </c>
      <c r="K753" s="12" t="s">
        <v>2992</v>
      </c>
      <c r="L753" s="12" t="s">
        <v>2993</v>
      </c>
      <c r="M753" s="12" t="s">
        <v>2994</v>
      </c>
    </row>
    <row r="754" spans="1:13" ht="39.6">
      <c r="A754" s="21" t="s">
        <v>2961</v>
      </c>
      <c r="B754" s="21" t="s">
        <v>2962</v>
      </c>
      <c r="C754" s="21" t="s">
        <v>2963</v>
      </c>
      <c r="D754" s="21" t="s">
        <v>71</v>
      </c>
      <c r="E754" s="22" t="s">
        <v>2964</v>
      </c>
      <c r="F754" s="22" t="s">
        <v>2962</v>
      </c>
      <c r="G754" s="21" t="s">
        <v>2965</v>
      </c>
      <c r="H754" s="21" t="s">
        <v>2966</v>
      </c>
      <c r="I754" s="12" t="s">
        <v>3356</v>
      </c>
      <c r="J754" s="12" t="s">
        <v>3257</v>
      </c>
      <c r="K754" s="12" t="s">
        <v>2995</v>
      </c>
      <c r="L754" s="12" t="s">
        <v>2996</v>
      </c>
      <c r="M754" s="12" t="s">
        <v>2997</v>
      </c>
    </row>
    <row r="755" spans="1:13" ht="39.6">
      <c r="A755" s="21" t="s">
        <v>2961</v>
      </c>
      <c r="B755" s="21" t="s">
        <v>2962</v>
      </c>
      <c r="C755" s="21" t="s">
        <v>2963</v>
      </c>
      <c r="D755" s="21" t="s">
        <v>71</v>
      </c>
      <c r="E755" s="22" t="s">
        <v>2964</v>
      </c>
      <c r="F755" s="22" t="s">
        <v>2962</v>
      </c>
      <c r="G755" s="21" t="s">
        <v>2965</v>
      </c>
      <c r="H755" s="21" t="s">
        <v>2966</v>
      </c>
      <c r="I755" s="12" t="s">
        <v>3357</v>
      </c>
      <c r="J755" s="12" t="s">
        <v>3258</v>
      </c>
      <c r="K755" s="12" t="s">
        <v>2998</v>
      </c>
      <c r="L755" s="12" t="s">
        <v>2999</v>
      </c>
      <c r="M755" s="12" t="s">
        <v>3000</v>
      </c>
    </row>
    <row r="756" spans="1:13" ht="39.6">
      <c r="A756" s="21" t="s">
        <v>2961</v>
      </c>
      <c r="B756" s="21" t="s">
        <v>2962</v>
      </c>
      <c r="C756" s="21" t="s">
        <v>2963</v>
      </c>
      <c r="D756" s="21" t="s">
        <v>71</v>
      </c>
      <c r="E756" s="22" t="s">
        <v>2964</v>
      </c>
      <c r="F756" s="22" t="s">
        <v>2962</v>
      </c>
      <c r="G756" s="21" t="s">
        <v>2965</v>
      </c>
      <c r="H756" s="21" t="s">
        <v>2966</v>
      </c>
      <c r="I756" s="12" t="s">
        <v>3358</v>
      </c>
      <c r="J756" s="12" t="s">
        <v>3259</v>
      </c>
      <c r="K756" s="12" t="s">
        <v>3001</v>
      </c>
      <c r="L756" s="12" t="s">
        <v>3002</v>
      </c>
      <c r="M756" s="12" t="s">
        <v>3003</v>
      </c>
    </row>
    <row r="757" spans="1:13" ht="39.6">
      <c r="A757" s="21" t="s">
        <v>2961</v>
      </c>
      <c r="B757" s="21" t="s">
        <v>2962</v>
      </c>
      <c r="C757" s="21" t="s">
        <v>2963</v>
      </c>
      <c r="D757" s="21" t="s">
        <v>71</v>
      </c>
      <c r="E757" s="22" t="s">
        <v>2964</v>
      </c>
      <c r="F757" s="22" t="s">
        <v>2962</v>
      </c>
      <c r="G757" s="21" t="s">
        <v>2965</v>
      </c>
      <c r="H757" s="21" t="s">
        <v>2966</v>
      </c>
      <c r="I757" s="12" t="s">
        <v>3359</v>
      </c>
      <c r="J757" s="12" t="s">
        <v>3260</v>
      </c>
      <c r="K757" s="12" t="s">
        <v>3004</v>
      </c>
      <c r="L757" s="12" t="s">
        <v>3005</v>
      </c>
      <c r="M757" s="12" t="s">
        <v>3006</v>
      </c>
    </row>
    <row r="758" spans="1:13" ht="39.6">
      <c r="A758" s="21" t="s">
        <v>2961</v>
      </c>
      <c r="B758" s="21" t="s">
        <v>2962</v>
      </c>
      <c r="C758" s="21" t="s">
        <v>2963</v>
      </c>
      <c r="D758" s="21" t="s">
        <v>71</v>
      </c>
      <c r="E758" s="22" t="s">
        <v>2964</v>
      </c>
      <c r="F758" s="22" t="s">
        <v>2962</v>
      </c>
      <c r="G758" s="21" t="s">
        <v>2965</v>
      </c>
      <c r="H758" s="21" t="s">
        <v>2966</v>
      </c>
      <c r="I758" s="12" t="s">
        <v>3360</v>
      </c>
      <c r="J758" s="12" t="s">
        <v>3261</v>
      </c>
      <c r="K758" s="12" t="s">
        <v>3007</v>
      </c>
      <c r="L758" s="12" t="s">
        <v>3008</v>
      </c>
      <c r="M758" s="12" t="s">
        <v>3009</v>
      </c>
    </row>
    <row r="759" spans="1:13" ht="39.6">
      <c r="A759" s="21" t="s">
        <v>2961</v>
      </c>
      <c r="B759" s="21" t="s">
        <v>2962</v>
      </c>
      <c r="C759" s="21" t="s">
        <v>2963</v>
      </c>
      <c r="D759" s="21" t="s">
        <v>71</v>
      </c>
      <c r="E759" s="22" t="s">
        <v>2964</v>
      </c>
      <c r="F759" s="22" t="s">
        <v>2962</v>
      </c>
      <c r="G759" s="21" t="s">
        <v>2965</v>
      </c>
      <c r="H759" s="21" t="s">
        <v>2966</v>
      </c>
      <c r="I759" s="12" t="s">
        <v>3361</v>
      </c>
      <c r="J759" s="12" t="s">
        <v>3262</v>
      </c>
      <c r="K759" s="12" t="s">
        <v>3010</v>
      </c>
      <c r="L759" s="12" t="s">
        <v>3011</v>
      </c>
      <c r="M759" s="12" t="s">
        <v>3012</v>
      </c>
    </row>
    <row r="760" spans="1:13" ht="39.6">
      <c r="A760" s="21" t="s">
        <v>2961</v>
      </c>
      <c r="B760" s="21" t="s">
        <v>2962</v>
      </c>
      <c r="C760" s="21" t="s">
        <v>2963</v>
      </c>
      <c r="D760" s="21" t="s">
        <v>71</v>
      </c>
      <c r="E760" s="22" t="s">
        <v>2964</v>
      </c>
      <c r="F760" s="22" t="s">
        <v>2962</v>
      </c>
      <c r="G760" s="21" t="s">
        <v>2965</v>
      </c>
      <c r="H760" s="21" t="s">
        <v>2966</v>
      </c>
      <c r="I760" s="12" t="s">
        <v>3362</v>
      </c>
      <c r="J760" s="12" t="s">
        <v>3263</v>
      </c>
      <c r="K760" s="12" t="s">
        <v>3013</v>
      </c>
      <c r="L760" s="12" t="s">
        <v>3014</v>
      </c>
      <c r="M760" s="12" t="s">
        <v>3015</v>
      </c>
    </row>
    <row r="761" spans="1:13" ht="39.6">
      <c r="A761" s="21" t="s">
        <v>2961</v>
      </c>
      <c r="B761" s="21" t="s">
        <v>2962</v>
      </c>
      <c r="C761" s="21" t="s">
        <v>2963</v>
      </c>
      <c r="D761" s="21" t="s">
        <v>71</v>
      </c>
      <c r="E761" s="22" t="s">
        <v>2964</v>
      </c>
      <c r="F761" s="22" t="s">
        <v>2962</v>
      </c>
      <c r="G761" s="21" t="s">
        <v>2965</v>
      </c>
      <c r="H761" s="21" t="s">
        <v>2966</v>
      </c>
      <c r="I761" s="12" t="s">
        <v>3363</v>
      </c>
      <c r="J761" s="12" t="s">
        <v>3264</v>
      </c>
      <c r="K761" s="12" t="s">
        <v>3016</v>
      </c>
      <c r="L761" s="12" t="s">
        <v>3017</v>
      </c>
      <c r="M761" s="12" t="s">
        <v>3018</v>
      </c>
    </row>
    <row r="762" spans="1:13" ht="39.6">
      <c r="A762" s="21" t="s">
        <v>2961</v>
      </c>
      <c r="B762" s="21" t="s">
        <v>2962</v>
      </c>
      <c r="C762" s="21" t="s">
        <v>2963</v>
      </c>
      <c r="D762" s="21" t="s">
        <v>71</v>
      </c>
      <c r="E762" s="22" t="s">
        <v>2964</v>
      </c>
      <c r="F762" s="22" t="s">
        <v>2962</v>
      </c>
      <c r="G762" s="21" t="s">
        <v>2965</v>
      </c>
      <c r="H762" s="21" t="s">
        <v>2966</v>
      </c>
      <c r="I762" s="12" t="s">
        <v>3364</v>
      </c>
      <c r="J762" s="12" t="s">
        <v>3265</v>
      </c>
      <c r="K762" s="12" t="s">
        <v>3019</v>
      </c>
      <c r="L762" s="12" t="s">
        <v>3020</v>
      </c>
      <c r="M762" s="12" t="s">
        <v>3021</v>
      </c>
    </row>
    <row r="763" spans="1:13" ht="39.6">
      <c r="A763" s="21" t="s">
        <v>2961</v>
      </c>
      <c r="B763" s="21" t="s">
        <v>2962</v>
      </c>
      <c r="C763" s="21" t="s">
        <v>2963</v>
      </c>
      <c r="D763" s="21" t="s">
        <v>71</v>
      </c>
      <c r="E763" s="22" t="s">
        <v>2964</v>
      </c>
      <c r="F763" s="22" t="s">
        <v>2962</v>
      </c>
      <c r="G763" s="21" t="s">
        <v>2965</v>
      </c>
      <c r="H763" s="21" t="s">
        <v>2966</v>
      </c>
      <c r="I763" s="12" t="s">
        <v>3365</v>
      </c>
      <c r="J763" s="12" t="s">
        <v>3266</v>
      </c>
      <c r="K763" s="12" t="s">
        <v>3022</v>
      </c>
      <c r="L763" s="12" t="s">
        <v>3023</v>
      </c>
      <c r="M763" s="12" t="s">
        <v>3024</v>
      </c>
    </row>
    <row r="764" spans="1:13" ht="39.6">
      <c r="A764" s="21" t="s">
        <v>2961</v>
      </c>
      <c r="B764" s="21" t="s">
        <v>2962</v>
      </c>
      <c r="C764" s="21" t="s">
        <v>2963</v>
      </c>
      <c r="D764" s="21" t="s">
        <v>71</v>
      </c>
      <c r="E764" s="22" t="s">
        <v>2964</v>
      </c>
      <c r="F764" s="22" t="s">
        <v>2962</v>
      </c>
      <c r="G764" s="21" t="s">
        <v>2965</v>
      </c>
      <c r="H764" s="21" t="s">
        <v>2966</v>
      </c>
      <c r="I764" s="12" t="s">
        <v>3366</v>
      </c>
      <c r="J764" s="12" t="s">
        <v>3267</v>
      </c>
      <c r="K764" s="12" t="s">
        <v>3025</v>
      </c>
      <c r="L764" s="12" t="s">
        <v>3026</v>
      </c>
      <c r="M764" s="12" t="s">
        <v>3027</v>
      </c>
    </row>
    <row r="765" spans="1:13" ht="39.6">
      <c r="A765" s="21" t="s">
        <v>2961</v>
      </c>
      <c r="B765" s="21" t="s">
        <v>2962</v>
      </c>
      <c r="C765" s="21" t="s">
        <v>2963</v>
      </c>
      <c r="D765" s="21" t="s">
        <v>71</v>
      </c>
      <c r="E765" s="22" t="s">
        <v>2964</v>
      </c>
      <c r="F765" s="22" t="s">
        <v>2962</v>
      </c>
      <c r="G765" s="21" t="s">
        <v>2965</v>
      </c>
      <c r="H765" s="21" t="s">
        <v>2966</v>
      </c>
      <c r="I765" s="12" t="s">
        <v>3367</v>
      </c>
      <c r="J765" s="12" t="s">
        <v>3268</v>
      </c>
      <c r="K765" s="12" t="s">
        <v>3028</v>
      </c>
      <c r="L765" s="12" t="s">
        <v>3029</v>
      </c>
      <c r="M765" s="12" t="s">
        <v>3030</v>
      </c>
    </row>
    <row r="766" spans="1:13" ht="39.6">
      <c r="A766" s="21" t="s">
        <v>2961</v>
      </c>
      <c r="B766" s="21" t="s">
        <v>2962</v>
      </c>
      <c r="C766" s="21" t="s">
        <v>2963</v>
      </c>
      <c r="D766" s="21" t="s">
        <v>71</v>
      </c>
      <c r="E766" s="22" t="s">
        <v>2964</v>
      </c>
      <c r="F766" s="22" t="s">
        <v>2962</v>
      </c>
      <c r="G766" s="21" t="s">
        <v>2965</v>
      </c>
      <c r="H766" s="21" t="s">
        <v>2966</v>
      </c>
      <c r="I766" s="12" t="s">
        <v>3368</v>
      </c>
      <c r="J766" s="12" t="s">
        <v>3269</v>
      </c>
      <c r="K766" s="12" t="s">
        <v>3031</v>
      </c>
      <c r="L766" s="12" t="s">
        <v>3032</v>
      </c>
      <c r="M766" s="12" t="s">
        <v>3033</v>
      </c>
    </row>
    <row r="767" spans="1:13" ht="39.6">
      <c r="A767" s="21" t="s">
        <v>2961</v>
      </c>
      <c r="B767" s="21" t="s">
        <v>2962</v>
      </c>
      <c r="C767" s="21" t="s">
        <v>2963</v>
      </c>
      <c r="D767" s="21" t="s">
        <v>71</v>
      </c>
      <c r="E767" s="22" t="s">
        <v>2964</v>
      </c>
      <c r="F767" s="22" t="s">
        <v>2962</v>
      </c>
      <c r="G767" s="21" t="s">
        <v>2965</v>
      </c>
      <c r="H767" s="21" t="s">
        <v>2966</v>
      </c>
      <c r="I767" s="12" t="s">
        <v>3369</v>
      </c>
      <c r="J767" s="12" t="s">
        <v>3270</v>
      </c>
      <c r="K767" s="12" t="s">
        <v>3034</v>
      </c>
      <c r="L767" s="12" t="s">
        <v>3035</v>
      </c>
      <c r="M767" s="12" t="s">
        <v>3036</v>
      </c>
    </row>
    <row r="768" spans="1:13" ht="39.6">
      <c r="A768" s="21" t="s">
        <v>2961</v>
      </c>
      <c r="B768" s="21" t="s">
        <v>2962</v>
      </c>
      <c r="C768" s="21" t="s">
        <v>2963</v>
      </c>
      <c r="D768" s="21" t="s">
        <v>71</v>
      </c>
      <c r="E768" s="22" t="s">
        <v>2964</v>
      </c>
      <c r="F768" s="22" t="s">
        <v>2962</v>
      </c>
      <c r="G768" s="21" t="s">
        <v>2965</v>
      </c>
      <c r="H768" s="21" t="s">
        <v>2966</v>
      </c>
      <c r="I768" s="12" t="s">
        <v>3370</v>
      </c>
      <c r="J768" s="12" t="s">
        <v>3271</v>
      </c>
      <c r="K768" s="12" t="s">
        <v>3037</v>
      </c>
      <c r="L768" s="12" t="s">
        <v>3038</v>
      </c>
      <c r="M768" s="12" t="s">
        <v>3039</v>
      </c>
    </row>
    <row r="769" spans="1:13" ht="39.6">
      <c r="A769" s="21" t="s">
        <v>2961</v>
      </c>
      <c r="B769" s="21" t="s">
        <v>2962</v>
      </c>
      <c r="C769" s="21" t="s">
        <v>2963</v>
      </c>
      <c r="D769" s="21" t="s">
        <v>71</v>
      </c>
      <c r="E769" s="22" t="s">
        <v>2964</v>
      </c>
      <c r="F769" s="22" t="s">
        <v>2962</v>
      </c>
      <c r="G769" s="21" t="s">
        <v>2965</v>
      </c>
      <c r="H769" s="21" t="s">
        <v>2966</v>
      </c>
      <c r="I769" s="12" t="s">
        <v>3371</v>
      </c>
      <c r="J769" s="12" t="s">
        <v>3272</v>
      </c>
      <c r="K769" s="12" t="s">
        <v>3040</v>
      </c>
      <c r="L769" s="12" t="s">
        <v>3041</v>
      </c>
      <c r="M769" s="12" t="s">
        <v>3042</v>
      </c>
    </row>
    <row r="770" spans="1:13" ht="39.6">
      <c r="A770" s="21" t="s">
        <v>2961</v>
      </c>
      <c r="B770" s="21" t="s">
        <v>2962</v>
      </c>
      <c r="C770" s="21" t="s">
        <v>2963</v>
      </c>
      <c r="D770" s="21" t="s">
        <v>71</v>
      </c>
      <c r="E770" s="22" t="s">
        <v>2964</v>
      </c>
      <c r="F770" s="22" t="s">
        <v>2962</v>
      </c>
      <c r="G770" s="21" t="s">
        <v>2965</v>
      </c>
      <c r="H770" s="21" t="s">
        <v>2966</v>
      </c>
      <c r="I770" s="12" t="s">
        <v>3372</v>
      </c>
      <c r="J770" s="12" t="s">
        <v>3273</v>
      </c>
      <c r="K770" s="12" t="s">
        <v>3043</v>
      </c>
      <c r="L770" s="12" t="s">
        <v>3044</v>
      </c>
      <c r="M770" s="12" t="s">
        <v>3045</v>
      </c>
    </row>
    <row r="771" spans="1:13" ht="39.6">
      <c r="A771" s="21" t="s">
        <v>2961</v>
      </c>
      <c r="B771" s="21" t="s">
        <v>2962</v>
      </c>
      <c r="C771" s="21" t="s">
        <v>2963</v>
      </c>
      <c r="D771" s="21" t="s">
        <v>71</v>
      </c>
      <c r="E771" s="22" t="s">
        <v>2964</v>
      </c>
      <c r="F771" s="22" t="s">
        <v>2962</v>
      </c>
      <c r="G771" s="21" t="s">
        <v>2965</v>
      </c>
      <c r="H771" s="21" t="s">
        <v>2966</v>
      </c>
      <c r="I771" s="12" t="s">
        <v>3373</v>
      </c>
      <c r="J771" s="12" t="s">
        <v>2375</v>
      </c>
      <c r="K771" s="12" t="s">
        <v>2395</v>
      </c>
      <c r="L771" s="12" t="s">
        <v>2396</v>
      </c>
      <c r="M771" s="12" t="s">
        <v>2397</v>
      </c>
    </row>
    <row r="772" spans="1:13" ht="39.6">
      <c r="A772" s="21" t="s">
        <v>2961</v>
      </c>
      <c r="B772" s="21" t="s">
        <v>2962</v>
      </c>
      <c r="C772" s="21" t="s">
        <v>2963</v>
      </c>
      <c r="D772" s="21" t="s">
        <v>71</v>
      </c>
      <c r="E772" s="22" t="s">
        <v>2964</v>
      </c>
      <c r="F772" s="22" t="s">
        <v>2962</v>
      </c>
      <c r="G772" s="21" t="s">
        <v>2965</v>
      </c>
      <c r="H772" s="21" t="s">
        <v>2966</v>
      </c>
      <c r="I772" s="12" t="s">
        <v>3374</v>
      </c>
      <c r="J772" s="12" t="s">
        <v>3274</v>
      </c>
      <c r="K772" s="12" t="s">
        <v>3046</v>
      </c>
      <c r="L772" s="12" t="s">
        <v>3047</v>
      </c>
      <c r="M772" s="12" t="s">
        <v>3048</v>
      </c>
    </row>
    <row r="773" spans="1:13" ht="39.6">
      <c r="A773" s="21" t="s">
        <v>2961</v>
      </c>
      <c r="B773" s="21" t="s">
        <v>2962</v>
      </c>
      <c r="C773" s="21" t="s">
        <v>2963</v>
      </c>
      <c r="D773" s="21" t="s">
        <v>71</v>
      </c>
      <c r="E773" s="22" t="s">
        <v>2964</v>
      </c>
      <c r="F773" s="22" t="s">
        <v>2962</v>
      </c>
      <c r="G773" s="21" t="s">
        <v>2965</v>
      </c>
      <c r="H773" s="21" t="s">
        <v>2966</v>
      </c>
      <c r="I773" s="12" t="s">
        <v>3375</v>
      </c>
      <c r="J773" s="12" t="s">
        <v>3275</v>
      </c>
      <c r="K773" s="12"/>
      <c r="L773" s="12" t="s">
        <v>3049</v>
      </c>
      <c r="M773" s="12" t="s">
        <v>3050</v>
      </c>
    </row>
    <row r="774" spans="1:13" ht="39.6">
      <c r="A774" s="21" t="s">
        <v>2961</v>
      </c>
      <c r="B774" s="21" t="s">
        <v>2962</v>
      </c>
      <c r="C774" s="21" t="s">
        <v>2963</v>
      </c>
      <c r="D774" s="21" t="s">
        <v>71</v>
      </c>
      <c r="E774" s="22" t="s">
        <v>2964</v>
      </c>
      <c r="F774" s="22" t="s">
        <v>2962</v>
      </c>
      <c r="G774" s="21" t="s">
        <v>2965</v>
      </c>
      <c r="H774" s="21" t="s">
        <v>2966</v>
      </c>
      <c r="I774" s="12" t="s">
        <v>3376</v>
      </c>
      <c r="J774" s="12" t="s">
        <v>3276</v>
      </c>
      <c r="K774" s="12" t="s">
        <v>3051</v>
      </c>
      <c r="L774" s="12" t="s">
        <v>3052</v>
      </c>
      <c r="M774" s="12" t="s">
        <v>3053</v>
      </c>
    </row>
    <row r="775" spans="1:13" ht="39.6">
      <c r="A775" s="21" t="s">
        <v>2961</v>
      </c>
      <c r="B775" s="21" t="s">
        <v>2962</v>
      </c>
      <c r="C775" s="21" t="s">
        <v>2963</v>
      </c>
      <c r="D775" s="21" t="s">
        <v>71</v>
      </c>
      <c r="E775" s="22" t="s">
        <v>2964</v>
      </c>
      <c r="F775" s="22" t="s">
        <v>2962</v>
      </c>
      <c r="G775" s="21" t="s">
        <v>2965</v>
      </c>
      <c r="H775" s="21" t="s">
        <v>2966</v>
      </c>
      <c r="I775" s="12" t="s">
        <v>3377</v>
      </c>
      <c r="J775" s="12" t="s">
        <v>3277</v>
      </c>
      <c r="K775" s="12" t="s">
        <v>3054</v>
      </c>
      <c r="L775" s="12" t="s">
        <v>3055</v>
      </c>
      <c r="M775" s="12" t="s">
        <v>3056</v>
      </c>
    </row>
    <row r="776" spans="1:13" ht="39.6">
      <c r="A776" s="21" t="s">
        <v>2961</v>
      </c>
      <c r="B776" s="21" t="s">
        <v>2962</v>
      </c>
      <c r="C776" s="21" t="s">
        <v>2963</v>
      </c>
      <c r="D776" s="21" t="s">
        <v>71</v>
      </c>
      <c r="E776" s="22" t="s">
        <v>2964</v>
      </c>
      <c r="F776" s="22" t="s">
        <v>2962</v>
      </c>
      <c r="G776" s="21" t="s">
        <v>2965</v>
      </c>
      <c r="H776" s="21" t="s">
        <v>2966</v>
      </c>
      <c r="I776" s="12" t="s">
        <v>3378</v>
      </c>
      <c r="J776" s="12" t="s">
        <v>3278</v>
      </c>
      <c r="K776" s="12" t="s">
        <v>3057</v>
      </c>
      <c r="L776" s="12" t="s">
        <v>3058</v>
      </c>
      <c r="M776" s="12" t="s">
        <v>3059</v>
      </c>
    </row>
    <row r="777" spans="1:13" ht="39.6">
      <c r="A777" s="21" t="s">
        <v>2961</v>
      </c>
      <c r="B777" s="21" t="s">
        <v>2962</v>
      </c>
      <c r="C777" s="21" t="s">
        <v>2963</v>
      </c>
      <c r="D777" s="21" t="s">
        <v>71</v>
      </c>
      <c r="E777" s="22" t="s">
        <v>2964</v>
      </c>
      <c r="F777" s="22" t="s">
        <v>2962</v>
      </c>
      <c r="G777" s="21" t="s">
        <v>2965</v>
      </c>
      <c r="H777" s="21" t="s">
        <v>2966</v>
      </c>
      <c r="I777" s="12" t="s">
        <v>3379</v>
      </c>
      <c r="J777" s="12" t="s">
        <v>3279</v>
      </c>
      <c r="K777" s="12" t="s">
        <v>3060</v>
      </c>
      <c r="L777" s="12" t="s">
        <v>3061</v>
      </c>
      <c r="M777" s="12" t="s">
        <v>3062</v>
      </c>
    </row>
    <row r="778" spans="1:13" ht="39.6">
      <c r="A778" s="21" t="s">
        <v>2961</v>
      </c>
      <c r="B778" s="21" t="s">
        <v>2962</v>
      </c>
      <c r="C778" s="21" t="s">
        <v>2963</v>
      </c>
      <c r="D778" s="21" t="s">
        <v>71</v>
      </c>
      <c r="E778" s="22" t="s">
        <v>2964</v>
      </c>
      <c r="F778" s="22" t="s">
        <v>2962</v>
      </c>
      <c r="G778" s="21" t="s">
        <v>2965</v>
      </c>
      <c r="H778" s="21" t="s">
        <v>2966</v>
      </c>
      <c r="I778" s="12" t="s">
        <v>3380</v>
      </c>
      <c r="J778" s="12" t="s">
        <v>3280</v>
      </c>
      <c r="K778" s="12" t="s">
        <v>3063</v>
      </c>
      <c r="L778" s="12" t="s">
        <v>3064</v>
      </c>
      <c r="M778" s="12" t="s">
        <v>3065</v>
      </c>
    </row>
    <row r="779" spans="1:13" ht="39.6">
      <c r="A779" s="21" t="s">
        <v>2961</v>
      </c>
      <c r="B779" s="21" t="s">
        <v>2962</v>
      </c>
      <c r="C779" s="21" t="s">
        <v>2963</v>
      </c>
      <c r="D779" s="21" t="s">
        <v>71</v>
      </c>
      <c r="E779" s="22" t="s">
        <v>2964</v>
      </c>
      <c r="F779" s="22" t="s">
        <v>2962</v>
      </c>
      <c r="G779" s="21" t="s">
        <v>2965</v>
      </c>
      <c r="H779" s="21" t="s">
        <v>2966</v>
      </c>
      <c r="I779" s="12" t="s">
        <v>3381</v>
      </c>
      <c r="J779" s="12" t="s">
        <v>3281</v>
      </c>
      <c r="K779" s="12"/>
      <c r="L779" s="12" t="s">
        <v>3066</v>
      </c>
      <c r="M779" s="12" t="s">
        <v>3067</v>
      </c>
    </row>
    <row r="780" spans="1:13" ht="39.6">
      <c r="A780" s="21" t="s">
        <v>2961</v>
      </c>
      <c r="B780" s="21" t="s">
        <v>2962</v>
      </c>
      <c r="C780" s="21" t="s">
        <v>2963</v>
      </c>
      <c r="D780" s="21" t="s">
        <v>71</v>
      </c>
      <c r="E780" s="22" t="s">
        <v>2964</v>
      </c>
      <c r="F780" s="22" t="s">
        <v>2962</v>
      </c>
      <c r="G780" s="21" t="s">
        <v>2965</v>
      </c>
      <c r="H780" s="21" t="s">
        <v>2966</v>
      </c>
      <c r="I780" s="12" t="s">
        <v>3382</v>
      </c>
      <c r="J780" s="12" t="s">
        <v>3282</v>
      </c>
      <c r="K780" s="12" t="s">
        <v>3068</v>
      </c>
      <c r="L780" s="12" t="s">
        <v>3069</v>
      </c>
      <c r="M780" s="12" t="s">
        <v>3070</v>
      </c>
    </row>
    <row r="781" spans="1:13" ht="39.6">
      <c r="A781" s="21" t="s">
        <v>2961</v>
      </c>
      <c r="B781" s="21" t="s">
        <v>2962</v>
      </c>
      <c r="C781" s="21" t="s">
        <v>2963</v>
      </c>
      <c r="D781" s="21" t="s">
        <v>71</v>
      </c>
      <c r="E781" s="22" t="s">
        <v>2964</v>
      </c>
      <c r="F781" s="22" t="s">
        <v>2962</v>
      </c>
      <c r="G781" s="21" t="s">
        <v>2965</v>
      </c>
      <c r="H781" s="21" t="s">
        <v>2966</v>
      </c>
      <c r="I781" s="12" t="s">
        <v>3383</v>
      </c>
      <c r="J781" s="12" t="s">
        <v>3283</v>
      </c>
      <c r="K781" s="12"/>
      <c r="L781" s="12" t="s">
        <v>3071</v>
      </c>
      <c r="M781" s="12" t="s">
        <v>3072</v>
      </c>
    </row>
    <row r="782" spans="1:13" ht="39.6">
      <c r="A782" s="21" t="s">
        <v>2961</v>
      </c>
      <c r="B782" s="21" t="s">
        <v>2962</v>
      </c>
      <c r="C782" s="21" t="s">
        <v>2963</v>
      </c>
      <c r="D782" s="21" t="s">
        <v>71</v>
      </c>
      <c r="E782" s="22" t="s">
        <v>2964</v>
      </c>
      <c r="F782" s="22" t="s">
        <v>2962</v>
      </c>
      <c r="G782" s="21" t="s">
        <v>2965</v>
      </c>
      <c r="H782" s="21" t="s">
        <v>2966</v>
      </c>
      <c r="I782" s="12" t="s">
        <v>3384</v>
      </c>
      <c r="J782" s="12" t="s">
        <v>3284</v>
      </c>
      <c r="K782" s="12" t="s">
        <v>3073</v>
      </c>
      <c r="L782" s="12" t="s">
        <v>3074</v>
      </c>
      <c r="M782" s="12" t="s">
        <v>3075</v>
      </c>
    </row>
    <row r="783" spans="1:13" ht="39.6">
      <c r="A783" s="21" t="s">
        <v>2961</v>
      </c>
      <c r="B783" s="21" t="s">
        <v>2962</v>
      </c>
      <c r="C783" s="21" t="s">
        <v>2963</v>
      </c>
      <c r="D783" s="21" t="s">
        <v>71</v>
      </c>
      <c r="E783" s="22" t="s">
        <v>2964</v>
      </c>
      <c r="F783" s="22" t="s">
        <v>2962</v>
      </c>
      <c r="G783" s="21" t="s">
        <v>2965</v>
      </c>
      <c r="H783" s="21" t="s">
        <v>2966</v>
      </c>
      <c r="I783" s="12" t="s">
        <v>3385</v>
      </c>
      <c r="J783" s="12" t="s">
        <v>3285</v>
      </c>
      <c r="K783" s="12"/>
      <c r="L783" s="12" t="s">
        <v>3076</v>
      </c>
      <c r="M783" s="12" t="s">
        <v>3077</v>
      </c>
    </row>
    <row r="784" spans="1:13" ht="39.6">
      <c r="A784" s="21" t="s">
        <v>2961</v>
      </c>
      <c r="B784" s="21" t="s">
        <v>2962</v>
      </c>
      <c r="C784" s="21" t="s">
        <v>2963</v>
      </c>
      <c r="D784" s="21" t="s">
        <v>71</v>
      </c>
      <c r="E784" s="22" t="s">
        <v>2964</v>
      </c>
      <c r="F784" s="22" t="s">
        <v>2962</v>
      </c>
      <c r="G784" s="21" t="s">
        <v>2965</v>
      </c>
      <c r="H784" s="21" t="s">
        <v>2966</v>
      </c>
      <c r="I784" s="12" t="s">
        <v>3386</v>
      </c>
      <c r="J784" s="12" t="s">
        <v>3286</v>
      </c>
      <c r="K784" s="12" t="s">
        <v>3078</v>
      </c>
      <c r="L784" s="12" t="s">
        <v>3079</v>
      </c>
      <c r="M784" s="12" t="s">
        <v>3080</v>
      </c>
    </row>
    <row r="785" spans="1:13" ht="39.6">
      <c r="A785" s="21" t="s">
        <v>2961</v>
      </c>
      <c r="B785" s="21" t="s">
        <v>2962</v>
      </c>
      <c r="C785" s="21" t="s">
        <v>2963</v>
      </c>
      <c r="D785" s="21" t="s">
        <v>71</v>
      </c>
      <c r="E785" s="22" t="s">
        <v>2964</v>
      </c>
      <c r="F785" s="22" t="s">
        <v>2962</v>
      </c>
      <c r="G785" s="21" t="s">
        <v>2965</v>
      </c>
      <c r="H785" s="21" t="s">
        <v>2966</v>
      </c>
      <c r="I785" s="12" t="s">
        <v>3387</v>
      </c>
      <c r="J785" s="12" t="s">
        <v>3287</v>
      </c>
      <c r="K785" s="12" t="s">
        <v>3081</v>
      </c>
      <c r="L785" s="12" t="s">
        <v>3082</v>
      </c>
      <c r="M785" s="12" t="s">
        <v>3083</v>
      </c>
    </row>
    <row r="786" spans="1:13" ht="39.6">
      <c r="A786" s="21" t="s">
        <v>2961</v>
      </c>
      <c r="B786" s="21" t="s">
        <v>2962</v>
      </c>
      <c r="C786" s="21" t="s">
        <v>2963</v>
      </c>
      <c r="D786" s="21" t="s">
        <v>71</v>
      </c>
      <c r="E786" s="22" t="s">
        <v>2964</v>
      </c>
      <c r="F786" s="22" t="s">
        <v>2962</v>
      </c>
      <c r="G786" s="21" t="s">
        <v>2965</v>
      </c>
      <c r="H786" s="21" t="s">
        <v>2966</v>
      </c>
      <c r="I786" s="12" t="s">
        <v>3388</v>
      </c>
      <c r="J786" s="12" t="s">
        <v>3288</v>
      </c>
      <c r="K786" s="12" t="s">
        <v>3084</v>
      </c>
      <c r="L786" s="12" t="s">
        <v>3085</v>
      </c>
      <c r="M786" s="12" t="s">
        <v>3086</v>
      </c>
    </row>
    <row r="787" spans="1:13" ht="39.6">
      <c r="A787" s="21" t="s">
        <v>2961</v>
      </c>
      <c r="B787" s="21" t="s">
        <v>2962</v>
      </c>
      <c r="C787" s="21" t="s">
        <v>2963</v>
      </c>
      <c r="D787" s="21" t="s">
        <v>71</v>
      </c>
      <c r="E787" s="22" t="s">
        <v>2964</v>
      </c>
      <c r="F787" s="22" t="s">
        <v>2962</v>
      </c>
      <c r="G787" s="21" t="s">
        <v>2965</v>
      </c>
      <c r="H787" s="21" t="s">
        <v>2966</v>
      </c>
      <c r="I787" s="12" t="s">
        <v>3389</v>
      </c>
      <c r="J787" s="12" t="s">
        <v>3289</v>
      </c>
      <c r="K787" s="12"/>
      <c r="L787" s="12" t="s">
        <v>3087</v>
      </c>
      <c r="M787" s="12" t="s">
        <v>3088</v>
      </c>
    </row>
    <row r="788" spans="1:13" ht="39.6">
      <c r="A788" s="21" t="s">
        <v>2961</v>
      </c>
      <c r="B788" s="21" t="s">
        <v>2962</v>
      </c>
      <c r="C788" s="21" t="s">
        <v>2963</v>
      </c>
      <c r="D788" s="21" t="s">
        <v>71</v>
      </c>
      <c r="E788" s="22" t="s">
        <v>2964</v>
      </c>
      <c r="F788" s="22" t="s">
        <v>2962</v>
      </c>
      <c r="G788" s="21" t="s">
        <v>2965</v>
      </c>
      <c r="H788" s="21" t="s">
        <v>2966</v>
      </c>
      <c r="I788" s="12" t="s">
        <v>3390</v>
      </c>
      <c r="J788" s="12" t="s">
        <v>3290</v>
      </c>
      <c r="K788" s="12"/>
      <c r="L788" s="12" t="s">
        <v>3089</v>
      </c>
      <c r="M788" s="12" t="s">
        <v>3090</v>
      </c>
    </row>
    <row r="789" spans="1:13" ht="39.6">
      <c r="A789" s="21" t="s">
        <v>2961</v>
      </c>
      <c r="B789" s="21" t="s">
        <v>2962</v>
      </c>
      <c r="C789" s="21" t="s">
        <v>2963</v>
      </c>
      <c r="D789" s="21" t="s">
        <v>71</v>
      </c>
      <c r="E789" s="22" t="s">
        <v>2964</v>
      </c>
      <c r="F789" s="22" t="s">
        <v>2962</v>
      </c>
      <c r="G789" s="21" t="s">
        <v>2965</v>
      </c>
      <c r="H789" s="21" t="s">
        <v>2966</v>
      </c>
      <c r="I789" s="12" t="s">
        <v>3391</v>
      </c>
      <c r="J789" s="12" t="s">
        <v>3291</v>
      </c>
      <c r="K789" s="12" t="s">
        <v>3091</v>
      </c>
      <c r="L789" s="12" t="s">
        <v>3092</v>
      </c>
      <c r="M789" s="12" t="s">
        <v>3093</v>
      </c>
    </row>
    <row r="790" spans="1:13" ht="39.6">
      <c r="A790" s="21" t="s">
        <v>2961</v>
      </c>
      <c r="B790" s="21" t="s">
        <v>2962</v>
      </c>
      <c r="C790" s="21" t="s">
        <v>2963</v>
      </c>
      <c r="D790" s="21" t="s">
        <v>71</v>
      </c>
      <c r="E790" s="22" t="s">
        <v>2964</v>
      </c>
      <c r="F790" s="22" t="s">
        <v>2962</v>
      </c>
      <c r="G790" s="21" t="s">
        <v>2965</v>
      </c>
      <c r="H790" s="21" t="s">
        <v>2966</v>
      </c>
      <c r="I790" s="12" t="s">
        <v>3392</v>
      </c>
      <c r="J790" s="12" t="s">
        <v>3292</v>
      </c>
      <c r="K790" s="12" t="s">
        <v>3094</v>
      </c>
      <c r="L790" s="12" t="s">
        <v>3095</v>
      </c>
      <c r="M790" s="12" t="s">
        <v>3094</v>
      </c>
    </row>
    <row r="791" spans="1:13" ht="39.6">
      <c r="A791" s="21" t="s">
        <v>2961</v>
      </c>
      <c r="B791" s="21" t="s">
        <v>2962</v>
      </c>
      <c r="C791" s="21" t="s">
        <v>2963</v>
      </c>
      <c r="D791" s="21" t="s">
        <v>71</v>
      </c>
      <c r="E791" s="22" t="s">
        <v>2964</v>
      </c>
      <c r="F791" s="22" t="s">
        <v>2962</v>
      </c>
      <c r="G791" s="21" t="s">
        <v>2965</v>
      </c>
      <c r="H791" s="21" t="s">
        <v>2966</v>
      </c>
      <c r="I791" s="12" t="s">
        <v>3393</v>
      </c>
      <c r="J791" s="12" t="s">
        <v>3293</v>
      </c>
      <c r="K791" s="12" t="s">
        <v>3096</v>
      </c>
      <c r="L791" s="12" t="s">
        <v>3097</v>
      </c>
      <c r="M791" s="12" t="s">
        <v>3098</v>
      </c>
    </row>
    <row r="792" spans="1:13" ht="39.6">
      <c r="A792" s="21" t="s">
        <v>2961</v>
      </c>
      <c r="B792" s="21" t="s">
        <v>2962</v>
      </c>
      <c r="C792" s="21" t="s">
        <v>2963</v>
      </c>
      <c r="D792" s="21" t="s">
        <v>71</v>
      </c>
      <c r="E792" s="22" t="s">
        <v>2964</v>
      </c>
      <c r="F792" s="22" t="s">
        <v>2962</v>
      </c>
      <c r="G792" s="21" t="s">
        <v>2965</v>
      </c>
      <c r="H792" s="21" t="s">
        <v>2966</v>
      </c>
      <c r="I792" s="12" t="s">
        <v>3394</v>
      </c>
      <c r="J792" s="12" t="s">
        <v>3294</v>
      </c>
      <c r="K792" s="12"/>
      <c r="L792" s="12" t="s">
        <v>3099</v>
      </c>
      <c r="M792" s="12" t="s">
        <v>3100</v>
      </c>
    </row>
    <row r="793" spans="1:13" ht="39.6">
      <c r="A793" s="21" t="s">
        <v>2961</v>
      </c>
      <c r="B793" s="21" t="s">
        <v>2962</v>
      </c>
      <c r="C793" s="21" t="s">
        <v>2963</v>
      </c>
      <c r="D793" s="21" t="s">
        <v>71</v>
      </c>
      <c r="E793" s="22" t="s">
        <v>2964</v>
      </c>
      <c r="F793" s="22" t="s">
        <v>2962</v>
      </c>
      <c r="G793" s="21" t="s">
        <v>2965</v>
      </c>
      <c r="H793" s="21" t="s">
        <v>2966</v>
      </c>
      <c r="I793" s="12" t="s">
        <v>3395</v>
      </c>
      <c r="J793" s="12" t="s">
        <v>3295</v>
      </c>
      <c r="K793" s="12" t="s">
        <v>3101</v>
      </c>
      <c r="L793" s="12" t="s">
        <v>3102</v>
      </c>
      <c r="M793" s="12" t="s">
        <v>3103</v>
      </c>
    </row>
    <row r="794" spans="1:13" ht="39.6">
      <c r="A794" s="21" t="s">
        <v>2961</v>
      </c>
      <c r="B794" s="21" t="s">
        <v>2962</v>
      </c>
      <c r="C794" s="21" t="s">
        <v>2963</v>
      </c>
      <c r="D794" s="21" t="s">
        <v>71</v>
      </c>
      <c r="E794" s="22" t="s">
        <v>2964</v>
      </c>
      <c r="F794" s="22" t="s">
        <v>2962</v>
      </c>
      <c r="G794" s="21" t="s">
        <v>2965</v>
      </c>
      <c r="H794" s="21" t="s">
        <v>2966</v>
      </c>
      <c r="I794" s="12" t="s">
        <v>3396</v>
      </c>
      <c r="J794" s="12" t="s">
        <v>3296</v>
      </c>
      <c r="K794" s="12" t="s">
        <v>3104</v>
      </c>
      <c r="L794" s="12" t="s">
        <v>3105</v>
      </c>
      <c r="M794" s="12" t="s">
        <v>3106</v>
      </c>
    </row>
    <row r="795" spans="1:13" ht="39.6">
      <c r="A795" s="21" t="s">
        <v>2961</v>
      </c>
      <c r="B795" s="21" t="s">
        <v>2962</v>
      </c>
      <c r="C795" s="21" t="s">
        <v>2963</v>
      </c>
      <c r="D795" s="21" t="s">
        <v>71</v>
      </c>
      <c r="E795" s="22" t="s">
        <v>2964</v>
      </c>
      <c r="F795" s="22" t="s">
        <v>2962</v>
      </c>
      <c r="G795" s="21" t="s">
        <v>2965</v>
      </c>
      <c r="H795" s="21" t="s">
        <v>2966</v>
      </c>
      <c r="I795" s="12" t="s">
        <v>3397</v>
      </c>
      <c r="J795" s="12" t="s">
        <v>3297</v>
      </c>
      <c r="K795" s="12" t="s">
        <v>3107</v>
      </c>
      <c r="L795" s="12" t="s">
        <v>3108</v>
      </c>
      <c r="M795" s="12" t="s">
        <v>3109</v>
      </c>
    </row>
    <row r="796" spans="1:13" ht="39.6">
      <c r="A796" s="21" t="s">
        <v>2961</v>
      </c>
      <c r="B796" s="21" t="s">
        <v>2962</v>
      </c>
      <c r="C796" s="21" t="s">
        <v>2963</v>
      </c>
      <c r="D796" s="21" t="s">
        <v>71</v>
      </c>
      <c r="E796" s="22" t="s">
        <v>2964</v>
      </c>
      <c r="F796" s="22" t="s">
        <v>2962</v>
      </c>
      <c r="G796" s="21" t="s">
        <v>2965</v>
      </c>
      <c r="H796" s="21" t="s">
        <v>2966</v>
      </c>
      <c r="I796" s="12" t="s">
        <v>3398</v>
      </c>
      <c r="J796" s="12" t="s">
        <v>3298</v>
      </c>
      <c r="K796" s="12" t="s">
        <v>3110</v>
      </c>
      <c r="L796" s="12" t="s">
        <v>3111</v>
      </c>
      <c r="M796" s="12" t="s">
        <v>3112</v>
      </c>
    </row>
    <row r="797" spans="1:13" ht="39.6">
      <c r="A797" s="21" t="s">
        <v>2961</v>
      </c>
      <c r="B797" s="21" t="s">
        <v>2962</v>
      </c>
      <c r="C797" s="21" t="s">
        <v>2963</v>
      </c>
      <c r="D797" s="21" t="s">
        <v>71</v>
      </c>
      <c r="E797" s="22" t="s">
        <v>2964</v>
      </c>
      <c r="F797" s="22" t="s">
        <v>2962</v>
      </c>
      <c r="G797" s="21" t="s">
        <v>2965</v>
      </c>
      <c r="H797" s="21" t="s">
        <v>2966</v>
      </c>
      <c r="I797" s="12" t="s">
        <v>3399</v>
      </c>
      <c r="J797" s="12" t="s">
        <v>3299</v>
      </c>
      <c r="K797" s="12" t="s">
        <v>3113</v>
      </c>
      <c r="L797" s="12" t="s">
        <v>3114</v>
      </c>
      <c r="M797" s="12" t="s">
        <v>3115</v>
      </c>
    </row>
    <row r="798" spans="1:13" ht="39.6">
      <c r="A798" s="21" t="s">
        <v>2961</v>
      </c>
      <c r="B798" s="21" t="s">
        <v>2962</v>
      </c>
      <c r="C798" s="21" t="s">
        <v>2963</v>
      </c>
      <c r="D798" s="21" t="s">
        <v>71</v>
      </c>
      <c r="E798" s="22" t="s">
        <v>2964</v>
      </c>
      <c r="F798" s="22" t="s">
        <v>2962</v>
      </c>
      <c r="G798" s="21" t="s">
        <v>2965</v>
      </c>
      <c r="H798" s="21" t="s">
        <v>2966</v>
      </c>
      <c r="I798" s="12" t="s">
        <v>3400</v>
      </c>
      <c r="J798" s="12" t="s">
        <v>3300</v>
      </c>
      <c r="K798" s="12" t="s">
        <v>3116</v>
      </c>
      <c r="L798" s="12" t="s">
        <v>3117</v>
      </c>
      <c r="M798" s="12" t="s">
        <v>3118</v>
      </c>
    </row>
    <row r="799" spans="1:13" ht="39.6">
      <c r="A799" s="21" t="s">
        <v>2961</v>
      </c>
      <c r="B799" s="21" t="s">
        <v>2962</v>
      </c>
      <c r="C799" s="21" t="s">
        <v>2963</v>
      </c>
      <c r="D799" s="21" t="s">
        <v>71</v>
      </c>
      <c r="E799" s="22" t="s">
        <v>2964</v>
      </c>
      <c r="F799" s="22" t="s">
        <v>2962</v>
      </c>
      <c r="G799" s="21" t="s">
        <v>2965</v>
      </c>
      <c r="H799" s="21" t="s">
        <v>2966</v>
      </c>
      <c r="I799" s="12" t="s">
        <v>3401</v>
      </c>
      <c r="J799" s="12" t="s">
        <v>3301</v>
      </c>
      <c r="K799" s="12" t="s">
        <v>3119</v>
      </c>
      <c r="L799" s="12" t="s">
        <v>3120</v>
      </c>
      <c r="M799" s="12" t="s">
        <v>3121</v>
      </c>
    </row>
    <row r="800" spans="1:13" ht="39.6">
      <c r="A800" s="21" t="s">
        <v>2961</v>
      </c>
      <c r="B800" s="21" t="s">
        <v>2962</v>
      </c>
      <c r="C800" s="21" t="s">
        <v>2963</v>
      </c>
      <c r="D800" s="21" t="s">
        <v>71</v>
      </c>
      <c r="E800" s="22" t="s">
        <v>2964</v>
      </c>
      <c r="F800" s="22" t="s">
        <v>2962</v>
      </c>
      <c r="G800" s="21" t="s">
        <v>2965</v>
      </c>
      <c r="H800" s="21" t="s">
        <v>2966</v>
      </c>
      <c r="I800" s="12" t="s">
        <v>3402</v>
      </c>
      <c r="J800" s="12" t="s">
        <v>3302</v>
      </c>
      <c r="K800" s="12" t="s">
        <v>3122</v>
      </c>
      <c r="L800" s="12" t="s">
        <v>3123</v>
      </c>
      <c r="M800" s="12" t="s">
        <v>3124</v>
      </c>
    </row>
    <row r="801" spans="1:13" ht="39.6">
      <c r="A801" s="21" t="s">
        <v>2961</v>
      </c>
      <c r="B801" s="21" t="s">
        <v>2962</v>
      </c>
      <c r="C801" s="21" t="s">
        <v>2963</v>
      </c>
      <c r="D801" s="21" t="s">
        <v>71</v>
      </c>
      <c r="E801" s="22" t="s">
        <v>2964</v>
      </c>
      <c r="F801" s="22" t="s">
        <v>2962</v>
      </c>
      <c r="G801" s="21" t="s">
        <v>2965</v>
      </c>
      <c r="H801" s="21" t="s">
        <v>2966</v>
      </c>
      <c r="I801" s="12" t="s">
        <v>3403</v>
      </c>
      <c r="J801" s="12" t="s">
        <v>3303</v>
      </c>
      <c r="K801" s="12" t="s">
        <v>3125</v>
      </c>
      <c r="L801" s="12" t="s">
        <v>3126</v>
      </c>
      <c r="M801" s="12" t="s">
        <v>3127</v>
      </c>
    </row>
    <row r="802" spans="1:13" ht="39.6">
      <c r="A802" s="21" t="s">
        <v>2961</v>
      </c>
      <c r="B802" s="21" t="s">
        <v>2962</v>
      </c>
      <c r="C802" s="21" t="s">
        <v>2963</v>
      </c>
      <c r="D802" s="21" t="s">
        <v>71</v>
      </c>
      <c r="E802" s="22" t="s">
        <v>2964</v>
      </c>
      <c r="F802" s="22" t="s">
        <v>2962</v>
      </c>
      <c r="G802" s="21" t="s">
        <v>2965</v>
      </c>
      <c r="H802" s="21" t="s">
        <v>2966</v>
      </c>
      <c r="I802" s="12" t="s">
        <v>3404</v>
      </c>
      <c r="J802" s="12" t="s">
        <v>3304</v>
      </c>
      <c r="K802" s="12" t="s">
        <v>3128</v>
      </c>
      <c r="L802" s="12" t="s">
        <v>3129</v>
      </c>
      <c r="M802" s="12" t="s">
        <v>3130</v>
      </c>
    </row>
    <row r="803" spans="1:13" ht="39.6">
      <c r="A803" s="21" t="s">
        <v>2961</v>
      </c>
      <c r="B803" s="21" t="s">
        <v>2962</v>
      </c>
      <c r="C803" s="21" t="s">
        <v>2963</v>
      </c>
      <c r="D803" s="21" t="s">
        <v>71</v>
      </c>
      <c r="E803" s="22" t="s">
        <v>2964</v>
      </c>
      <c r="F803" s="22" t="s">
        <v>2962</v>
      </c>
      <c r="G803" s="21" t="s">
        <v>2965</v>
      </c>
      <c r="H803" s="21" t="s">
        <v>2966</v>
      </c>
      <c r="I803" s="12" t="s">
        <v>3405</v>
      </c>
      <c r="J803" s="12" t="s">
        <v>3305</v>
      </c>
      <c r="K803" s="12" t="s">
        <v>3131</v>
      </c>
      <c r="L803" s="12" t="s">
        <v>3132</v>
      </c>
      <c r="M803" s="12" t="s">
        <v>3133</v>
      </c>
    </row>
    <row r="804" spans="1:13" ht="39.6">
      <c r="A804" s="21" t="s">
        <v>2961</v>
      </c>
      <c r="B804" s="21" t="s">
        <v>2962</v>
      </c>
      <c r="C804" s="21" t="s">
        <v>2963</v>
      </c>
      <c r="D804" s="21" t="s">
        <v>71</v>
      </c>
      <c r="E804" s="22" t="s">
        <v>2964</v>
      </c>
      <c r="F804" s="22" t="s">
        <v>2962</v>
      </c>
      <c r="G804" s="21" t="s">
        <v>2965</v>
      </c>
      <c r="H804" s="21" t="s">
        <v>2966</v>
      </c>
      <c r="I804" s="12" t="s">
        <v>3406</v>
      </c>
      <c r="J804" s="12" t="s">
        <v>3306</v>
      </c>
      <c r="K804" s="12" t="s">
        <v>3134</v>
      </c>
      <c r="L804" s="12" t="s">
        <v>3135</v>
      </c>
      <c r="M804" s="12" t="s">
        <v>3136</v>
      </c>
    </row>
    <row r="805" spans="1:13" ht="39.6">
      <c r="A805" s="21" t="s">
        <v>2961</v>
      </c>
      <c r="B805" s="21" t="s">
        <v>2962</v>
      </c>
      <c r="C805" s="21" t="s">
        <v>2963</v>
      </c>
      <c r="D805" s="21" t="s">
        <v>71</v>
      </c>
      <c r="E805" s="22" t="s">
        <v>2964</v>
      </c>
      <c r="F805" s="22" t="s">
        <v>2962</v>
      </c>
      <c r="G805" s="21" t="s">
        <v>2965</v>
      </c>
      <c r="H805" s="21" t="s">
        <v>2966</v>
      </c>
      <c r="I805" s="12" t="s">
        <v>3407</v>
      </c>
      <c r="J805" s="12" t="s">
        <v>3307</v>
      </c>
      <c r="K805" s="12" t="s">
        <v>3137</v>
      </c>
      <c r="L805" s="12" t="s">
        <v>3138</v>
      </c>
      <c r="M805" s="12" t="s">
        <v>3139</v>
      </c>
    </row>
    <row r="806" spans="1:13" ht="39.6">
      <c r="A806" s="21" t="s">
        <v>2961</v>
      </c>
      <c r="B806" s="21" t="s">
        <v>2962</v>
      </c>
      <c r="C806" s="21" t="s">
        <v>2963</v>
      </c>
      <c r="D806" s="21" t="s">
        <v>71</v>
      </c>
      <c r="E806" s="22" t="s">
        <v>2964</v>
      </c>
      <c r="F806" s="22" t="s">
        <v>2962</v>
      </c>
      <c r="G806" s="21" t="s">
        <v>2965</v>
      </c>
      <c r="H806" s="21" t="s">
        <v>2966</v>
      </c>
      <c r="I806" s="12" t="s">
        <v>3408</v>
      </c>
      <c r="J806" s="12" t="s">
        <v>3308</v>
      </c>
      <c r="K806" s="12" t="s">
        <v>3140</v>
      </c>
      <c r="L806" s="12" t="s">
        <v>3141</v>
      </c>
      <c r="M806" s="12" t="s">
        <v>3142</v>
      </c>
    </row>
    <row r="807" spans="1:13" ht="39.6">
      <c r="A807" s="21" t="s">
        <v>2961</v>
      </c>
      <c r="B807" s="21" t="s">
        <v>2962</v>
      </c>
      <c r="C807" s="21" t="s">
        <v>2963</v>
      </c>
      <c r="D807" s="21" t="s">
        <v>71</v>
      </c>
      <c r="E807" s="22" t="s">
        <v>2964</v>
      </c>
      <c r="F807" s="22" t="s">
        <v>2962</v>
      </c>
      <c r="G807" s="21" t="s">
        <v>2965</v>
      </c>
      <c r="H807" s="21" t="s">
        <v>2966</v>
      </c>
      <c r="I807" s="12" t="s">
        <v>3409</v>
      </c>
      <c r="J807" s="12" t="s">
        <v>3309</v>
      </c>
      <c r="K807" s="12" t="s">
        <v>3143</v>
      </c>
      <c r="L807" s="12" t="s">
        <v>3144</v>
      </c>
      <c r="M807" s="12" t="s">
        <v>3145</v>
      </c>
    </row>
    <row r="808" spans="1:13" ht="39.6">
      <c r="A808" s="21" t="s">
        <v>2961</v>
      </c>
      <c r="B808" s="21" t="s">
        <v>2962</v>
      </c>
      <c r="C808" s="21" t="s">
        <v>2963</v>
      </c>
      <c r="D808" s="21" t="s">
        <v>71</v>
      </c>
      <c r="E808" s="22" t="s">
        <v>2964</v>
      </c>
      <c r="F808" s="22" t="s">
        <v>2962</v>
      </c>
      <c r="G808" s="21" t="s">
        <v>2965</v>
      </c>
      <c r="H808" s="21" t="s">
        <v>2966</v>
      </c>
      <c r="I808" s="12" t="s">
        <v>3410</v>
      </c>
      <c r="J808" s="12" t="s">
        <v>3310</v>
      </c>
      <c r="K808" s="12" t="s">
        <v>3146</v>
      </c>
      <c r="L808" s="12" t="s">
        <v>3147</v>
      </c>
      <c r="M808" s="12" t="s">
        <v>3148</v>
      </c>
    </row>
    <row r="809" spans="1:13" ht="39.6">
      <c r="A809" s="21" t="s">
        <v>2961</v>
      </c>
      <c r="B809" s="21" t="s">
        <v>2962</v>
      </c>
      <c r="C809" s="21" t="s">
        <v>2963</v>
      </c>
      <c r="D809" s="21" t="s">
        <v>71</v>
      </c>
      <c r="E809" s="22" t="s">
        <v>2964</v>
      </c>
      <c r="F809" s="22" t="s">
        <v>2962</v>
      </c>
      <c r="G809" s="21" t="s">
        <v>2965</v>
      </c>
      <c r="H809" s="21" t="s">
        <v>2966</v>
      </c>
      <c r="I809" s="12" t="s">
        <v>3411</v>
      </c>
      <c r="J809" s="12" t="s">
        <v>3311</v>
      </c>
      <c r="K809" s="12" t="s">
        <v>3149</v>
      </c>
      <c r="L809" s="12" t="s">
        <v>3150</v>
      </c>
      <c r="M809" s="12" t="s">
        <v>3151</v>
      </c>
    </row>
    <row r="810" spans="1:13" ht="39.6">
      <c r="A810" s="21" t="s">
        <v>2961</v>
      </c>
      <c r="B810" s="21" t="s">
        <v>2962</v>
      </c>
      <c r="C810" s="21" t="s">
        <v>2963</v>
      </c>
      <c r="D810" s="21" t="s">
        <v>71</v>
      </c>
      <c r="E810" s="22" t="s">
        <v>2964</v>
      </c>
      <c r="F810" s="22" t="s">
        <v>2962</v>
      </c>
      <c r="G810" s="21" t="s">
        <v>2965</v>
      </c>
      <c r="H810" s="21" t="s">
        <v>2966</v>
      </c>
      <c r="I810" s="12" t="s">
        <v>3412</v>
      </c>
      <c r="J810" s="12" t="s">
        <v>3312</v>
      </c>
      <c r="K810" s="12" t="s">
        <v>3152</v>
      </c>
      <c r="L810" s="12" t="s">
        <v>3153</v>
      </c>
      <c r="M810" s="12" t="s">
        <v>3154</v>
      </c>
    </row>
    <row r="811" spans="1:13" ht="39.6">
      <c r="A811" s="21" t="s">
        <v>2961</v>
      </c>
      <c r="B811" s="21" t="s">
        <v>2962</v>
      </c>
      <c r="C811" s="21" t="s">
        <v>2963</v>
      </c>
      <c r="D811" s="21" t="s">
        <v>71</v>
      </c>
      <c r="E811" s="22" t="s">
        <v>2964</v>
      </c>
      <c r="F811" s="22" t="s">
        <v>2962</v>
      </c>
      <c r="G811" s="21" t="s">
        <v>2965</v>
      </c>
      <c r="H811" s="21" t="s">
        <v>2966</v>
      </c>
      <c r="I811" s="12" t="s">
        <v>3413</v>
      </c>
      <c r="J811" s="12" t="s">
        <v>3313</v>
      </c>
      <c r="K811" s="12" t="s">
        <v>3155</v>
      </c>
      <c r="L811" s="12" t="s">
        <v>3156</v>
      </c>
      <c r="M811" s="12" t="s">
        <v>3157</v>
      </c>
    </row>
    <row r="812" spans="1:13" ht="39.6">
      <c r="A812" s="21" t="s">
        <v>2961</v>
      </c>
      <c r="B812" s="21" t="s">
        <v>2962</v>
      </c>
      <c r="C812" s="21" t="s">
        <v>2963</v>
      </c>
      <c r="D812" s="21" t="s">
        <v>71</v>
      </c>
      <c r="E812" s="22" t="s">
        <v>2964</v>
      </c>
      <c r="F812" s="22" t="s">
        <v>2962</v>
      </c>
      <c r="G812" s="21" t="s">
        <v>2965</v>
      </c>
      <c r="H812" s="21" t="s">
        <v>2966</v>
      </c>
      <c r="I812" s="12" t="s">
        <v>3414</v>
      </c>
      <c r="J812" s="12" t="s">
        <v>3314</v>
      </c>
      <c r="K812" s="12" t="s">
        <v>3158</v>
      </c>
      <c r="L812" s="12" t="s">
        <v>3159</v>
      </c>
      <c r="M812" s="12" t="s">
        <v>3160</v>
      </c>
    </row>
    <row r="813" spans="1:13" ht="39.6">
      <c r="A813" s="21" t="s">
        <v>2961</v>
      </c>
      <c r="B813" s="21" t="s">
        <v>2962</v>
      </c>
      <c r="C813" s="21" t="s">
        <v>2963</v>
      </c>
      <c r="D813" s="21" t="s">
        <v>71</v>
      </c>
      <c r="E813" s="22" t="s">
        <v>2964</v>
      </c>
      <c r="F813" s="22" t="s">
        <v>2962</v>
      </c>
      <c r="G813" s="21" t="s">
        <v>2965</v>
      </c>
      <c r="H813" s="21" t="s">
        <v>2966</v>
      </c>
      <c r="I813" s="12" t="s">
        <v>3415</v>
      </c>
      <c r="J813" s="12" t="s">
        <v>3315</v>
      </c>
      <c r="K813" s="12" t="s">
        <v>3161</v>
      </c>
      <c r="L813" s="12" t="s">
        <v>3162</v>
      </c>
      <c r="M813" s="12" t="s">
        <v>3163</v>
      </c>
    </row>
    <row r="814" spans="1:13" ht="39.6">
      <c r="A814" s="21" t="s">
        <v>2961</v>
      </c>
      <c r="B814" s="21" t="s">
        <v>2962</v>
      </c>
      <c r="C814" s="21" t="s">
        <v>2963</v>
      </c>
      <c r="D814" s="21" t="s">
        <v>71</v>
      </c>
      <c r="E814" s="22" t="s">
        <v>2964</v>
      </c>
      <c r="F814" s="22" t="s">
        <v>2962</v>
      </c>
      <c r="G814" s="21" t="s">
        <v>2965</v>
      </c>
      <c r="H814" s="21" t="s">
        <v>2966</v>
      </c>
      <c r="I814" s="12" t="s">
        <v>3416</v>
      </c>
      <c r="J814" s="12" t="s">
        <v>3316</v>
      </c>
      <c r="K814" s="12" t="s">
        <v>3164</v>
      </c>
      <c r="L814" s="12" t="s">
        <v>3165</v>
      </c>
      <c r="M814" s="12" t="s">
        <v>3166</v>
      </c>
    </row>
    <row r="815" spans="1:13" ht="39.6">
      <c r="A815" s="21" t="s">
        <v>2961</v>
      </c>
      <c r="B815" s="21" t="s">
        <v>2962</v>
      </c>
      <c r="C815" s="21" t="s">
        <v>2963</v>
      </c>
      <c r="D815" s="21" t="s">
        <v>71</v>
      </c>
      <c r="E815" s="22" t="s">
        <v>2964</v>
      </c>
      <c r="F815" s="22" t="s">
        <v>2962</v>
      </c>
      <c r="G815" s="21" t="s">
        <v>2965</v>
      </c>
      <c r="H815" s="21" t="s">
        <v>2966</v>
      </c>
      <c r="I815" s="12" t="s">
        <v>3417</v>
      </c>
      <c r="J815" s="12" t="s">
        <v>3317</v>
      </c>
      <c r="K815" s="12" t="s">
        <v>3167</v>
      </c>
      <c r="L815" s="12" t="s">
        <v>3168</v>
      </c>
      <c r="M815" s="12" t="s">
        <v>3169</v>
      </c>
    </row>
    <row r="816" spans="1:13" ht="39.6">
      <c r="A816" s="21" t="s">
        <v>2961</v>
      </c>
      <c r="B816" s="21" t="s">
        <v>2962</v>
      </c>
      <c r="C816" s="21" t="s">
        <v>2963</v>
      </c>
      <c r="D816" s="21" t="s">
        <v>71</v>
      </c>
      <c r="E816" s="22" t="s">
        <v>2964</v>
      </c>
      <c r="F816" s="22" t="s">
        <v>2962</v>
      </c>
      <c r="G816" s="21" t="s">
        <v>2965</v>
      </c>
      <c r="H816" s="21" t="s">
        <v>2966</v>
      </c>
      <c r="I816" s="12" t="s">
        <v>3418</v>
      </c>
      <c r="J816" s="12" t="s">
        <v>3318</v>
      </c>
      <c r="K816" s="12" t="s">
        <v>3170</v>
      </c>
      <c r="L816" s="12" t="s">
        <v>3171</v>
      </c>
      <c r="M816" s="12" t="s">
        <v>3172</v>
      </c>
    </row>
    <row r="817" spans="1:13" ht="39.6">
      <c r="A817" s="21" t="s">
        <v>2961</v>
      </c>
      <c r="B817" s="21" t="s">
        <v>2962</v>
      </c>
      <c r="C817" s="21" t="s">
        <v>2963</v>
      </c>
      <c r="D817" s="21" t="s">
        <v>71</v>
      </c>
      <c r="E817" s="22" t="s">
        <v>2964</v>
      </c>
      <c r="F817" s="22" t="s">
        <v>2962</v>
      </c>
      <c r="G817" s="21" t="s">
        <v>2965</v>
      </c>
      <c r="H817" s="21" t="s">
        <v>2966</v>
      </c>
      <c r="I817" s="12" t="s">
        <v>3419</v>
      </c>
      <c r="J817" s="12" t="s">
        <v>3319</v>
      </c>
      <c r="K817" s="12" t="s">
        <v>3173</v>
      </c>
      <c r="L817" s="12" t="s">
        <v>3174</v>
      </c>
      <c r="M817" s="12" t="s">
        <v>3175</v>
      </c>
    </row>
    <row r="818" spans="1:13" ht="39.6">
      <c r="A818" s="21" t="s">
        <v>2961</v>
      </c>
      <c r="B818" s="21" t="s">
        <v>2962</v>
      </c>
      <c r="C818" s="21" t="s">
        <v>2963</v>
      </c>
      <c r="D818" s="21" t="s">
        <v>71</v>
      </c>
      <c r="E818" s="22" t="s">
        <v>2964</v>
      </c>
      <c r="F818" s="22" t="s">
        <v>2962</v>
      </c>
      <c r="G818" s="21" t="s">
        <v>2965</v>
      </c>
      <c r="H818" s="21" t="s">
        <v>2966</v>
      </c>
      <c r="I818" s="12" t="s">
        <v>3420</v>
      </c>
      <c r="J818" s="12" t="s">
        <v>3320</v>
      </c>
      <c r="K818" s="12" t="s">
        <v>3176</v>
      </c>
      <c r="L818" s="12" t="s">
        <v>3177</v>
      </c>
      <c r="M818" s="12" t="s">
        <v>3178</v>
      </c>
    </row>
    <row r="819" spans="1:13" ht="39.6">
      <c r="A819" s="21" t="s">
        <v>2961</v>
      </c>
      <c r="B819" s="21" t="s">
        <v>2962</v>
      </c>
      <c r="C819" s="21" t="s">
        <v>2963</v>
      </c>
      <c r="D819" s="21" t="s">
        <v>71</v>
      </c>
      <c r="E819" s="22" t="s">
        <v>2964</v>
      </c>
      <c r="F819" s="22" t="s">
        <v>2962</v>
      </c>
      <c r="G819" s="21" t="s">
        <v>2965</v>
      </c>
      <c r="H819" s="21" t="s">
        <v>2966</v>
      </c>
      <c r="I819" s="12" t="s">
        <v>3421</v>
      </c>
      <c r="J819" s="12" t="s">
        <v>3321</v>
      </c>
      <c r="K819" s="12" t="s">
        <v>3179</v>
      </c>
      <c r="L819" s="12" t="s">
        <v>3180</v>
      </c>
      <c r="M819" s="12" t="s">
        <v>3181</v>
      </c>
    </row>
    <row r="820" spans="1:13" ht="39.6">
      <c r="A820" s="21" t="s">
        <v>2961</v>
      </c>
      <c r="B820" s="21" t="s">
        <v>2962</v>
      </c>
      <c r="C820" s="21" t="s">
        <v>2963</v>
      </c>
      <c r="D820" s="21" t="s">
        <v>71</v>
      </c>
      <c r="E820" s="22" t="s">
        <v>2964</v>
      </c>
      <c r="F820" s="22" t="s">
        <v>2962</v>
      </c>
      <c r="G820" s="21" t="s">
        <v>2965</v>
      </c>
      <c r="H820" s="21" t="s">
        <v>2966</v>
      </c>
      <c r="I820" s="12" t="s">
        <v>3422</v>
      </c>
      <c r="J820" s="12" t="s">
        <v>3322</v>
      </c>
      <c r="K820" s="12" t="s">
        <v>3182</v>
      </c>
      <c r="L820" s="12" t="s">
        <v>3183</v>
      </c>
      <c r="M820" s="12" t="s">
        <v>3184</v>
      </c>
    </row>
    <row r="821" spans="1:13" ht="39.6">
      <c r="A821" s="21" t="s">
        <v>2961</v>
      </c>
      <c r="B821" s="21" t="s">
        <v>2962</v>
      </c>
      <c r="C821" s="21" t="s">
        <v>2963</v>
      </c>
      <c r="D821" s="21" t="s">
        <v>71</v>
      </c>
      <c r="E821" s="22" t="s">
        <v>2964</v>
      </c>
      <c r="F821" s="22" t="s">
        <v>2962</v>
      </c>
      <c r="G821" s="21" t="s">
        <v>2965</v>
      </c>
      <c r="H821" s="21" t="s">
        <v>2966</v>
      </c>
      <c r="I821" s="12" t="s">
        <v>3423</v>
      </c>
      <c r="J821" s="12" t="s">
        <v>3323</v>
      </c>
      <c r="K821" s="12" t="s">
        <v>3185</v>
      </c>
      <c r="L821" s="12" t="s">
        <v>3186</v>
      </c>
      <c r="M821" s="12" t="s">
        <v>3187</v>
      </c>
    </row>
    <row r="822" spans="1:13" ht="39.6">
      <c r="A822" s="21" t="s">
        <v>2961</v>
      </c>
      <c r="B822" s="21" t="s">
        <v>2962</v>
      </c>
      <c r="C822" s="21" t="s">
        <v>2963</v>
      </c>
      <c r="D822" s="21" t="s">
        <v>71</v>
      </c>
      <c r="E822" s="22" t="s">
        <v>2964</v>
      </c>
      <c r="F822" s="22" t="s">
        <v>2962</v>
      </c>
      <c r="G822" s="21" t="s">
        <v>2965</v>
      </c>
      <c r="H822" s="21" t="s">
        <v>2966</v>
      </c>
      <c r="I822" s="12" t="s">
        <v>3424</v>
      </c>
      <c r="J822" s="12" t="s">
        <v>3324</v>
      </c>
      <c r="K822" s="12" t="s">
        <v>3188</v>
      </c>
      <c r="L822" s="12" t="s">
        <v>3189</v>
      </c>
      <c r="M822" s="12" t="s">
        <v>3190</v>
      </c>
    </row>
    <row r="823" spans="1:13" ht="39.6">
      <c r="A823" s="21" t="s">
        <v>2961</v>
      </c>
      <c r="B823" s="21" t="s">
        <v>2962</v>
      </c>
      <c r="C823" s="21" t="s">
        <v>2963</v>
      </c>
      <c r="D823" s="21" t="s">
        <v>71</v>
      </c>
      <c r="E823" s="22" t="s">
        <v>2964</v>
      </c>
      <c r="F823" s="22" t="s">
        <v>2962</v>
      </c>
      <c r="G823" s="21" t="s">
        <v>2965</v>
      </c>
      <c r="H823" s="21" t="s">
        <v>2966</v>
      </c>
      <c r="I823" s="12" t="s">
        <v>3425</v>
      </c>
      <c r="J823" s="12" t="s">
        <v>3325</v>
      </c>
      <c r="K823" s="12"/>
      <c r="L823" s="12" t="s">
        <v>3191</v>
      </c>
      <c r="M823" s="12" t="s">
        <v>3192</v>
      </c>
    </row>
    <row r="824" spans="1:13" ht="39.6">
      <c r="A824" s="21" t="s">
        <v>2961</v>
      </c>
      <c r="B824" s="21" t="s">
        <v>2962</v>
      </c>
      <c r="C824" s="21" t="s">
        <v>2963</v>
      </c>
      <c r="D824" s="21" t="s">
        <v>71</v>
      </c>
      <c r="E824" s="22" t="s">
        <v>2964</v>
      </c>
      <c r="F824" s="22" t="s">
        <v>2962</v>
      </c>
      <c r="G824" s="21" t="s">
        <v>2965</v>
      </c>
      <c r="H824" s="21" t="s">
        <v>2966</v>
      </c>
      <c r="I824" s="12" t="s">
        <v>3426</v>
      </c>
      <c r="J824" s="12" t="s">
        <v>3326</v>
      </c>
      <c r="K824" s="12" t="s">
        <v>3193</v>
      </c>
      <c r="L824" s="12" t="s">
        <v>3194</v>
      </c>
      <c r="M824" s="12" t="s">
        <v>3195</v>
      </c>
    </row>
    <row r="825" spans="1:13" ht="39.6">
      <c r="A825" s="21" t="s">
        <v>2961</v>
      </c>
      <c r="B825" s="21" t="s">
        <v>2962</v>
      </c>
      <c r="C825" s="21" t="s">
        <v>2963</v>
      </c>
      <c r="D825" s="21" t="s">
        <v>71</v>
      </c>
      <c r="E825" s="22" t="s">
        <v>2964</v>
      </c>
      <c r="F825" s="22" t="s">
        <v>2962</v>
      </c>
      <c r="G825" s="21" t="s">
        <v>2965</v>
      </c>
      <c r="H825" s="21" t="s">
        <v>2966</v>
      </c>
      <c r="I825" s="12" t="s">
        <v>3427</v>
      </c>
      <c r="J825" s="12" t="s">
        <v>3327</v>
      </c>
      <c r="K825" s="12" t="s">
        <v>3196</v>
      </c>
      <c r="L825" s="12" t="s">
        <v>3197</v>
      </c>
      <c r="M825" s="12" t="s">
        <v>3198</v>
      </c>
    </row>
    <row r="826" spans="1:13" ht="39.6">
      <c r="A826" s="21" t="s">
        <v>2961</v>
      </c>
      <c r="B826" s="21" t="s">
        <v>2962</v>
      </c>
      <c r="C826" s="21" t="s">
        <v>2963</v>
      </c>
      <c r="D826" s="21" t="s">
        <v>71</v>
      </c>
      <c r="E826" s="22" t="s">
        <v>2964</v>
      </c>
      <c r="F826" s="22" t="s">
        <v>2962</v>
      </c>
      <c r="G826" s="21" t="s">
        <v>2965</v>
      </c>
      <c r="H826" s="21" t="s">
        <v>2966</v>
      </c>
      <c r="I826" s="12" t="s">
        <v>3428</v>
      </c>
      <c r="J826" s="12" t="s">
        <v>3328</v>
      </c>
      <c r="K826" s="12" t="s">
        <v>3199</v>
      </c>
      <c r="L826" s="12" t="s">
        <v>3200</v>
      </c>
      <c r="M826" s="12" t="s">
        <v>3201</v>
      </c>
    </row>
    <row r="827" spans="1:13" ht="39.6">
      <c r="A827" s="21" t="s">
        <v>2961</v>
      </c>
      <c r="B827" s="21" t="s">
        <v>2962</v>
      </c>
      <c r="C827" s="21" t="s">
        <v>2963</v>
      </c>
      <c r="D827" s="21" t="s">
        <v>71</v>
      </c>
      <c r="E827" s="22" t="s">
        <v>2964</v>
      </c>
      <c r="F827" s="22" t="s">
        <v>2962</v>
      </c>
      <c r="G827" s="21" t="s">
        <v>2965</v>
      </c>
      <c r="H827" s="21" t="s">
        <v>2966</v>
      </c>
      <c r="I827" s="12" t="s">
        <v>3429</v>
      </c>
      <c r="J827" s="12" t="s">
        <v>3329</v>
      </c>
      <c r="K827" s="12" t="s">
        <v>3202</v>
      </c>
      <c r="L827" s="12" t="s">
        <v>3203</v>
      </c>
      <c r="M827" s="12" t="s">
        <v>3204</v>
      </c>
    </row>
    <row r="828" spans="1:13" ht="39.6">
      <c r="A828" s="21" t="s">
        <v>2961</v>
      </c>
      <c r="B828" s="21" t="s">
        <v>2962</v>
      </c>
      <c r="C828" s="21" t="s">
        <v>2963</v>
      </c>
      <c r="D828" s="21" t="s">
        <v>71</v>
      </c>
      <c r="E828" s="22" t="s">
        <v>2964</v>
      </c>
      <c r="F828" s="22" t="s">
        <v>2962</v>
      </c>
      <c r="G828" s="21" t="s">
        <v>2965</v>
      </c>
      <c r="H828" s="21" t="s">
        <v>2966</v>
      </c>
      <c r="I828" s="12" t="s">
        <v>3430</v>
      </c>
      <c r="J828" s="12" t="s">
        <v>3330</v>
      </c>
      <c r="K828" s="12" t="s">
        <v>3205</v>
      </c>
      <c r="L828" s="12" t="s">
        <v>3206</v>
      </c>
      <c r="M828" s="12" t="s">
        <v>3207</v>
      </c>
    </row>
    <row r="829" spans="1:13" ht="39.6">
      <c r="A829" s="21" t="s">
        <v>2961</v>
      </c>
      <c r="B829" s="21" t="s">
        <v>2962</v>
      </c>
      <c r="C829" s="21" t="s">
        <v>2963</v>
      </c>
      <c r="D829" s="21" t="s">
        <v>71</v>
      </c>
      <c r="E829" s="22" t="s">
        <v>2964</v>
      </c>
      <c r="F829" s="22" t="s">
        <v>2962</v>
      </c>
      <c r="G829" s="21" t="s">
        <v>2965</v>
      </c>
      <c r="H829" s="21" t="s">
        <v>2966</v>
      </c>
      <c r="I829" s="12" t="s">
        <v>3431</v>
      </c>
      <c r="J829" s="12" t="s">
        <v>3331</v>
      </c>
      <c r="K829" s="12" t="s">
        <v>3208</v>
      </c>
      <c r="L829" s="12" t="s">
        <v>3209</v>
      </c>
      <c r="M829" s="12" t="s">
        <v>3210</v>
      </c>
    </row>
    <row r="830" spans="1:13" ht="39.6">
      <c r="A830" s="21" t="s">
        <v>2961</v>
      </c>
      <c r="B830" s="21" t="s">
        <v>2962</v>
      </c>
      <c r="C830" s="21" t="s">
        <v>2963</v>
      </c>
      <c r="D830" s="21" t="s">
        <v>71</v>
      </c>
      <c r="E830" s="22" t="s">
        <v>2964</v>
      </c>
      <c r="F830" s="22" t="s">
        <v>2962</v>
      </c>
      <c r="G830" s="21" t="s">
        <v>2965</v>
      </c>
      <c r="H830" s="21" t="s">
        <v>2966</v>
      </c>
      <c r="I830" s="12" t="s">
        <v>3432</v>
      </c>
      <c r="J830" s="12" t="s">
        <v>3332</v>
      </c>
      <c r="K830" s="12" t="s">
        <v>3211</v>
      </c>
      <c r="L830" s="12" t="s">
        <v>3212</v>
      </c>
      <c r="M830" s="12" t="s">
        <v>3213</v>
      </c>
    </row>
    <row r="831" spans="1:13" ht="39.6">
      <c r="A831" s="21" t="s">
        <v>2961</v>
      </c>
      <c r="B831" s="21" t="s">
        <v>2962</v>
      </c>
      <c r="C831" s="21" t="s">
        <v>2963</v>
      </c>
      <c r="D831" s="21" t="s">
        <v>71</v>
      </c>
      <c r="E831" s="22" t="s">
        <v>2964</v>
      </c>
      <c r="F831" s="22" t="s">
        <v>2962</v>
      </c>
      <c r="G831" s="21" t="s">
        <v>2965</v>
      </c>
      <c r="H831" s="21" t="s">
        <v>2966</v>
      </c>
      <c r="I831" s="12" t="s">
        <v>3433</v>
      </c>
      <c r="J831" s="12" t="s">
        <v>3333</v>
      </c>
      <c r="K831" s="12" t="s">
        <v>3214</v>
      </c>
      <c r="L831" s="12" t="s">
        <v>3215</v>
      </c>
      <c r="M831" s="12" t="s">
        <v>3216</v>
      </c>
    </row>
    <row r="832" spans="1:13" ht="39.6">
      <c r="A832" s="21" t="s">
        <v>2961</v>
      </c>
      <c r="B832" s="21" t="s">
        <v>2962</v>
      </c>
      <c r="C832" s="21" t="s">
        <v>2963</v>
      </c>
      <c r="D832" s="21" t="s">
        <v>71</v>
      </c>
      <c r="E832" s="22" t="s">
        <v>2964</v>
      </c>
      <c r="F832" s="22" t="s">
        <v>2962</v>
      </c>
      <c r="G832" s="21" t="s">
        <v>2965</v>
      </c>
      <c r="H832" s="21" t="s">
        <v>2966</v>
      </c>
      <c r="I832" s="12" t="s">
        <v>3434</v>
      </c>
      <c r="J832" s="12" t="s">
        <v>3334</v>
      </c>
      <c r="K832" s="12" t="s">
        <v>3217</v>
      </c>
      <c r="L832" s="12" t="s">
        <v>3218</v>
      </c>
      <c r="M832" s="12" t="s">
        <v>3217</v>
      </c>
    </row>
    <row r="833" spans="1:13" ht="39.6">
      <c r="A833" s="21" t="s">
        <v>2961</v>
      </c>
      <c r="B833" s="21" t="s">
        <v>2962</v>
      </c>
      <c r="C833" s="21" t="s">
        <v>2963</v>
      </c>
      <c r="D833" s="21" t="s">
        <v>71</v>
      </c>
      <c r="E833" s="22" t="s">
        <v>2964</v>
      </c>
      <c r="F833" s="22" t="s">
        <v>2962</v>
      </c>
      <c r="G833" s="21" t="s">
        <v>2965</v>
      </c>
      <c r="H833" s="21" t="s">
        <v>2966</v>
      </c>
      <c r="I833" s="12" t="s">
        <v>3435</v>
      </c>
      <c r="J833" s="12" t="s">
        <v>3335</v>
      </c>
      <c r="K833" s="12" t="s">
        <v>3219</v>
      </c>
      <c r="L833" s="12" t="s">
        <v>3220</v>
      </c>
      <c r="M833" s="12" t="s">
        <v>3221</v>
      </c>
    </row>
    <row r="834" spans="1:13" ht="39.6">
      <c r="A834" s="21" t="s">
        <v>2961</v>
      </c>
      <c r="B834" s="21" t="s">
        <v>2962</v>
      </c>
      <c r="C834" s="21" t="s">
        <v>2963</v>
      </c>
      <c r="D834" s="21" t="s">
        <v>71</v>
      </c>
      <c r="E834" s="22" t="s">
        <v>2964</v>
      </c>
      <c r="F834" s="22" t="s">
        <v>2962</v>
      </c>
      <c r="G834" s="21" t="s">
        <v>2965</v>
      </c>
      <c r="H834" s="21" t="s">
        <v>2966</v>
      </c>
      <c r="I834" s="12" t="s">
        <v>3436</v>
      </c>
      <c r="J834" s="12" t="s">
        <v>3336</v>
      </c>
      <c r="K834" s="12" t="s">
        <v>3222</v>
      </c>
      <c r="L834" s="12" t="s">
        <v>3223</v>
      </c>
      <c r="M834" s="12" t="s">
        <v>3224</v>
      </c>
    </row>
    <row r="835" spans="1:13" ht="39.6">
      <c r="A835" s="21" t="s">
        <v>2961</v>
      </c>
      <c r="B835" s="21" t="s">
        <v>2962</v>
      </c>
      <c r="C835" s="21" t="s">
        <v>2963</v>
      </c>
      <c r="D835" s="21" t="s">
        <v>71</v>
      </c>
      <c r="E835" s="22" t="s">
        <v>2964</v>
      </c>
      <c r="F835" s="22" t="s">
        <v>2962</v>
      </c>
      <c r="G835" s="21" t="s">
        <v>2965</v>
      </c>
      <c r="H835" s="21" t="s">
        <v>2966</v>
      </c>
      <c r="I835" s="12" t="s">
        <v>3437</v>
      </c>
      <c r="J835" s="12" t="s">
        <v>3337</v>
      </c>
      <c r="K835" s="12"/>
      <c r="L835" s="12" t="s">
        <v>3225</v>
      </c>
      <c r="M835" s="12" t="s">
        <v>3226</v>
      </c>
    </row>
    <row r="836" spans="1:13" ht="39.6">
      <c r="A836" s="21" t="s">
        <v>2961</v>
      </c>
      <c r="B836" s="21" t="s">
        <v>2962</v>
      </c>
      <c r="C836" s="21" t="s">
        <v>2963</v>
      </c>
      <c r="D836" s="21" t="s">
        <v>71</v>
      </c>
      <c r="E836" s="22" t="s">
        <v>2964</v>
      </c>
      <c r="F836" s="22" t="s">
        <v>2962</v>
      </c>
      <c r="G836" s="21" t="s">
        <v>2965</v>
      </c>
      <c r="H836" s="21" t="s">
        <v>2966</v>
      </c>
      <c r="I836" s="12" t="s">
        <v>3438</v>
      </c>
      <c r="J836" s="12" t="s">
        <v>3338</v>
      </c>
      <c r="K836" s="12" t="s">
        <v>3227</v>
      </c>
      <c r="L836" s="12" t="s">
        <v>3228</v>
      </c>
      <c r="M836" s="12" t="s">
        <v>3229</v>
      </c>
    </row>
    <row r="837" spans="1:13" ht="39.6">
      <c r="A837" s="21" t="s">
        <v>2961</v>
      </c>
      <c r="B837" s="21" t="s">
        <v>2962</v>
      </c>
      <c r="C837" s="21" t="s">
        <v>2963</v>
      </c>
      <c r="D837" s="21" t="s">
        <v>71</v>
      </c>
      <c r="E837" s="22" t="s">
        <v>2964</v>
      </c>
      <c r="F837" s="22" t="s">
        <v>2962</v>
      </c>
      <c r="G837" s="21" t="s">
        <v>2965</v>
      </c>
      <c r="H837" s="21" t="s">
        <v>2966</v>
      </c>
      <c r="I837" s="12" t="s">
        <v>3439</v>
      </c>
      <c r="J837" s="12" t="s">
        <v>3339</v>
      </c>
      <c r="K837" s="12" t="s">
        <v>3230</v>
      </c>
      <c r="L837" s="12" t="s">
        <v>3231</v>
      </c>
      <c r="M837" s="12" t="s">
        <v>3232</v>
      </c>
    </row>
    <row r="838" spans="1:13" ht="39.6">
      <c r="A838" s="21" t="s">
        <v>2961</v>
      </c>
      <c r="B838" s="21" t="s">
        <v>2962</v>
      </c>
      <c r="C838" s="21" t="s">
        <v>2963</v>
      </c>
      <c r="D838" s="21" t="s">
        <v>71</v>
      </c>
      <c r="E838" s="22" t="s">
        <v>2964</v>
      </c>
      <c r="F838" s="22" t="s">
        <v>2962</v>
      </c>
      <c r="G838" s="21" t="s">
        <v>2965</v>
      </c>
      <c r="H838" s="21" t="s">
        <v>2966</v>
      </c>
      <c r="I838" s="12" t="s">
        <v>3440</v>
      </c>
      <c r="J838" s="12" t="s">
        <v>3340</v>
      </c>
      <c r="K838" s="12"/>
      <c r="L838" s="12" t="s">
        <v>3233</v>
      </c>
      <c r="M838" s="12" t="s">
        <v>3234</v>
      </c>
    </row>
    <row r="839" spans="1:13" ht="52.8">
      <c r="A839" s="21" t="s">
        <v>2961</v>
      </c>
      <c r="B839" s="21" t="s">
        <v>2962</v>
      </c>
      <c r="C839" s="21" t="s">
        <v>2963</v>
      </c>
      <c r="D839" s="21" t="s">
        <v>71</v>
      </c>
      <c r="E839" s="22" t="s">
        <v>2964</v>
      </c>
      <c r="F839" s="22" t="s">
        <v>2962</v>
      </c>
      <c r="G839" s="21" t="s">
        <v>2965</v>
      </c>
      <c r="H839" s="21" t="s">
        <v>2966</v>
      </c>
      <c r="I839" s="12" t="s">
        <v>3441</v>
      </c>
      <c r="J839" s="12" t="s">
        <v>3341</v>
      </c>
      <c r="K839" s="12" t="s">
        <v>3235</v>
      </c>
      <c r="L839" s="12" t="s">
        <v>3236</v>
      </c>
      <c r="M839" s="12" t="s">
        <v>3237</v>
      </c>
    </row>
    <row r="840" spans="1:13" ht="39.6">
      <c r="A840" s="21" t="s">
        <v>2961</v>
      </c>
      <c r="B840" s="21" t="s">
        <v>2962</v>
      </c>
      <c r="C840" s="21" t="s">
        <v>2963</v>
      </c>
      <c r="D840" s="21" t="s">
        <v>71</v>
      </c>
      <c r="E840" s="22" t="s">
        <v>2964</v>
      </c>
      <c r="F840" s="22" t="s">
        <v>2962</v>
      </c>
      <c r="G840" s="21" t="s">
        <v>2965</v>
      </c>
      <c r="H840" s="21" t="s">
        <v>2966</v>
      </c>
      <c r="I840" s="12" t="s">
        <v>3239</v>
      </c>
      <c r="J840" s="12" t="s">
        <v>3342</v>
      </c>
      <c r="K840" s="12"/>
      <c r="L840" s="12" t="s">
        <v>3238</v>
      </c>
      <c r="M840" s="12" t="s">
        <v>3239</v>
      </c>
    </row>
    <row r="841" spans="1:13" ht="39.6">
      <c r="A841" s="21" t="s">
        <v>2961</v>
      </c>
      <c r="B841" s="21" t="s">
        <v>2962</v>
      </c>
      <c r="C841" s="21" t="s">
        <v>2963</v>
      </c>
      <c r="D841" s="21" t="s">
        <v>71</v>
      </c>
      <c r="E841" s="22" t="s">
        <v>2964</v>
      </c>
      <c r="F841" s="22" t="s">
        <v>2962</v>
      </c>
      <c r="G841" s="21" t="s">
        <v>2965</v>
      </c>
      <c r="H841" s="21" t="s">
        <v>2966</v>
      </c>
      <c r="I841" s="12" t="s">
        <v>3442</v>
      </c>
      <c r="J841" s="12" t="s">
        <v>3343</v>
      </c>
      <c r="K841" s="12"/>
      <c r="L841" s="12" t="s">
        <v>3240</v>
      </c>
      <c r="M841" s="12" t="s">
        <v>3241</v>
      </c>
    </row>
    <row r="842" spans="1:13" ht="39.6">
      <c r="A842" s="21" t="s">
        <v>2961</v>
      </c>
      <c r="B842" s="21" t="s">
        <v>2962</v>
      </c>
      <c r="C842" s="21" t="s">
        <v>2963</v>
      </c>
      <c r="D842" s="21" t="s">
        <v>71</v>
      </c>
      <c r="E842" s="22" t="s">
        <v>2964</v>
      </c>
      <c r="F842" s="22" t="s">
        <v>2962</v>
      </c>
      <c r="G842" s="21" t="s">
        <v>2965</v>
      </c>
      <c r="H842" s="21" t="s">
        <v>2966</v>
      </c>
      <c r="I842" s="12" t="s">
        <v>3443</v>
      </c>
      <c r="J842" s="12" t="s">
        <v>3344</v>
      </c>
      <c r="K842" s="12" t="s">
        <v>3242</v>
      </c>
      <c r="L842" s="12" t="s">
        <v>3243</v>
      </c>
      <c r="M842" s="12" t="s">
        <v>3244</v>
      </c>
    </row>
    <row r="843" spans="1:13" ht="39.6">
      <c r="A843" s="21" t="s">
        <v>2961</v>
      </c>
      <c r="B843" s="21" t="s">
        <v>2962</v>
      </c>
      <c r="C843" s="21" t="s">
        <v>2963</v>
      </c>
      <c r="D843" s="21" t="s">
        <v>71</v>
      </c>
      <c r="E843" s="22" t="s">
        <v>2964</v>
      </c>
      <c r="F843" s="22" t="s">
        <v>2962</v>
      </c>
      <c r="G843" s="21" t="s">
        <v>2965</v>
      </c>
      <c r="H843" s="21" t="s">
        <v>2966</v>
      </c>
      <c r="I843" s="12" t="s">
        <v>3444</v>
      </c>
      <c r="J843" s="12" t="s">
        <v>3345</v>
      </c>
      <c r="K843" s="12"/>
      <c r="L843" s="12" t="s">
        <v>3245</v>
      </c>
      <c r="M843" s="12" t="s">
        <v>3246</v>
      </c>
    </row>
    <row r="844" spans="1:13" ht="39.6">
      <c r="A844" s="21" t="s">
        <v>2961</v>
      </c>
      <c r="B844" s="21" t="s">
        <v>2962</v>
      </c>
      <c r="C844" s="21" t="s">
        <v>2963</v>
      </c>
      <c r="D844" s="21" t="s">
        <v>71</v>
      </c>
      <c r="E844" s="22" t="s">
        <v>2964</v>
      </c>
      <c r="F844" s="22" t="s">
        <v>2962</v>
      </c>
      <c r="G844" s="21" t="s">
        <v>2965</v>
      </c>
      <c r="H844" s="21" t="s">
        <v>2966</v>
      </c>
      <c r="I844" s="12" t="s">
        <v>2082</v>
      </c>
      <c r="J844" s="12" t="s">
        <v>350</v>
      </c>
      <c r="K844" s="12" t="s">
        <v>340</v>
      </c>
      <c r="L844" s="12" t="s">
        <v>341</v>
      </c>
      <c r="M844" s="12" t="s">
        <v>342</v>
      </c>
    </row>
    <row r="845" spans="1:13" ht="39.6">
      <c r="A845" s="21" t="s">
        <v>4194</v>
      </c>
      <c r="B845" s="21" t="s">
        <v>4197</v>
      </c>
      <c r="C845" s="21" t="s">
        <v>4195</v>
      </c>
      <c r="D845" s="21" t="s">
        <v>71</v>
      </c>
      <c r="E845" s="22" t="s">
        <v>4196</v>
      </c>
      <c r="F845" s="22" t="s">
        <v>4197</v>
      </c>
      <c r="G845" s="21" t="s">
        <v>4198</v>
      </c>
      <c r="H845" s="21" t="s">
        <v>4199</v>
      </c>
      <c r="I845" s="12" t="s">
        <v>6207</v>
      </c>
      <c r="J845" s="12" t="s">
        <v>7002</v>
      </c>
      <c r="K845" s="12" t="s">
        <v>4200</v>
      </c>
      <c r="L845" s="12" t="s">
        <v>4201</v>
      </c>
      <c r="M845" s="12" t="s">
        <v>4200</v>
      </c>
    </row>
    <row r="846" spans="1:13" ht="39.6">
      <c r="A846" s="21" t="s">
        <v>4194</v>
      </c>
      <c r="B846" s="21" t="s">
        <v>4197</v>
      </c>
      <c r="C846" s="21" t="s">
        <v>4195</v>
      </c>
      <c r="D846" s="21" t="s">
        <v>71</v>
      </c>
      <c r="E846" s="22" t="s">
        <v>4196</v>
      </c>
      <c r="F846" s="22" t="s">
        <v>4197</v>
      </c>
      <c r="G846" s="21" t="s">
        <v>4198</v>
      </c>
      <c r="H846" s="21" t="s">
        <v>4199</v>
      </c>
      <c r="I846" s="12" t="s">
        <v>6208</v>
      </c>
      <c r="J846" s="12" t="s">
        <v>7003</v>
      </c>
      <c r="K846" s="12" t="s">
        <v>4202</v>
      </c>
      <c r="L846" s="12" t="s">
        <v>4203</v>
      </c>
      <c r="M846" s="12" t="s">
        <v>4202</v>
      </c>
    </row>
    <row r="847" spans="1:13" ht="39.6">
      <c r="A847" s="21" t="s">
        <v>4194</v>
      </c>
      <c r="B847" s="21" t="s">
        <v>4197</v>
      </c>
      <c r="C847" s="21" t="s">
        <v>4195</v>
      </c>
      <c r="D847" s="21" t="s">
        <v>71</v>
      </c>
      <c r="E847" s="22" t="s">
        <v>4196</v>
      </c>
      <c r="F847" s="22" t="s">
        <v>4197</v>
      </c>
      <c r="G847" s="21" t="s">
        <v>4198</v>
      </c>
      <c r="H847" s="21" t="s">
        <v>4199</v>
      </c>
      <c r="I847" s="12" t="s">
        <v>6209</v>
      </c>
      <c r="J847" s="12" t="s">
        <v>7004</v>
      </c>
      <c r="K847" s="12" t="s">
        <v>4204</v>
      </c>
      <c r="L847" s="12" t="s">
        <v>4205</v>
      </c>
      <c r="M847" s="12" t="s">
        <v>4206</v>
      </c>
    </row>
    <row r="848" spans="1:13" ht="79.2">
      <c r="A848" s="21" t="s">
        <v>4194</v>
      </c>
      <c r="B848" s="21" t="s">
        <v>4197</v>
      </c>
      <c r="C848" s="21" t="s">
        <v>4195</v>
      </c>
      <c r="D848" s="21" t="s">
        <v>71</v>
      </c>
      <c r="E848" s="22" t="s">
        <v>4196</v>
      </c>
      <c r="F848" s="22" t="s">
        <v>4197</v>
      </c>
      <c r="G848" s="21" t="s">
        <v>4198</v>
      </c>
      <c r="H848" s="21" t="s">
        <v>4199</v>
      </c>
      <c r="I848" s="12" t="s">
        <v>6210</v>
      </c>
      <c r="J848" s="12" t="s">
        <v>7005</v>
      </c>
      <c r="K848" s="12" t="s">
        <v>4207</v>
      </c>
      <c r="L848" s="12" t="s">
        <v>4208</v>
      </c>
      <c r="M848" s="12" t="s">
        <v>4209</v>
      </c>
    </row>
    <row r="849" spans="1:13" ht="39.6">
      <c r="A849" s="21" t="s">
        <v>4194</v>
      </c>
      <c r="B849" s="21" t="s">
        <v>4197</v>
      </c>
      <c r="C849" s="21" t="s">
        <v>4195</v>
      </c>
      <c r="D849" s="21" t="s">
        <v>71</v>
      </c>
      <c r="E849" s="22" t="s">
        <v>4196</v>
      </c>
      <c r="F849" s="22" t="s">
        <v>4197</v>
      </c>
      <c r="G849" s="21" t="s">
        <v>4198</v>
      </c>
      <c r="H849" s="21" t="s">
        <v>4199</v>
      </c>
      <c r="I849" s="12" t="s">
        <v>6211</v>
      </c>
      <c r="J849" s="12" t="s">
        <v>7006</v>
      </c>
      <c r="K849" s="12" t="s">
        <v>4210</v>
      </c>
      <c r="L849" s="12" t="s">
        <v>4211</v>
      </c>
      <c r="M849" s="12" t="s">
        <v>4212</v>
      </c>
    </row>
    <row r="850" spans="1:13" ht="39.6">
      <c r="A850" s="21" t="s">
        <v>4194</v>
      </c>
      <c r="B850" s="21" t="s">
        <v>4197</v>
      </c>
      <c r="C850" s="21" t="s">
        <v>4195</v>
      </c>
      <c r="D850" s="21" t="s">
        <v>71</v>
      </c>
      <c r="E850" s="22" t="s">
        <v>4196</v>
      </c>
      <c r="F850" s="22" t="s">
        <v>4197</v>
      </c>
      <c r="G850" s="21" t="s">
        <v>4198</v>
      </c>
      <c r="H850" s="21" t="s">
        <v>4199</v>
      </c>
      <c r="I850" s="12" t="s">
        <v>6212</v>
      </c>
      <c r="J850" s="12" t="s">
        <v>7007</v>
      </c>
      <c r="K850" s="12" t="s">
        <v>4213</v>
      </c>
      <c r="L850" s="12" t="s">
        <v>4214</v>
      </c>
      <c r="M850" s="12" t="s">
        <v>4215</v>
      </c>
    </row>
    <row r="851" spans="1:13" ht="39.6">
      <c r="A851" s="21" t="s">
        <v>4194</v>
      </c>
      <c r="B851" s="21" t="s">
        <v>4197</v>
      </c>
      <c r="C851" s="21" t="s">
        <v>4195</v>
      </c>
      <c r="D851" s="21" t="s">
        <v>71</v>
      </c>
      <c r="E851" s="22" t="s">
        <v>4196</v>
      </c>
      <c r="F851" s="22" t="s">
        <v>4197</v>
      </c>
      <c r="G851" s="21" t="s">
        <v>4198</v>
      </c>
      <c r="H851" s="21" t="s">
        <v>4199</v>
      </c>
      <c r="I851" s="12" t="s">
        <v>6213</v>
      </c>
      <c r="J851" s="12" t="s">
        <v>7008</v>
      </c>
      <c r="K851" s="12" t="s">
        <v>4216</v>
      </c>
      <c r="L851" s="12" t="s">
        <v>4217</v>
      </c>
      <c r="M851" s="12" t="s">
        <v>4216</v>
      </c>
    </row>
    <row r="852" spans="1:13" ht="39.6">
      <c r="A852" s="21" t="s">
        <v>4194</v>
      </c>
      <c r="B852" s="21" t="s">
        <v>4197</v>
      </c>
      <c r="C852" s="21" t="s">
        <v>4195</v>
      </c>
      <c r="D852" s="21" t="s">
        <v>71</v>
      </c>
      <c r="E852" s="22" t="s">
        <v>4196</v>
      </c>
      <c r="F852" s="22" t="s">
        <v>4197</v>
      </c>
      <c r="G852" s="21" t="s">
        <v>4198</v>
      </c>
      <c r="H852" s="21" t="s">
        <v>4199</v>
      </c>
      <c r="I852" s="12" t="s">
        <v>6214</v>
      </c>
      <c r="J852" s="12" t="s">
        <v>7009</v>
      </c>
      <c r="K852" s="12" t="s">
        <v>4218</v>
      </c>
      <c r="L852" s="12" t="s">
        <v>4219</v>
      </c>
      <c r="M852" s="12" t="s">
        <v>4218</v>
      </c>
    </row>
    <row r="853" spans="1:13" ht="39.6">
      <c r="A853" s="21" t="s">
        <v>4194</v>
      </c>
      <c r="B853" s="21" t="s">
        <v>4197</v>
      </c>
      <c r="C853" s="21" t="s">
        <v>4195</v>
      </c>
      <c r="D853" s="21" t="s">
        <v>71</v>
      </c>
      <c r="E853" s="22" t="s">
        <v>4196</v>
      </c>
      <c r="F853" s="22" t="s">
        <v>4197</v>
      </c>
      <c r="G853" s="21" t="s">
        <v>4198</v>
      </c>
      <c r="H853" s="21" t="s">
        <v>4199</v>
      </c>
      <c r="I853" s="12" t="s">
        <v>6215</v>
      </c>
      <c r="J853" s="12" t="s">
        <v>7010</v>
      </c>
      <c r="K853" s="12" t="s">
        <v>4220</v>
      </c>
      <c r="L853" s="12" t="s">
        <v>4221</v>
      </c>
      <c r="M853" s="12" t="s">
        <v>4220</v>
      </c>
    </row>
    <row r="854" spans="1:13" ht="39.6">
      <c r="A854" s="21" t="s">
        <v>4194</v>
      </c>
      <c r="B854" s="21" t="s">
        <v>4197</v>
      </c>
      <c r="C854" s="21" t="s">
        <v>4195</v>
      </c>
      <c r="D854" s="21" t="s">
        <v>71</v>
      </c>
      <c r="E854" s="22" t="s">
        <v>4196</v>
      </c>
      <c r="F854" s="22" t="s">
        <v>4197</v>
      </c>
      <c r="G854" s="21" t="s">
        <v>4198</v>
      </c>
      <c r="H854" s="21" t="s">
        <v>4199</v>
      </c>
      <c r="I854" s="12" t="s">
        <v>6216</v>
      </c>
      <c r="J854" s="12" t="s">
        <v>7011</v>
      </c>
      <c r="K854" s="12" t="s">
        <v>4222</v>
      </c>
      <c r="L854" s="12" t="s">
        <v>4223</v>
      </c>
      <c r="M854" s="12" t="s">
        <v>4222</v>
      </c>
    </row>
    <row r="855" spans="1:13" ht="39.6">
      <c r="A855" s="21" t="s">
        <v>4194</v>
      </c>
      <c r="B855" s="21" t="s">
        <v>4197</v>
      </c>
      <c r="C855" s="21" t="s">
        <v>4195</v>
      </c>
      <c r="D855" s="21" t="s">
        <v>71</v>
      </c>
      <c r="E855" s="22" t="s">
        <v>4196</v>
      </c>
      <c r="F855" s="22" t="s">
        <v>4197</v>
      </c>
      <c r="G855" s="21" t="s">
        <v>4198</v>
      </c>
      <c r="H855" s="21" t="s">
        <v>4199</v>
      </c>
      <c r="I855" s="12" t="s">
        <v>6217</v>
      </c>
      <c r="J855" s="12" t="s">
        <v>7012</v>
      </c>
      <c r="K855" s="12"/>
      <c r="L855" s="12" t="s">
        <v>4224</v>
      </c>
      <c r="M855" s="12" t="s">
        <v>4225</v>
      </c>
    </row>
    <row r="856" spans="1:13" ht="39.6">
      <c r="A856" s="21" t="s">
        <v>4194</v>
      </c>
      <c r="B856" s="21" t="s">
        <v>4197</v>
      </c>
      <c r="C856" s="21" t="s">
        <v>4195</v>
      </c>
      <c r="D856" s="21" t="s">
        <v>71</v>
      </c>
      <c r="E856" s="22" t="s">
        <v>4196</v>
      </c>
      <c r="F856" s="22" t="s">
        <v>4197</v>
      </c>
      <c r="G856" s="21" t="s">
        <v>4198</v>
      </c>
      <c r="H856" s="21" t="s">
        <v>4199</v>
      </c>
      <c r="I856" s="12" t="s">
        <v>6218</v>
      </c>
      <c r="J856" s="12" t="s">
        <v>7013</v>
      </c>
      <c r="K856" s="12" t="s">
        <v>4226</v>
      </c>
      <c r="L856" s="12" t="s">
        <v>4227</v>
      </c>
      <c r="M856" s="12" t="s">
        <v>4226</v>
      </c>
    </row>
    <row r="857" spans="1:13" ht="39.6">
      <c r="A857" s="21" t="s">
        <v>4194</v>
      </c>
      <c r="B857" s="21" t="s">
        <v>4197</v>
      </c>
      <c r="C857" s="21" t="s">
        <v>4195</v>
      </c>
      <c r="D857" s="21" t="s">
        <v>71</v>
      </c>
      <c r="E857" s="22" t="s">
        <v>4196</v>
      </c>
      <c r="F857" s="22" t="s">
        <v>4197</v>
      </c>
      <c r="G857" s="21" t="s">
        <v>4198</v>
      </c>
      <c r="H857" s="21" t="s">
        <v>4199</v>
      </c>
      <c r="I857" s="12" t="s">
        <v>6219</v>
      </c>
      <c r="J857" s="12" t="s">
        <v>7014</v>
      </c>
      <c r="K857" s="12" t="s">
        <v>4228</v>
      </c>
      <c r="L857" s="12" t="s">
        <v>4229</v>
      </c>
      <c r="M857" s="12" t="s">
        <v>4230</v>
      </c>
    </row>
    <row r="858" spans="1:13" ht="39.6">
      <c r="A858" s="21" t="s">
        <v>4194</v>
      </c>
      <c r="B858" s="21" t="s">
        <v>4197</v>
      </c>
      <c r="C858" s="21" t="s">
        <v>4195</v>
      </c>
      <c r="D858" s="21" t="s">
        <v>71</v>
      </c>
      <c r="E858" s="22" t="s">
        <v>4196</v>
      </c>
      <c r="F858" s="22" t="s">
        <v>4197</v>
      </c>
      <c r="G858" s="21" t="s">
        <v>4198</v>
      </c>
      <c r="H858" s="21" t="s">
        <v>4199</v>
      </c>
      <c r="I858" s="12" t="s">
        <v>6220</v>
      </c>
      <c r="J858" s="12" t="s">
        <v>7015</v>
      </c>
      <c r="K858" s="12"/>
      <c r="L858" s="12" t="s">
        <v>4231</v>
      </c>
      <c r="M858" s="12" t="s">
        <v>4232</v>
      </c>
    </row>
    <row r="859" spans="1:13" ht="39.6">
      <c r="A859" s="21" t="s">
        <v>4194</v>
      </c>
      <c r="B859" s="21" t="s">
        <v>4197</v>
      </c>
      <c r="C859" s="21" t="s">
        <v>4195</v>
      </c>
      <c r="D859" s="21" t="s">
        <v>71</v>
      </c>
      <c r="E859" s="22" t="s">
        <v>4196</v>
      </c>
      <c r="F859" s="22" t="s">
        <v>4197</v>
      </c>
      <c r="G859" s="21" t="s">
        <v>4198</v>
      </c>
      <c r="H859" s="21" t="s">
        <v>4199</v>
      </c>
      <c r="I859" s="12" t="s">
        <v>6221</v>
      </c>
      <c r="J859" s="12" t="s">
        <v>7016</v>
      </c>
      <c r="K859" s="12"/>
      <c r="L859" s="12" t="s">
        <v>4233</v>
      </c>
      <c r="M859" s="12" t="s">
        <v>4234</v>
      </c>
    </row>
    <row r="860" spans="1:13" ht="39.6">
      <c r="A860" s="21" t="s">
        <v>4194</v>
      </c>
      <c r="B860" s="21" t="s">
        <v>4197</v>
      </c>
      <c r="C860" s="21" t="s">
        <v>4195</v>
      </c>
      <c r="D860" s="21" t="s">
        <v>71</v>
      </c>
      <c r="E860" s="22" t="s">
        <v>4196</v>
      </c>
      <c r="F860" s="22" t="s">
        <v>4197</v>
      </c>
      <c r="G860" s="21" t="s">
        <v>4198</v>
      </c>
      <c r="H860" s="21" t="s">
        <v>4199</v>
      </c>
      <c r="I860" s="12" t="s">
        <v>6222</v>
      </c>
      <c r="J860" s="12" t="s">
        <v>7017</v>
      </c>
      <c r="K860" s="12"/>
      <c r="L860" s="12" t="s">
        <v>4235</v>
      </c>
      <c r="M860" s="12" t="s">
        <v>4236</v>
      </c>
    </row>
    <row r="861" spans="1:13" ht="39.6">
      <c r="A861" s="21" t="s">
        <v>4194</v>
      </c>
      <c r="B861" s="21" t="s">
        <v>4197</v>
      </c>
      <c r="C861" s="21" t="s">
        <v>4195</v>
      </c>
      <c r="D861" s="21" t="s">
        <v>71</v>
      </c>
      <c r="E861" s="22" t="s">
        <v>4196</v>
      </c>
      <c r="F861" s="22" t="s">
        <v>4197</v>
      </c>
      <c r="G861" s="21" t="s">
        <v>4198</v>
      </c>
      <c r="H861" s="21" t="s">
        <v>4199</v>
      </c>
      <c r="I861" s="12" t="s">
        <v>6223</v>
      </c>
      <c r="J861" s="12" t="s">
        <v>7018</v>
      </c>
      <c r="K861" s="12"/>
      <c r="L861" s="12" t="s">
        <v>4237</v>
      </c>
      <c r="M861" s="12" t="s">
        <v>4238</v>
      </c>
    </row>
    <row r="862" spans="1:13" ht="39.6">
      <c r="A862" s="21" t="s">
        <v>4194</v>
      </c>
      <c r="B862" s="21" t="s">
        <v>4197</v>
      </c>
      <c r="C862" s="21" t="s">
        <v>4195</v>
      </c>
      <c r="D862" s="21" t="s">
        <v>71</v>
      </c>
      <c r="E862" s="22" t="s">
        <v>4196</v>
      </c>
      <c r="F862" s="22" t="s">
        <v>4197</v>
      </c>
      <c r="G862" s="21" t="s">
        <v>4198</v>
      </c>
      <c r="H862" s="21" t="s">
        <v>4199</v>
      </c>
      <c r="I862" s="12" t="s">
        <v>6224</v>
      </c>
      <c r="J862" s="12" t="s">
        <v>7019</v>
      </c>
      <c r="K862" s="12"/>
      <c r="L862" s="12" t="s">
        <v>4239</v>
      </c>
      <c r="M862" s="12" t="s">
        <v>4240</v>
      </c>
    </row>
    <row r="863" spans="1:13" ht="39.6">
      <c r="A863" s="21" t="s">
        <v>4194</v>
      </c>
      <c r="B863" s="21" t="s">
        <v>4197</v>
      </c>
      <c r="C863" s="21" t="s">
        <v>4195</v>
      </c>
      <c r="D863" s="21" t="s">
        <v>71</v>
      </c>
      <c r="E863" s="22" t="s">
        <v>4196</v>
      </c>
      <c r="F863" s="22" t="s">
        <v>4197</v>
      </c>
      <c r="G863" s="21" t="s">
        <v>4198</v>
      </c>
      <c r="H863" s="21" t="s">
        <v>4199</v>
      </c>
      <c r="I863" s="12" t="s">
        <v>6225</v>
      </c>
      <c r="J863" s="12" t="s">
        <v>7020</v>
      </c>
      <c r="K863" s="12" t="s">
        <v>4241</v>
      </c>
      <c r="L863" s="12" t="s">
        <v>4242</v>
      </c>
      <c r="M863" s="12" t="s">
        <v>4241</v>
      </c>
    </row>
    <row r="864" spans="1:13" ht="39.6">
      <c r="A864" s="21" t="s">
        <v>4194</v>
      </c>
      <c r="B864" s="21" t="s">
        <v>4197</v>
      </c>
      <c r="C864" s="21" t="s">
        <v>4195</v>
      </c>
      <c r="D864" s="21" t="s">
        <v>71</v>
      </c>
      <c r="E864" s="22" t="s">
        <v>4196</v>
      </c>
      <c r="F864" s="22" t="s">
        <v>4197</v>
      </c>
      <c r="G864" s="21" t="s">
        <v>4198</v>
      </c>
      <c r="H864" s="21" t="s">
        <v>4199</v>
      </c>
      <c r="I864" s="12" t="s">
        <v>6226</v>
      </c>
      <c r="J864" s="12" t="s">
        <v>7021</v>
      </c>
      <c r="K864" s="12" t="s">
        <v>4243</v>
      </c>
      <c r="L864" s="12" t="s">
        <v>4244</v>
      </c>
      <c r="M864" s="12" t="s">
        <v>4245</v>
      </c>
    </row>
    <row r="865" spans="1:13" ht="39.6">
      <c r="A865" s="21" t="s">
        <v>4194</v>
      </c>
      <c r="B865" s="21" t="s">
        <v>4197</v>
      </c>
      <c r="C865" s="21" t="s">
        <v>4195</v>
      </c>
      <c r="D865" s="21" t="s">
        <v>71</v>
      </c>
      <c r="E865" s="22" t="s">
        <v>4196</v>
      </c>
      <c r="F865" s="22" t="s">
        <v>4197</v>
      </c>
      <c r="G865" s="21" t="s">
        <v>4198</v>
      </c>
      <c r="H865" s="21" t="s">
        <v>4199</v>
      </c>
      <c r="I865" s="12" t="s">
        <v>6227</v>
      </c>
      <c r="J865" s="12" t="s">
        <v>7022</v>
      </c>
      <c r="K865" s="12"/>
      <c r="L865" s="12" t="s">
        <v>4246</v>
      </c>
      <c r="M865" s="12" t="s">
        <v>4247</v>
      </c>
    </row>
    <row r="866" spans="1:13" ht="39.6">
      <c r="A866" s="21" t="s">
        <v>4194</v>
      </c>
      <c r="B866" s="21" t="s">
        <v>4197</v>
      </c>
      <c r="C866" s="21" t="s">
        <v>4195</v>
      </c>
      <c r="D866" s="21" t="s">
        <v>71</v>
      </c>
      <c r="E866" s="22" t="s">
        <v>4196</v>
      </c>
      <c r="F866" s="22" t="s">
        <v>4197</v>
      </c>
      <c r="G866" s="21" t="s">
        <v>4198</v>
      </c>
      <c r="H866" s="21" t="s">
        <v>4199</v>
      </c>
      <c r="I866" s="12" t="s">
        <v>6228</v>
      </c>
      <c r="J866" s="12" t="s">
        <v>7023</v>
      </c>
      <c r="K866" s="12"/>
      <c r="L866" s="12" t="s">
        <v>4248</v>
      </c>
      <c r="M866" s="12" t="s">
        <v>4249</v>
      </c>
    </row>
    <row r="867" spans="1:13" ht="39.6">
      <c r="A867" s="21" t="s">
        <v>4194</v>
      </c>
      <c r="B867" s="21" t="s">
        <v>4197</v>
      </c>
      <c r="C867" s="21" t="s">
        <v>4195</v>
      </c>
      <c r="D867" s="21" t="s">
        <v>71</v>
      </c>
      <c r="E867" s="22" t="s">
        <v>4196</v>
      </c>
      <c r="F867" s="22" t="s">
        <v>4197</v>
      </c>
      <c r="G867" s="21" t="s">
        <v>4198</v>
      </c>
      <c r="H867" s="21" t="s">
        <v>4199</v>
      </c>
      <c r="I867" s="12" t="s">
        <v>6229</v>
      </c>
      <c r="J867" s="12" t="s">
        <v>7024</v>
      </c>
      <c r="K867" s="12" t="s">
        <v>4250</v>
      </c>
      <c r="L867" s="12" t="s">
        <v>4251</v>
      </c>
      <c r="M867" s="12" t="s">
        <v>4250</v>
      </c>
    </row>
    <row r="868" spans="1:13" ht="39.6">
      <c r="A868" s="21" t="s">
        <v>4194</v>
      </c>
      <c r="B868" s="21" t="s">
        <v>4197</v>
      </c>
      <c r="C868" s="21" t="s">
        <v>4195</v>
      </c>
      <c r="D868" s="21" t="s">
        <v>71</v>
      </c>
      <c r="E868" s="22" t="s">
        <v>4196</v>
      </c>
      <c r="F868" s="22" t="s">
        <v>4197</v>
      </c>
      <c r="G868" s="21" t="s">
        <v>4198</v>
      </c>
      <c r="H868" s="21" t="s">
        <v>4199</v>
      </c>
      <c r="I868" s="12" t="s">
        <v>6230</v>
      </c>
      <c r="J868" s="12" t="s">
        <v>7025</v>
      </c>
      <c r="K868" s="12"/>
      <c r="L868" s="12" t="s">
        <v>4252</v>
      </c>
      <c r="M868" s="12" t="s">
        <v>4253</v>
      </c>
    </row>
    <row r="869" spans="1:13" ht="39.6">
      <c r="A869" s="21" t="s">
        <v>4194</v>
      </c>
      <c r="B869" s="21" t="s">
        <v>4197</v>
      </c>
      <c r="C869" s="21" t="s">
        <v>4195</v>
      </c>
      <c r="D869" s="21" t="s">
        <v>71</v>
      </c>
      <c r="E869" s="22" t="s">
        <v>4196</v>
      </c>
      <c r="F869" s="22" t="s">
        <v>4197</v>
      </c>
      <c r="G869" s="21" t="s">
        <v>4198</v>
      </c>
      <c r="H869" s="21" t="s">
        <v>4199</v>
      </c>
      <c r="I869" s="12" t="s">
        <v>6231</v>
      </c>
      <c r="J869" s="12" t="s">
        <v>7026</v>
      </c>
      <c r="K869" s="12"/>
      <c r="L869" s="12" t="s">
        <v>4254</v>
      </c>
      <c r="M869" s="12" t="s">
        <v>4255</v>
      </c>
    </row>
    <row r="870" spans="1:13" ht="39.6">
      <c r="A870" s="21" t="s">
        <v>4194</v>
      </c>
      <c r="B870" s="21" t="s">
        <v>4197</v>
      </c>
      <c r="C870" s="21" t="s">
        <v>4195</v>
      </c>
      <c r="D870" s="21" t="s">
        <v>71</v>
      </c>
      <c r="E870" s="22" t="s">
        <v>4196</v>
      </c>
      <c r="F870" s="22" t="s">
        <v>4197</v>
      </c>
      <c r="G870" s="21" t="s">
        <v>4198</v>
      </c>
      <c r="H870" s="21" t="s">
        <v>4199</v>
      </c>
      <c r="I870" s="12" t="s">
        <v>6232</v>
      </c>
      <c r="J870" s="12" t="s">
        <v>7027</v>
      </c>
      <c r="K870" s="12"/>
      <c r="L870" s="12" t="s">
        <v>4256</v>
      </c>
      <c r="M870" s="12" t="s">
        <v>4257</v>
      </c>
    </row>
    <row r="871" spans="1:13" ht="39.6">
      <c r="A871" s="21" t="s">
        <v>4194</v>
      </c>
      <c r="B871" s="21" t="s">
        <v>4197</v>
      </c>
      <c r="C871" s="21" t="s">
        <v>4195</v>
      </c>
      <c r="D871" s="21" t="s">
        <v>71</v>
      </c>
      <c r="E871" s="22" t="s">
        <v>4196</v>
      </c>
      <c r="F871" s="22" t="s">
        <v>4197</v>
      </c>
      <c r="G871" s="21" t="s">
        <v>4198</v>
      </c>
      <c r="H871" s="21" t="s">
        <v>4199</v>
      </c>
      <c r="I871" s="12" t="s">
        <v>6233</v>
      </c>
      <c r="J871" s="12" t="s">
        <v>7028</v>
      </c>
      <c r="K871" s="12"/>
      <c r="L871" s="12" t="s">
        <v>4258</v>
      </c>
      <c r="M871" s="12" t="s">
        <v>4259</v>
      </c>
    </row>
    <row r="872" spans="1:13" ht="39.6">
      <c r="A872" s="21" t="s">
        <v>4194</v>
      </c>
      <c r="B872" s="21" t="s">
        <v>4197</v>
      </c>
      <c r="C872" s="21" t="s">
        <v>4195</v>
      </c>
      <c r="D872" s="21" t="s">
        <v>71</v>
      </c>
      <c r="E872" s="22" t="s">
        <v>4196</v>
      </c>
      <c r="F872" s="22" t="s">
        <v>4197</v>
      </c>
      <c r="G872" s="21" t="s">
        <v>4198</v>
      </c>
      <c r="H872" s="21" t="s">
        <v>4199</v>
      </c>
      <c r="I872" s="12" t="s">
        <v>6234</v>
      </c>
      <c r="J872" s="12" t="s">
        <v>7029</v>
      </c>
      <c r="K872" s="12"/>
      <c r="L872" s="12" t="s">
        <v>4260</v>
      </c>
      <c r="M872" s="12" t="s">
        <v>4261</v>
      </c>
    </row>
    <row r="873" spans="1:13" ht="39.6">
      <c r="A873" s="21" t="s">
        <v>4194</v>
      </c>
      <c r="B873" s="21" t="s">
        <v>4197</v>
      </c>
      <c r="C873" s="21" t="s">
        <v>4195</v>
      </c>
      <c r="D873" s="21" t="s">
        <v>71</v>
      </c>
      <c r="E873" s="22" t="s">
        <v>4196</v>
      </c>
      <c r="F873" s="22" t="s">
        <v>4197</v>
      </c>
      <c r="G873" s="21" t="s">
        <v>4198</v>
      </c>
      <c r="H873" s="21" t="s">
        <v>4199</v>
      </c>
      <c r="I873" s="12" t="s">
        <v>6235</v>
      </c>
      <c r="J873" s="12" t="s">
        <v>3335</v>
      </c>
      <c r="K873" s="12" t="s">
        <v>3219</v>
      </c>
      <c r="L873" s="12" t="s">
        <v>3220</v>
      </c>
      <c r="M873" s="12" t="s">
        <v>3221</v>
      </c>
    </row>
    <row r="874" spans="1:13" ht="39.6">
      <c r="A874" s="21" t="s">
        <v>4194</v>
      </c>
      <c r="B874" s="21" t="s">
        <v>4197</v>
      </c>
      <c r="C874" s="21" t="s">
        <v>4195</v>
      </c>
      <c r="D874" s="21" t="s">
        <v>71</v>
      </c>
      <c r="E874" s="22" t="s">
        <v>4196</v>
      </c>
      <c r="F874" s="22" t="s">
        <v>4197</v>
      </c>
      <c r="G874" s="21" t="s">
        <v>4198</v>
      </c>
      <c r="H874" s="21" t="s">
        <v>4199</v>
      </c>
      <c r="I874" s="12" t="s">
        <v>6236</v>
      </c>
      <c r="J874" s="12" t="s">
        <v>7030</v>
      </c>
      <c r="K874" s="12" t="s">
        <v>4262</v>
      </c>
      <c r="L874" s="12" t="s">
        <v>4263</v>
      </c>
      <c r="M874" s="12" t="s">
        <v>4262</v>
      </c>
    </row>
    <row r="875" spans="1:13" ht="39.6">
      <c r="A875" s="21" t="s">
        <v>4194</v>
      </c>
      <c r="B875" s="21" t="s">
        <v>4197</v>
      </c>
      <c r="C875" s="21" t="s">
        <v>4195</v>
      </c>
      <c r="D875" s="21" t="s">
        <v>71</v>
      </c>
      <c r="E875" s="22" t="s">
        <v>4196</v>
      </c>
      <c r="F875" s="22" t="s">
        <v>4197</v>
      </c>
      <c r="G875" s="21" t="s">
        <v>4198</v>
      </c>
      <c r="H875" s="21" t="s">
        <v>4199</v>
      </c>
      <c r="I875" s="12" t="s">
        <v>6237</v>
      </c>
      <c r="J875" s="12" t="s">
        <v>7031</v>
      </c>
      <c r="K875" s="12" t="s">
        <v>4264</v>
      </c>
      <c r="L875" s="12" t="s">
        <v>4265</v>
      </c>
      <c r="M875" s="12" t="s">
        <v>4264</v>
      </c>
    </row>
    <row r="876" spans="1:13" ht="39.6">
      <c r="A876" s="21" t="s">
        <v>4194</v>
      </c>
      <c r="B876" s="21" t="s">
        <v>4197</v>
      </c>
      <c r="C876" s="21" t="s">
        <v>4195</v>
      </c>
      <c r="D876" s="21" t="s">
        <v>71</v>
      </c>
      <c r="E876" s="22" t="s">
        <v>4196</v>
      </c>
      <c r="F876" s="22" t="s">
        <v>4197</v>
      </c>
      <c r="G876" s="21" t="s">
        <v>4198</v>
      </c>
      <c r="H876" s="21" t="s">
        <v>4199</v>
      </c>
      <c r="I876" s="12" t="s">
        <v>6238</v>
      </c>
      <c r="J876" s="12" t="s">
        <v>7032</v>
      </c>
      <c r="K876" s="12"/>
      <c r="L876" s="12" t="s">
        <v>4266</v>
      </c>
      <c r="M876" s="12" t="s">
        <v>4267</v>
      </c>
    </row>
    <row r="877" spans="1:13" ht="39.6">
      <c r="A877" s="21" t="s">
        <v>4194</v>
      </c>
      <c r="B877" s="21" t="s">
        <v>4197</v>
      </c>
      <c r="C877" s="21" t="s">
        <v>4195</v>
      </c>
      <c r="D877" s="21" t="s">
        <v>71</v>
      </c>
      <c r="E877" s="22" t="s">
        <v>4196</v>
      </c>
      <c r="F877" s="22" t="s">
        <v>4197</v>
      </c>
      <c r="G877" s="21" t="s">
        <v>4198</v>
      </c>
      <c r="H877" s="21" t="s">
        <v>4199</v>
      </c>
      <c r="I877" s="12" t="s">
        <v>6239</v>
      </c>
      <c r="J877" s="12" t="s">
        <v>7033</v>
      </c>
      <c r="K877" s="12" t="s">
        <v>4268</v>
      </c>
      <c r="L877" s="12" t="s">
        <v>4269</v>
      </c>
      <c r="M877" s="12" t="s">
        <v>4268</v>
      </c>
    </row>
    <row r="878" spans="1:13" ht="39.6">
      <c r="A878" s="21" t="s">
        <v>4194</v>
      </c>
      <c r="B878" s="21" t="s">
        <v>4197</v>
      </c>
      <c r="C878" s="21" t="s">
        <v>4195</v>
      </c>
      <c r="D878" s="21" t="s">
        <v>71</v>
      </c>
      <c r="E878" s="22" t="s">
        <v>4196</v>
      </c>
      <c r="F878" s="22" t="s">
        <v>4197</v>
      </c>
      <c r="G878" s="21" t="s">
        <v>4198</v>
      </c>
      <c r="H878" s="21" t="s">
        <v>4199</v>
      </c>
      <c r="I878" s="12" t="s">
        <v>6240</v>
      </c>
      <c r="J878" s="12" t="s">
        <v>7034</v>
      </c>
      <c r="K878" s="12" t="s">
        <v>4270</v>
      </c>
      <c r="L878" s="12" t="s">
        <v>4271</v>
      </c>
      <c r="M878" s="12" t="s">
        <v>4272</v>
      </c>
    </row>
    <row r="879" spans="1:13" ht="39.6">
      <c r="A879" s="21" t="s">
        <v>4194</v>
      </c>
      <c r="B879" s="21" t="s">
        <v>4197</v>
      </c>
      <c r="C879" s="21" t="s">
        <v>4195</v>
      </c>
      <c r="D879" s="21" t="s">
        <v>71</v>
      </c>
      <c r="E879" s="22" t="s">
        <v>4196</v>
      </c>
      <c r="F879" s="22" t="s">
        <v>4197</v>
      </c>
      <c r="G879" s="21" t="s">
        <v>4198</v>
      </c>
      <c r="H879" s="21" t="s">
        <v>4199</v>
      </c>
      <c r="I879" s="12" t="s">
        <v>6241</v>
      </c>
      <c r="J879" s="12" t="s">
        <v>7035</v>
      </c>
      <c r="K879" s="12" t="s">
        <v>4273</v>
      </c>
      <c r="L879" s="12" t="s">
        <v>4274</v>
      </c>
      <c r="M879" s="12" t="s">
        <v>4275</v>
      </c>
    </row>
    <row r="880" spans="1:13" ht="39.6">
      <c r="A880" s="21" t="s">
        <v>4194</v>
      </c>
      <c r="B880" s="21" t="s">
        <v>4197</v>
      </c>
      <c r="C880" s="21" t="s">
        <v>4195</v>
      </c>
      <c r="D880" s="21" t="s">
        <v>71</v>
      </c>
      <c r="E880" s="22" t="s">
        <v>4196</v>
      </c>
      <c r="F880" s="22" t="s">
        <v>4197</v>
      </c>
      <c r="G880" s="21" t="s">
        <v>4198</v>
      </c>
      <c r="H880" s="21" t="s">
        <v>4199</v>
      </c>
      <c r="I880" s="12" t="s">
        <v>6242</v>
      </c>
      <c r="J880" s="12" t="s">
        <v>7036</v>
      </c>
      <c r="K880" s="12"/>
      <c r="L880" s="12" t="s">
        <v>4276</v>
      </c>
      <c r="M880" s="12" t="s">
        <v>4277</v>
      </c>
    </row>
    <row r="881" spans="1:13" ht="39.6">
      <c r="A881" s="21" t="s">
        <v>4194</v>
      </c>
      <c r="B881" s="21" t="s">
        <v>4197</v>
      </c>
      <c r="C881" s="21" t="s">
        <v>4195</v>
      </c>
      <c r="D881" s="21" t="s">
        <v>71</v>
      </c>
      <c r="E881" s="22" t="s">
        <v>4196</v>
      </c>
      <c r="F881" s="22" t="s">
        <v>4197</v>
      </c>
      <c r="G881" s="21" t="s">
        <v>4198</v>
      </c>
      <c r="H881" s="21" t="s">
        <v>4199</v>
      </c>
      <c r="I881" s="12" t="s">
        <v>6243</v>
      </c>
      <c r="J881" s="12" t="s">
        <v>7037</v>
      </c>
      <c r="K881" s="12"/>
      <c r="L881" s="12" t="s">
        <v>4278</v>
      </c>
      <c r="M881" s="12" t="s">
        <v>4279</v>
      </c>
    </row>
    <row r="882" spans="1:13" ht="39.6">
      <c r="A882" s="21" t="s">
        <v>4194</v>
      </c>
      <c r="B882" s="21" t="s">
        <v>4197</v>
      </c>
      <c r="C882" s="21" t="s">
        <v>4195</v>
      </c>
      <c r="D882" s="21" t="s">
        <v>71</v>
      </c>
      <c r="E882" s="22" t="s">
        <v>4196</v>
      </c>
      <c r="F882" s="22" t="s">
        <v>4197</v>
      </c>
      <c r="G882" s="21" t="s">
        <v>4198</v>
      </c>
      <c r="H882" s="21" t="s">
        <v>4199</v>
      </c>
      <c r="I882" s="12" t="s">
        <v>6244</v>
      </c>
      <c r="J882" s="12" t="s">
        <v>7038</v>
      </c>
      <c r="K882" s="12"/>
      <c r="L882" s="12" t="s">
        <v>4280</v>
      </c>
      <c r="M882" s="12" t="s">
        <v>4281</v>
      </c>
    </row>
    <row r="883" spans="1:13" ht="39.6">
      <c r="A883" s="21" t="s">
        <v>4194</v>
      </c>
      <c r="B883" s="21" t="s">
        <v>4197</v>
      </c>
      <c r="C883" s="21" t="s">
        <v>4195</v>
      </c>
      <c r="D883" s="21" t="s">
        <v>71</v>
      </c>
      <c r="E883" s="22" t="s">
        <v>4196</v>
      </c>
      <c r="F883" s="22" t="s">
        <v>4197</v>
      </c>
      <c r="G883" s="21" t="s">
        <v>4198</v>
      </c>
      <c r="H883" s="21" t="s">
        <v>4199</v>
      </c>
      <c r="I883" s="12" t="s">
        <v>6245</v>
      </c>
      <c r="J883" s="12" t="s">
        <v>3339</v>
      </c>
      <c r="K883" s="12" t="s">
        <v>3230</v>
      </c>
      <c r="L883" s="12" t="s">
        <v>3231</v>
      </c>
      <c r="M883" s="12" t="s">
        <v>3232</v>
      </c>
    </row>
    <row r="884" spans="1:13" ht="39.6">
      <c r="A884" s="21" t="s">
        <v>4194</v>
      </c>
      <c r="B884" s="21" t="s">
        <v>4197</v>
      </c>
      <c r="C884" s="21" t="s">
        <v>4195</v>
      </c>
      <c r="D884" s="21" t="s">
        <v>71</v>
      </c>
      <c r="E884" s="22" t="s">
        <v>4196</v>
      </c>
      <c r="F884" s="22" t="s">
        <v>4197</v>
      </c>
      <c r="G884" s="21" t="s">
        <v>4198</v>
      </c>
      <c r="H884" s="21" t="s">
        <v>4199</v>
      </c>
      <c r="I884" s="12" t="s">
        <v>6246</v>
      </c>
      <c r="J884" s="12" t="s">
        <v>7039</v>
      </c>
      <c r="K884" s="12" t="s">
        <v>4282</v>
      </c>
      <c r="L884" s="12" t="s">
        <v>4283</v>
      </c>
      <c r="M884" s="12" t="s">
        <v>4284</v>
      </c>
    </row>
    <row r="885" spans="1:13" ht="39.6">
      <c r="A885" s="21" t="s">
        <v>4194</v>
      </c>
      <c r="B885" s="21" t="s">
        <v>4197</v>
      </c>
      <c r="C885" s="21" t="s">
        <v>4195</v>
      </c>
      <c r="D885" s="21" t="s">
        <v>71</v>
      </c>
      <c r="E885" s="22" t="s">
        <v>4196</v>
      </c>
      <c r="F885" s="22" t="s">
        <v>4197</v>
      </c>
      <c r="G885" s="21" t="s">
        <v>4198</v>
      </c>
      <c r="H885" s="21" t="s">
        <v>4199</v>
      </c>
      <c r="I885" s="12" t="s">
        <v>6247</v>
      </c>
      <c r="J885" s="12" t="s">
        <v>7040</v>
      </c>
      <c r="K885" s="12" t="s">
        <v>4285</v>
      </c>
      <c r="L885" s="12" t="s">
        <v>4283</v>
      </c>
      <c r="M885" s="12" t="s">
        <v>4286</v>
      </c>
    </row>
    <row r="886" spans="1:13" ht="39.6">
      <c r="A886" s="21" t="s">
        <v>4194</v>
      </c>
      <c r="B886" s="21" t="s">
        <v>4197</v>
      </c>
      <c r="C886" s="21" t="s">
        <v>4195</v>
      </c>
      <c r="D886" s="21" t="s">
        <v>71</v>
      </c>
      <c r="E886" s="22" t="s">
        <v>4196</v>
      </c>
      <c r="F886" s="22" t="s">
        <v>4197</v>
      </c>
      <c r="G886" s="21" t="s">
        <v>4198</v>
      </c>
      <c r="H886" s="21" t="s">
        <v>4199</v>
      </c>
      <c r="I886" s="12" t="s">
        <v>6248</v>
      </c>
      <c r="J886" s="12" t="s">
        <v>7041</v>
      </c>
      <c r="K886" s="12" t="s">
        <v>4287</v>
      </c>
      <c r="L886" s="12" t="s">
        <v>4288</v>
      </c>
      <c r="M886" s="12" t="s">
        <v>4287</v>
      </c>
    </row>
    <row r="887" spans="1:13" ht="39.6">
      <c r="A887" s="21" t="s">
        <v>4194</v>
      </c>
      <c r="B887" s="21" t="s">
        <v>4197</v>
      </c>
      <c r="C887" s="21" t="s">
        <v>4195</v>
      </c>
      <c r="D887" s="21" t="s">
        <v>71</v>
      </c>
      <c r="E887" s="22" t="s">
        <v>4196</v>
      </c>
      <c r="F887" s="22" t="s">
        <v>4197</v>
      </c>
      <c r="G887" s="21" t="s">
        <v>4198</v>
      </c>
      <c r="H887" s="21" t="s">
        <v>4199</v>
      </c>
      <c r="I887" s="12" t="s">
        <v>6249</v>
      </c>
      <c r="J887" s="12" t="s">
        <v>3291</v>
      </c>
      <c r="K887" s="12" t="s">
        <v>3091</v>
      </c>
      <c r="L887" s="12" t="s">
        <v>3092</v>
      </c>
      <c r="M887" s="12" t="s">
        <v>3093</v>
      </c>
    </row>
    <row r="888" spans="1:13" ht="39.6">
      <c r="A888" s="21" t="s">
        <v>4194</v>
      </c>
      <c r="B888" s="21" t="s">
        <v>4197</v>
      </c>
      <c r="C888" s="21" t="s">
        <v>4195</v>
      </c>
      <c r="D888" s="21" t="s">
        <v>71</v>
      </c>
      <c r="E888" s="22" t="s">
        <v>4196</v>
      </c>
      <c r="F888" s="22" t="s">
        <v>4197</v>
      </c>
      <c r="G888" s="21" t="s">
        <v>4198</v>
      </c>
      <c r="H888" s="21" t="s">
        <v>4199</v>
      </c>
      <c r="I888" s="12" t="s">
        <v>6250</v>
      </c>
      <c r="J888" s="12" t="s">
        <v>7042</v>
      </c>
      <c r="K888" s="12" t="s">
        <v>4289</v>
      </c>
      <c r="L888" s="12" t="s">
        <v>4290</v>
      </c>
      <c r="M888" s="12" t="s">
        <v>4291</v>
      </c>
    </row>
    <row r="889" spans="1:13" ht="52.8">
      <c r="A889" s="21" t="s">
        <v>4194</v>
      </c>
      <c r="B889" s="21" t="s">
        <v>4197</v>
      </c>
      <c r="C889" s="21" t="s">
        <v>4195</v>
      </c>
      <c r="D889" s="21" t="s">
        <v>71</v>
      </c>
      <c r="E889" s="22" t="s">
        <v>4196</v>
      </c>
      <c r="F889" s="22" t="s">
        <v>4197</v>
      </c>
      <c r="G889" s="21" t="s">
        <v>4198</v>
      </c>
      <c r="H889" s="21" t="s">
        <v>4199</v>
      </c>
      <c r="I889" s="12" t="s">
        <v>6251</v>
      </c>
      <c r="J889" s="12" t="s">
        <v>7043</v>
      </c>
      <c r="K889" s="12" t="s">
        <v>4292</v>
      </c>
      <c r="L889" s="12" t="s">
        <v>4293</v>
      </c>
      <c r="M889" s="12" t="s">
        <v>4294</v>
      </c>
    </row>
    <row r="890" spans="1:13" ht="39.6">
      <c r="A890" s="21" t="s">
        <v>4194</v>
      </c>
      <c r="B890" s="21" t="s">
        <v>4197</v>
      </c>
      <c r="C890" s="21" t="s">
        <v>4195</v>
      </c>
      <c r="D890" s="21" t="s">
        <v>71</v>
      </c>
      <c r="E890" s="22" t="s">
        <v>4196</v>
      </c>
      <c r="F890" s="22" t="s">
        <v>4197</v>
      </c>
      <c r="G890" s="21" t="s">
        <v>4198</v>
      </c>
      <c r="H890" s="21" t="s">
        <v>4199</v>
      </c>
      <c r="I890" s="12" t="s">
        <v>6252</v>
      </c>
      <c r="J890" s="12" t="s">
        <v>7044</v>
      </c>
      <c r="K890" s="12" t="s">
        <v>4295</v>
      </c>
      <c r="L890" s="12" t="s">
        <v>4296</v>
      </c>
      <c r="M890" s="12" t="s">
        <v>4297</v>
      </c>
    </row>
    <row r="891" spans="1:13" ht="39.6">
      <c r="A891" s="21" t="s">
        <v>4194</v>
      </c>
      <c r="B891" s="21" t="s">
        <v>4197</v>
      </c>
      <c r="C891" s="21" t="s">
        <v>4195</v>
      </c>
      <c r="D891" s="21" t="s">
        <v>71</v>
      </c>
      <c r="E891" s="22" t="s">
        <v>4196</v>
      </c>
      <c r="F891" s="22" t="s">
        <v>4197</v>
      </c>
      <c r="G891" s="21" t="s">
        <v>4198</v>
      </c>
      <c r="H891" s="21" t="s">
        <v>4199</v>
      </c>
      <c r="I891" s="12" t="s">
        <v>6253</v>
      </c>
      <c r="J891" s="12" t="s">
        <v>7045</v>
      </c>
      <c r="K891" s="12" t="s">
        <v>4298</v>
      </c>
      <c r="L891" s="12" t="s">
        <v>4299</v>
      </c>
      <c r="M891" s="12" t="s">
        <v>4300</v>
      </c>
    </row>
    <row r="892" spans="1:13" ht="39.6">
      <c r="A892" s="21" t="s">
        <v>4194</v>
      </c>
      <c r="B892" s="21" t="s">
        <v>4197</v>
      </c>
      <c r="C892" s="21" t="s">
        <v>4195</v>
      </c>
      <c r="D892" s="21" t="s">
        <v>71</v>
      </c>
      <c r="E892" s="22" t="s">
        <v>4196</v>
      </c>
      <c r="F892" s="22" t="s">
        <v>4197</v>
      </c>
      <c r="G892" s="21" t="s">
        <v>4198</v>
      </c>
      <c r="H892" s="21" t="s">
        <v>4199</v>
      </c>
      <c r="I892" s="12" t="s">
        <v>6254</v>
      </c>
      <c r="J892" s="12" t="s">
        <v>7046</v>
      </c>
      <c r="K892" s="12" t="s">
        <v>4301</v>
      </c>
      <c r="L892" s="12" t="s">
        <v>4302</v>
      </c>
      <c r="M892" s="12" t="s">
        <v>4303</v>
      </c>
    </row>
    <row r="893" spans="1:13" ht="66">
      <c r="A893" s="21" t="s">
        <v>4194</v>
      </c>
      <c r="B893" s="21" t="s">
        <v>4197</v>
      </c>
      <c r="C893" s="21" t="s">
        <v>4195</v>
      </c>
      <c r="D893" s="21" t="s">
        <v>71</v>
      </c>
      <c r="E893" s="22" t="s">
        <v>4196</v>
      </c>
      <c r="F893" s="22" t="s">
        <v>4197</v>
      </c>
      <c r="G893" s="21" t="s">
        <v>4198</v>
      </c>
      <c r="H893" s="21" t="s">
        <v>4199</v>
      </c>
      <c r="I893" s="12" t="s">
        <v>6255</v>
      </c>
      <c r="J893" s="12" t="s">
        <v>7047</v>
      </c>
      <c r="K893" s="12" t="s">
        <v>4304</v>
      </c>
      <c r="L893" s="12" t="s">
        <v>4305</v>
      </c>
      <c r="M893" s="12" t="s">
        <v>4306</v>
      </c>
    </row>
    <row r="894" spans="1:13" ht="39.6">
      <c r="A894" s="21" t="s">
        <v>4194</v>
      </c>
      <c r="B894" s="21" t="s">
        <v>4197</v>
      </c>
      <c r="C894" s="21" t="s">
        <v>4195</v>
      </c>
      <c r="D894" s="21" t="s">
        <v>71</v>
      </c>
      <c r="E894" s="22" t="s">
        <v>4196</v>
      </c>
      <c r="F894" s="22" t="s">
        <v>4197</v>
      </c>
      <c r="G894" s="21" t="s">
        <v>4198</v>
      </c>
      <c r="H894" s="21" t="s">
        <v>4199</v>
      </c>
      <c r="I894" s="12" t="s">
        <v>6256</v>
      </c>
      <c r="J894" s="12" t="s">
        <v>7048</v>
      </c>
      <c r="K894" s="12" t="s">
        <v>4307</v>
      </c>
      <c r="L894" s="12" t="s">
        <v>4308</v>
      </c>
      <c r="M894" s="12" t="s">
        <v>4309</v>
      </c>
    </row>
    <row r="895" spans="1:13" ht="52.8">
      <c r="A895" s="21" t="s">
        <v>4194</v>
      </c>
      <c r="B895" s="21" t="s">
        <v>4197</v>
      </c>
      <c r="C895" s="21" t="s">
        <v>4195</v>
      </c>
      <c r="D895" s="21" t="s">
        <v>71</v>
      </c>
      <c r="E895" s="22" t="s">
        <v>4196</v>
      </c>
      <c r="F895" s="22" t="s">
        <v>4197</v>
      </c>
      <c r="G895" s="21" t="s">
        <v>4198</v>
      </c>
      <c r="H895" s="21" t="s">
        <v>4199</v>
      </c>
      <c r="I895" s="12" t="s">
        <v>6257</v>
      </c>
      <c r="J895" s="12" t="s">
        <v>7049</v>
      </c>
      <c r="K895" s="12" t="s">
        <v>4310</v>
      </c>
      <c r="L895" s="12" t="s">
        <v>4308</v>
      </c>
      <c r="M895" s="12" t="s">
        <v>4311</v>
      </c>
    </row>
    <row r="896" spans="1:13" ht="66">
      <c r="A896" s="21" t="s">
        <v>4194</v>
      </c>
      <c r="B896" s="21" t="s">
        <v>4197</v>
      </c>
      <c r="C896" s="21" t="s">
        <v>4195</v>
      </c>
      <c r="D896" s="21" t="s">
        <v>71</v>
      </c>
      <c r="E896" s="22" t="s">
        <v>4196</v>
      </c>
      <c r="F896" s="22" t="s">
        <v>4197</v>
      </c>
      <c r="G896" s="21" t="s">
        <v>4198</v>
      </c>
      <c r="H896" s="21" t="s">
        <v>4199</v>
      </c>
      <c r="I896" s="12" t="s">
        <v>6258</v>
      </c>
      <c r="J896" s="12" t="s">
        <v>7050</v>
      </c>
      <c r="K896" s="12" t="s">
        <v>4312</v>
      </c>
      <c r="L896" s="12" t="s">
        <v>4313</v>
      </c>
      <c r="M896" s="12" t="s">
        <v>4314</v>
      </c>
    </row>
    <row r="897" spans="1:13" ht="39.6">
      <c r="A897" s="21" t="s">
        <v>4194</v>
      </c>
      <c r="B897" s="21" t="s">
        <v>4197</v>
      </c>
      <c r="C897" s="21" t="s">
        <v>4195</v>
      </c>
      <c r="D897" s="21" t="s">
        <v>71</v>
      </c>
      <c r="E897" s="22" t="s">
        <v>4196</v>
      </c>
      <c r="F897" s="22" t="s">
        <v>4197</v>
      </c>
      <c r="G897" s="21" t="s">
        <v>4198</v>
      </c>
      <c r="H897" s="21" t="s">
        <v>4199</v>
      </c>
      <c r="I897" s="12" t="s">
        <v>6259</v>
      </c>
      <c r="J897" s="12" t="s">
        <v>7051</v>
      </c>
      <c r="K897" s="12"/>
      <c r="L897" s="12" t="s">
        <v>4315</v>
      </c>
      <c r="M897" s="12" t="s">
        <v>4316</v>
      </c>
    </row>
    <row r="898" spans="1:13" ht="39.6">
      <c r="A898" s="21" t="s">
        <v>4194</v>
      </c>
      <c r="B898" s="21" t="s">
        <v>4197</v>
      </c>
      <c r="C898" s="21" t="s">
        <v>4195</v>
      </c>
      <c r="D898" s="21" t="s">
        <v>71</v>
      </c>
      <c r="E898" s="22" t="s">
        <v>4196</v>
      </c>
      <c r="F898" s="22" t="s">
        <v>4197</v>
      </c>
      <c r="G898" s="21" t="s">
        <v>4198</v>
      </c>
      <c r="H898" s="21" t="s">
        <v>4199</v>
      </c>
      <c r="I898" s="12" t="s">
        <v>6260</v>
      </c>
      <c r="J898" s="12" t="s">
        <v>7052</v>
      </c>
      <c r="K898" s="12"/>
      <c r="L898" s="12" t="s">
        <v>4317</v>
      </c>
      <c r="M898" s="12" t="s">
        <v>4318</v>
      </c>
    </row>
    <row r="899" spans="1:13" ht="39.6">
      <c r="A899" s="21" t="s">
        <v>4194</v>
      </c>
      <c r="B899" s="21" t="s">
        <v>4197</v>
      </c>
      <c r="C899" s="21" t="s">
        <v>4195</v>
      </c>
      <c r="D899" s="21" t="s">
        <v>71</v>
      </c>
      <c r="E899" s="22" t="s">
        <v>4196</v>
      </c>
      <c r="F899" s="22" t="s">
        <v>4197</v>
      </c>
      <c r="G899" s="21" t="s">
        <v>4198</v>
      </c>
      <c r="H899" s="21" t="s">
        <v>4199</v>
      </c>
      <c r="I899" s="12" t="s">
        <v>6261</v>
      </c>
      <c r="J899" s="12" t="s">
        <v>7053</v>
      </c>
      <c r="K899" s="12" t="s">
        <v>4319</v>
      </c>
      <c r="L899" s="12" t="s">
        <v>4320</v>
      </c>
      <c r="M899" s="12" t="s">
        <v>4319</v>
      </c>
    </row>
    <row r="900" spans="1:13" ht="52.8">
      <c r="A900" s="21" t="s">
        <v>4194</v>
      </c>
      <c r="B900" s="21" t="s">
        <v>4197</v>
      </c>
      <c r="C900" s="21" t="s">
        <v>4195</v>
      </c>
      <c r="D900" s="21" t="s">
        <v>71</v>
      </c>
      <c r="E900" s="22" t="s">
        <v>4196</v>
      </c>
      <c r="F900" s="22" t="s">
        <v>4197</v>
      </c>
      <c r="G900" s="21" t="s">
        <v>4198</v>
      </c>
      <c r="H900" s="21" t="s">
        <v>4199</v>
      </c>
      <c r="I900" s="12" t="s">
        <v>6262</v>
      </c>
      <c r="J900" s="12" t="s">
        <v>7054</v>
      </c>
      <c r="K900" s="12" t="s">
        <v>4321</v>
      </c>
      <c r="L900" s="12" t="s">
        <v>4322</v>
      </c>
      <c r="M900" s="12" t="s">
        <v>4323</v>
      </c>
    </row>
    <row r="901" spans="1:13" ht="52.8">
      <c r="A901" s="21" t="s">
        <v>4194</v>
      </c>
      <c r="B901" s="21" t="s">
        <v>4197</v>
      </c>
      <c r="C901" s="21" t="s">
        <v>4195</v>
      </c>
      <c r="D901" s="21" t="s">
        <v>71</v>
      </c>
      <c r="E901" s="22" t="s">
        <v>4196</v>
      </c>
      <c r="F901" s="22" t="s">
        <v>4197</v>
      </c>
      <c r="G901" s="21" t="s">
        <v>4198</v>
      </c>
      <c r="H901" s="21" t="s">
        <v>4199</v>
      </c>
      <c r="I901" s="12" t="s">
        <v>6263</v>
      </c>
      <c r="J901" s="12" t="s">
        <v>7055</v>
      </c>
      <c r="K901" s="12" t="s">
        <v>4324</v>
      </c>
      <c r="L901" s="12" t="s">
        <v>4325</v>
      </c>
      <c r="M901" s="12" t="s">
        <v>4326</v>
      </c>
    </row>
    <row r="902" spans="1:13" ht="39.6">
      <c r="A902" s="21" t="s">
        <v>4194</v>
      </c>
      <c r="B902" s="21" t="s">
        <v>4197</v>
      </c>
      <c r="C902" s="21" t="s">
        <v>4195</v>
      </c>
      <c r="D902" s="21" t="s">
        <v>71</v>
      </c>
      <c r="E902" s="22" t="s">
        <v>4196</v>
      </c>
      <c r="F902" s="22" t="s">
        <v>4197</v>
      </c>
      <c r="G902" s="21" t="s">
        <v>4198</v>
      </c>
      <c r="H902" s="21" t="s">
        <v>4199</v>
      </c>
      <c r="I902" s="12" t="s">
        <v>6264</v>
      </c>
      <c r="J902" s="12" t="s">
        <v>7056</v>
      </c>
      <c r="K902" s="12"/>
      <c r="L902" s="12" t="s">
        <v>4327</v>
      </c>
      <c r="M902" s="12" t="s">
        <v>4328</v>
      </c>
    </row>
    <row r="903" spans="1:13" ht="39.6">
      <c r="A903" s="21" t="s">
        <v>4194</v>
      </c>
      <c r="B903" s="21" t="s">
        <v>4197</v>
      </c>
      <c r="C903" s="21" t="s">
        <v>4195</v>
      </c>
      <c r="D903" s="21" t="s">
        <v>71</v>
      </c>
      <c r="E903" s="22" t="s">
        <v>4196</v>
      </c>
      <c r="F903" s="22" t="s">
        <v>4197</v>
      </c>
      <c r="G903" s="21" t="s">
        <v>4198</v>
      </c>
      <c r="H903" s="21" t="s">
        <v>4199</v>
      </c>
      <c r="I903" s="12" t="s">
        <v>6265</v>
      </c>
      <c r="J903" s="12" t="s">
        <v>7057</v>
      </c>
      <c r="K903" s="12"/>
      <c r="L903" s="12" t="s">
        <v>4329</v>
      </c>
      <c r="M903" s="12" t="s">
        <v>4330</v>
      </c>
    </row>
    <row r="904" spans="1:13" ht="39.6">
      <c r="A904" s="21" t="s">
        <v>4194</v>
      </c>
      <c r="B904" s="21" t="s">
        <v>4197</v>
      </c>
      <c r="C904" s="21" t="s">
        <v>4195</v>
      </c>
      <c r="D904" s="21" t="s">
        <v>71</v>
      </c>
      <c r="E904" s="22" t="s">
        <v>4196</v>
      </c>
      <c r="F904" s="22" t="s">
        <v>4197</v>
      </c>
      <c r="G904" s="21" t="s">
        <v>4198</v>
      </c>
      <c r="H904" s="21" t="s">
        <v>4199</v>
      </c>
      <c r="I904" s="12" t="s">
        <v>6266</v>
      </c>
      <c r="J904" s="12" t="s">
        <v>7058</v>
      </c>
      <c r="K904" s="12"/>
      <c r="L904" s="12" t="s">
        <v>4331</v>
      </c>
      <c r="M904" s="12" t="s">
        <v>4332</v>
      </c>
    </row>
    <row r="905" spans="1:13" ht="39.6">
      <c r="A905" s="21" t="s">
        <v>4194</v>
      </c>
      <c r="B905" s="21" t="s">
        <v>4197</v>
      </c>
      <c r="C905" s="21" t="s">
        <v>4195</v>
      </c>
      <c r="D905" s="21" t="s">
        <v>71</v>
      </c>
      <c r="E905" s="22" t="s">
        <v>4196</v>
      </c>
      <c r="F905" s="22" t="s">
        <v>4197</v>
      </c>
      <c r="G905" s="21" t="s">
        <v>4198</v>
      </c>
      <c r="H905" s="21" t="s">
        <v>4199</v>
      </c>
      <c r="I905" s="12" t="s">
        <v>6267</v>
      </c>
      <c r="J905" s="12" t="s">
        <v>7059</v>
      </c>
      <c r="K905" s="12" t="s">
        <v>4333</v>
      </c>
      <c r="L905" s="12" t="s">
        <v>4334</v>
      </c>
      <c r="M905" s="12" t="s">
        <v>4335</v>
      </c>
    </row>
    <row r="906" spans="1:13" ht="52.8">
      <c r="A906" s="21" t="s">
        <v>4194</v>
      </c>
      <c r="B906" s="21" t="s">
        <v>4197</v>
      </c>
      <c r="C906" s="21" t="s">
        <v>4195</v>
      </c>
      <c r="D906" s="21" t="s">
        <v>71</v>
      </c>
      <c r="E906" s="22" t="s">
        <v>4196</v>
      </c>
      <c r="F906" s="22" t="s">
        <v>4197</v>
      </c>
      <c r="G906" s="21" t="s">
        <v>4198</v>
      </c>
      <c r="H906" s="21" t="s">
        <v>4199</v>
      </c>
      <c r="I906" s="12" t="s">
        <v>6268</v>
      </c>
      <c r="J906" s="12" t="s">
        <v>7060</v>
      </c>
      <c r="K906" s="12" t="s">
        <v>4336</v>
      </c>
      <c r="L906" s="12" t="s">
        <v>4337</v>
      </c>
      <c r="M906" s="12" t="s">
        <v>4338</v>
      </c>
    </row>
    <row r="907" spans="1:13" ht="66">
      <c r="A907" s="21" t="s">
        <v>4194</v>
      </c>
      <c r="B907" s="21" t="s">
        <v>4197</v>
      </c>
      <c r="C907" s="21" t="s">
        <v>4195</v>
      </c>
      <c r="D907" s="21" t="s">
        <v>71</v>
      </c>
      <c r="E907" s="22" t="s">
        <v>4196</v>
      </c>
      <c r="F907" s="22" t="s">
        <v>4197</v>
      </c>
      <c r="G907" s="21" t="s">
        <v>4198</v>
      </c>
      <c r="H907" s="21" t="s">
        <v>4199</v>
      </c>
      <c r="I907" s="12" t="s">
        <v>6269</v>
      </c>
      <c r="J907" s="12" t="s">
        <v>7061</v>
      </c>
      <c r="K907" s="12" t="s">
        <v>4339</v>
      </c>
      <c r="L907" s="12" t="s">
        <v>4340</v>
      </c>
      <c r="M907" s="12" t="s">
        <v>4341</v>
      </c>
    </row>
    <row r="908" spans="1:13" ht="39.6">
      <c r="A908" s="21" t="s">
        <v>4194</v>
      </c>
      <c r="B908" s="21" t="s">
        <v>4197</v>
      </c>
      <c r="C908" s="21" t="s">
        <v>4195</v>
      </c>
      <c r="D908" s="21" t="s">
        <v>71</v>
      </c>
      <c r="E908" s="22" t="s">
        <v>4196</v>
      </c>
      <c r="F908" s="22" t="s">
        <v>4197</v>
      </c>
      <c r="G908" s="21" t="s">
        <v>4198</v>
      </c>
      <c r="H908" s="21" t="s">
        <v>4199</v>
      </c>
      <c r="I908" s="12" t="s">
        <v>6270</v>
      </c>
      <c r="J908" s="12" t="s">
        <v>7062</v>
      </c>
      <c r="K908" s="12"/>
      <c r="L908" s="12" t="s">
        <v>4342</v>
      </c>
      <c r="M908" s="12" t="s">
        <v>4343</v>
      </c>
    </row>
    <row r="909" spans="1:13" ht="39.6">
      <c r="A909" s="21" t="s">
        <v>4194</v>
      </c>
      <c r="B909" s="21" t="s">
        <v>4197</v>
      </c>
      <c r="C909" s="21" t="s">
        <v>4195</v>
      </c>
      <c r="D909" s="21" t="s">
        <v>71</v>
      </c>
      <c r="E909" s="22" t="s">
        <v>4196</v>
      </c>
      <c r="F909" s="22" t="s">
        <v>4197</v>
      </c>
      <c r="G909" s="21" t="s">
        <v>4198</v>
      </c>
      <c r="H909" s="21" t="s">
        <v>4199</v>
      </c>
      <c r="I909" s="12" t="s">
        <v>6271</v>
      </c>
      <c r="J909" s="12" t="s">
        <v>7063</v>
      </c>
      <c r="K909" s="12"/>
      <c r="L909" s="12" t="s">
        <v>4344</v>
      </c>
      <c r="M909" s="12" t="s">
        <v>4345</v>
      </c>
    </row>
    <row r="910" spans="1:13" ht="66">
      <c r="A910" s="21" t="s">
        <v>4194</v>
      </c>
      <c r="B910" s="21" t="s">
        <v>4197</v>
      </c>
      <c r="C910" s="21" t="s">
        <v>4195</v>
      </c>
      <c r="D910" s="21" t="s">
        <v>71</v>
      </c>
      <c r="E910" s="22" t="s">
        <v>4196</v>
      </c>
      <c r="F910" s="22" t="s">
        <v>4197</v>
      </c>
      <c r="G910" s="21" t="s">
        <v>4198</v>
      </c>
      <c r="H910" s="21" t="s">
        <v>4199</v>
      </c>
      <c r="I910" s="12" t="s">
        <v>6272</v>
      </c>
      <c r="J910" s="12" t="s">
        <v>7064</v>
      </c>
      <c r="K910" s="12" t="s">
        <v>4346</v>
      </c>
      <c r="L910" s="12" t="s">
        <v>4347</v>
      </c>
      <c r="M910" s="12" t="s">
        <v>4348</v>
      </c>
    </row>
    <row r="911" spans="1:13" ht="39.6">
      <c r="A911" s="21" t="s">
        <v>4194</v>
      </c>
      <c r="B911" s="21" t="s">
        <v>4197</v>
      </c>
      <c r="C911" s="21" t="s">
        <v>4195</v>
      </c>
      <c r="D911" s="21" t="s">
        <v>71</v>
      </c>
      <c r="E911" s="22" t="s">
        <v>4196</v>
      </c>
      <c r="F911" s="22" t="s">
        <v>4197</v>
      </c>
      <c r="G911" s="21" t="s">
        <v>4198</v>
      </c>
      <c r="H911" s="21" t="s">
        <v>4199</v>
      </c>
      <c r="I911" s="12" t="s">
        <v>6273</v>
      </c>
      <c r="J911" s="12" t="s">
        <v>7065</v>
      </c>
      <c r="K911" s="12"/>
      <c r="L911" s="12" t="s">
        <v>4349</v>
      </c>
      <c r="M911" s="12" t="s">
        <v>4350</v>
      </c>
    </row>
    <row r="912" spans="1:13" ht="39.6">
      <c r="A912" s="21" t="s">
        <v>4194</v>
      </c>
      <c r="B912" s="21" t="s">
        <v>4197</v>
      </c>
      <c r="C912" s="21" t="s">
        <v>4195</v>
      </c>
      <c r="D912" s="21" t="s">
        <v>71</v>
      </c>
      <c r="E912" s="22" t="s">
        <v>4196</v>
      </c>
      <c r="F912" s="22" t="s">
        <v>4197</v>
      </c>
      <c r="G912" s="21" t="s">
        <v>4198</v>
      </c>
      <c r="H912" s="21" t="s">
        <v>4199</v>
      </c>
      <c r="I912" s="12" t="s">
        <v>6274</v>
      </c>
      <c r="J912" s="12" t="s">
        <v>7066</v>
      </c>
      <c r="K912" s="12"/>
      <c r="L912" s="12" t="s">
        <v>4351</v>
      </c>
      <c r="M912" s="12" t="s">
        <v>4352</v>
      </c>
    </row>
    <row r="913" spans="1:13" ht="39.6">
      <c r="A913" s="21" t="s">
        <v>4194</v>
      </c>
      <c r="B913" s="21" t="s">
        <v>4197</v>
      </c>
      <c r="C913" s="21" t="s">
        <v>4195</v>
      </c>
      <c r="D913" s="21" t="s">
        <v>71</v>
      </c>
      <c r="E913" s="22" t="s">
        <v>4196</v>
      </c>
      <c r="F913" s="22" t="s">
        <v>4197</v>
      </c>
      <c r="G913" s="21" t="s">
        <v>4198</v>
      </c>
      <c r="H913" s="21" t="s">
        <v>4199</v>
      </c>
      <c r="I913" s="12" t="s">
        <v>6275</v>
      </c>
      <c r="J913" s="12" t="s">
        <v>7067</v>
      </c>
      <c r="K913" s="12" t="s">
        <v>4353</v>
      </c>
      <c r="L913" s="12" t="s">
        <v>4354</v>
      </c>
      <c r="M913" s="12" t="s">
        <v>4355</v>
      </c>
    </row>
    <row r="914" spans="1:13" ht="39.6">
      <c r="A914" s="21" t="s">
        <v>4194</v>
      </c>
      <c r="B914" s="21" t="s">
        <v>4197</v>
      </c>
      <c r="C914" s="21" t="s">
        <v>4195</v>
      </c>
      <c r="D914" s="21" t="s">
        <v>71</v>
      </c>
      <c r="E914" s="22" t="s">
        <v>4196</v>
      </c>
      <c r="F914" s="22" t="s">
        <v>4197</v>
      </c>
      <c r="G914" s="21" t="s">
        <v>4198</v>
      </c>
      <c r="H914" s="21" t="s">
        <v>4199</v>
      </c>
      <c r="I914" s="12" t="s">
        <v>6276</v>
      </c>
      <c r="J914" s="12" t="s">
        <v>7068</v>
      </c>
      <c r="K914" s="12" t="s">
        <v>4356</v>
      </c>
      <c r="L914" s="12" t="s">
        <v>4357</v>
      </c>
      <c r="M914" s="12" t="s">
        <v>4358</v>
      </c>
    </row>
    <row r="915" spans="1:13" ht="39.6">
      <c r="A915" s="21" t="s">
        <v>4194</v>
      </c>
      <c r="B915" s="21" t="s">
        <v>4197</v>
      </c>
      <c r="C915" s="21" t="s">
        <v>4195</v>
      </c>
      <c r="D915" s="21" t="s">
        <v>71</v>
      </c>
      <c r="E915" s="22" t="s">
        <v>4196</v>
      </c>
      <c r="F915" s="22" t="s">
        <v>4197</v>
      </c>
      <c r="G915" s="21" t="s">
        <v>4198</v>
      </c>
      <c r="H915" s="21" t="s">
        <v>4199</v>
      </c>
      <c r="I915" s="12" t="s">
        <v>6277</v>
      </c>
      <c r="J915" s="12" t="s">
        <v>7069</v>
      </c>
      <c r="K915" s="12" t="s">
        <v>4359</v>
      </c>
      <c r="L915" s="12" t="s">
        <v>4360</v>
      </c>
      <c r="M915" s="12" t="s">
        <v>4361</v>
      </c>
    </row>
    <row r="916" spans="1:13" ht="52.8">
      <c r="A916" s="21" t="s">
        <v>4194</v>
      </c>
      <c r="B916" s="21" t="s">
        <v>4197</v>
      </c>
      <c r="C916" s="21" t="s">
        <v>4195</v>
      </c>
      <c r="D916" s="21" t="s">
        <v>71</v>
      </c>
      <c r="E916" s="22" t="s">
        <v>4196</v>
      </c>
      <c r="F916" s="22" t="s">
        <v>4197</v>
      </c>
      <c r="G916" s="21" t="s">
        <v>4198</v>
      </c>
      <c r="H916" s="21" t="s">
        <v>4199</v>
      </c>
      <c r="I916" s="12" t="s">
        <v>6278</v>
      </c>
      <c r="J916" s="12" t="s">
        <v>7070</v>
      </c>
      <c r="K916" s="12" t="s">
        <v>4362</v>
      </c>
      <c r="L916" s="12" t="s">
        <v>4363</v>
      </c>
      <c r="M916" s="12" t="s">
        <v>4364</v>
      </c>
    </row>
    <row r="917" spans="1:13" ht="52.8">
      <c r="A917" s="21" t="s">
        <v>4194</v>
      </c>
      <c r="B917" s="21" t="s">
        <v>4197</v>
      </c>
      <c r="C917" s="21" t="s">
        <v>4195</v>
      </c>
      <c r="D917" s="21" t="s">
        <v>71</v>
      </c>
      <c r="E917" s="22" t="s">
        <v>4196</v>
      </c>
      <c r="F917" s="22" t="s">
        <v>4197</v>
      </c>
      <c r="G917" s="21" t="s">
        <v>4198</v>
      </c>
      <c r="H917" s="21" t="s">
        <v>4199</v>
      </c>
      <c r="I917" s="12" t="s">
        <v>6279</v>
      </c>
      <c r="J917" s="12" t="s">
        <v>7071</v>
      </c>
      <c r="K917" s="12" t="s">
        <v>4365</v>
      </c>
      <c r="L917" s="12" t="s">
        <v>4366</v>
      </c>
      <c r="M917" s="12" t="s">
        <v>4367</v>
      </c>
    </row>
    <row r="918" spans="1:13" ht="39.6">
      <c r="A918" s="21" t="s">
        <v>4194</v>
      </c>
      <c r="B918" s="21" t="s">
        <v>4197</v>
      </c>
      <c r="C918" s="21" t="s">
        <v>4195</v>
      </c>
      <c r="D918" s="21" t="s">
        <v>71</v>
      </c>
      <c r="E918" s="22" t="s">
        <v>4196</v>
      </c>
      <c r="F918" s="22" t="s">
        <v>4197</v>
      </c>
      <c r="G918" s="21" t="s">
        <v>4198</v>
      </c>
      <c r="H918" s="21" t="s">
        <v>4199</v>
      </c>
      <c r="I918" s="12" t="s">
        <v>6280</v>
      </c>
      <c r="J918" s="12" t="s">
        <v>7072</v>
      </c>
      <c r="K918" s="12"/>
      <c r="L918" s="12" t="s">
        <v>4368</v>
      </c>
      <c r="M918" s="12" t="s">
        <v>4369</v>
      </c>
    </row>
    <row r="919" spans="1:13" ht="39.6">
      <c r="A919" s="21" t="s">
        <v>4194</v>
      </c>
      <c r="B919" s="21" t="s">
        <v>4197</v>
      </c>
      <c r="C919" s="21" t="s">
        <v>4195</v>
      </c>
      <c r="D919" s="21" t="s">
        <v>71</v>
      </c>
      <c r="E919" s="22" t="s">
        <v>4196</v>
      </c>
      <c r="F919" s="22" t="s">
        <v>4197</v>
      </c>
      <c r="G919" s="21" t="s">
        <v>4198</v>
      </c>
      <c r="H919" s="21" t="s">
        <v>4199</v>
      </c>
      <c r="I919" s="12" t="s">
        <v>6281</v>
      </c>
      <c r="J919" s="12" t="s">
        <v>7073</v>
      </c>
      <c r="K919" s="12"/>
      <c r="L919" s="12" t="s">
        <v>4370</v>
      </c>
      <c r="M919" s="12" t="s">
        <v>4371</v>
      </c>
    </row>
    <row r="920" spans="1:13" ht="39.6">
      <c r="A920" s="21" t="s">
        <v>4194</v>
      </c>
      <c r="B920" s="21" t="s">
        <v>4197</v>
      </c>
      <c r="C920" s="21" t="s">
        <v>4195</v>
      </c>
      <c r="D920" s="21" t="s">
        <v>71</v>
      </c>
      <c r="E920" s="22" t="s">
        <v>4196</v>
      </c>
      <c r="F920" s="22" t="s">
        <v>4197</v>
      </c>
      <c r="G920" s="21" t="s">
        <v>4198</v>
      </c>
      <c r="H920" s="21" t="s">
        <v>4199</v>
      </c>
      <c r="I920" s="12" t="s">
        <v>6282</v>
      </c>
      <c r="J920" s="12" t="s">
        <v>7074</v>
      </c>
      <c r="K920" s="12" t="s">
        <v>4372</v>
      </c>
      <c r="L920" s="12" t="s">
        <v>4373</v>
      </c>
      <c r="M920" s="12" t="s">
        <v>4374</v>
      </c>
    </row>
    <row r="921" spans="1:13" ht="39.6">
      <c r="A921" s="21" t="s">
        <v>4194</v>
      </c>
      <c r="B921" s="21" t="s">
        <v>4197</v>
      </c>
      <c r="C921" s="21" t="s">
        <v>4195</v>
      </c>
      <c r="D921" s="21" t="s">
        <v>71</v>
      </c>
      <c r="E921" s="22" t="s">
        <v>4196</v>
      </c>
      <c r="F921" s="22" t="s">
        <v>4197</v>
      </c>
      <c r="G921" s="21" t="s">
        <v>4198</v>
      </c>
      <c r="H921" s="21" t="s">
        <v>4199</v>
      </c>
      <c r="I921" s="12" t="s">
        <v>6283</v>
      </c>
      <c r="J921" s="12" t="s">
        <v>7075</v>
      </c>
      <c r="K921" s="12"/>
      <c r="L921" s="12" t="s">
        <v>4375</v>
      </c>
      <c r="M921" s="12" t="s">
        <v>4376</v>
      </c>
    </row>
    <row r="922" spans="1:13" ht="39.6">
      <c r="A922" s="21" t="s">
        <v>4194</v>
      </c>
      <c r="B922" s="21" t="s">
        <v>4197</v>
      </c>
      <c r="C922" s="21" t="s">
        <v>4195</v>
      </c>
      <c r="D922" s="21" t="s">
        <v>71</v>
      </c>
      <c r="E922" s="22" t="s">
        <v>4196</v>
      </c>
      <c r="F922" s="22" t="s">
        <v>4197</v>
      </c>
      <c r="G922" s="21" t="s">
        <v>4198</v>
      </c>
      <c r="H922" s="21" t="s">
        <v>4199</v>
      </c>
      <c r="I922" s="12" t="s">
        <v>6284</v>
      </c>
      <c r="J922" s="12" t="s">
        <v>7076</v>
      </c>
      <c r="K922" s="12" t="s">
        <v>4377</v>
      </c>
      <c r="L922" s="12" t="s">
        <v>4378</v>
      </c>
      <c r="M922" s="12" t="s">
        <v>4377</v>
      </c>
    </row>
    <row r="923" spans="1:13" ht="39.6">
      <c r="A923" s="21" t="s">
        <v>4194</v>
      </c>
      <c r="B923" s="21" t="s">
        <v>4197</v>
      </c>
      <c r="C923" s="21" t="s">
        <v>4195</v>
      </c>
      <c r="D923" s="21" t="s">
        <v>71</v>
      </c>
      <c r="E923" s="22" t="s">
        <v>4196</v>
      </c>
      <c r="F923" s="22" t="s">
        <v>4197</v>
      </c>
      <c r="G923" s="21" t="s">
        <v>4198</v>
      </c>
      <c r="H923" s="21" t="s">
        <v>4199</v>
      </c>
      <c r="I923" s="12" t="s">
        <v>6285</v>
      </c>
      <c r="J923" s="12" t="s">
        <v>7077</v>
      </c>
      <c r="K923" s="12" t="s">
        <v>4379</v>
      </c>
      <c r="L923" s="12" t="s">
        <v>4380</v>
      </c>
      <c r="M923" s="12" t="s">
        <v>4381</v>
      </c>
    </row>
    <row r="924" spans="1:13" ht="52.8">
      <c r="A924" s="21" t="s">
        <v>4194</v>
      </c>
      <c r="B924" s="21" t="s">
        <v>4197</v>
      </c>
      <c r="C924" s="21" t="s">
        <v>4195</v>
      </c>
      <c r="D924" s="21" t="s">
        <v>71</v>
      </c>
      <c r="E924" s="22" t="s">
        <v>4196</v>
      </c>
      <c r="F924" s="22" t="s">
        <v>4197</v>
      </c>
      <c r="G924" s="21" t="s">
        <v>4198</v>
      </c>
      <c r="H924" s="21" t="s">
        <v>4199</v>
      </c>
      <c r="I924" s="12" t="s">
        <v>6286</v>
      </c>
      <c r="J924" s="12" t="s">
        <v>7078</v>
      </c>
      <c r="K924" s="12" t="s">
        <v>4382</v>
      </c>
      <c r="L924" s="12" t="s">
        <v>4383</v>
      </c>
      <c r="M924" s="12" t="s">
        <v>4384</v>
      </c>
    </row>
    <row r="925" spans="1:13" ht="39.6">
      <c r="A925" s="21" t="s">
        <v>4194</v>
      </c>
      <c r="B925" s="21" t="s">
        <v>4197</v>
      </c>
      <c r="C925" s="21" t="s">
        <v>4195</v>
      </c>
      <c r="D925" s="21" t="s">
        <v>71</v>
      </c>
      <c r="E925" s="22" t="s">
        <v>4196</v>
      </c>
      <c r="F925" s="22" t="s">
        <v>4197</v>
      </c>
      <c r="G925" s="21" t="s">
        <v>4198</v>
      </c>
      <c r="H925" s="21" t="s">
        <v>4199</v>
      </c>
      <c r="I925" s="12" t="s">
        <v>6287</v>
      </c>
      <c r="J925" s="12" t="s">
        <v>7079</v>
      </c>
      <c r="K925" s="12" t="s">
        <v>4385</v>
      </c>
      <c r="L925" s="12" t="s">
        <v>4386</v>
      </c>
      <c r="M925" s="12" t="s">
        <v>4387</v>
      </c>
    </row>
    <row r="926" spans="1:13" ht="39.6">
      <c r="A926" s="21" t="s">
        <v>4194</v>
      </c>
      <c r="B926" s="21" t="s">
        <v>4197</v>
      </c>
      <c r="C926" s="21" t="s">
        <v>4195</v>
      </c>
      <c r="D926" s="21" t="s">
        <v>71</v>
      </c>
      <c r="E926" s="22" t="s">
        <v>4196</v>
      </c>
      <c r="F926" s="22" t="s">
        <v>4197</v>
      </c>
      <c r="G926" s="21" t="s">
        <v>4198</v>
      </c>
      <c r="H926" s="21" t="s">
        <v>4199</v>
      </c>
      <c r="I926" s="12" t="s">
        <v>6288</v>
      </c>
      <c r="J926" s="12" t="s">
        <v>7080</v>
      </c>
      <c r="K926" s="12" t="s">
        <v>4388</v>
      </c>
      <c r="L926" s="12" t="s">
        <v>4389</v>
      </c>
      <c r="M926" s="12" t="s">
        <v>4390</v>
      </c>
    </row>
    <row r="927" spans="1:13" ht="39.6">
      <c r="A927" s="21" t="s">
        <v>4194</v>
      </c>
      <c r="B927" s="21" t="s">
        <v>4197</v>
      </c>
      <c r="C927" s="21" t="s">
        <v>4195</v>
      </c>
      <c r="D927" s="21" t="s">
        <v>71</v>
      </c>
      <c r="E927" s="22" t="s">
        <v>4196</v>
      </c>
      <c r="F927" s="22" t="s">
        <v>4197</v>
      </c>
      <c r="G927" s="21" t="s">
        <v>4198</v>
      </c>
      <c r="H927" s="21" t="s">
        <v>4199</v>
      </c>
      <c r="I927" s="12" t="s">
        <v>6289</v>
      </c>
      <c r="J927" s="12" t="s">
        <v>7081</v>
      </c>
      <c r="K927" s="12"/>
      <c r="L927" s="12" t="s">
        <v>4391</v>
      </c>
      <c r="M927" s="12" t="s">
        <v>4392</v>
      </c>
    </row>
    <row r="928" spans="1:13" ht="52.8">
      <c r="A928" s="21" t="s">
        <v>4194</v>
      </c>
      <c r="B928" s="21" t="s">
        <v>4197</v>
      </c>
      <c r="C928" s="21" t="s">
        <v>4195</v>
      </c>
      <c r="D928" s="21" t="s">
        <v>71</v>
      </c>
      <c r="E928" s="22" t="s">
        <v>4196</v>
      </c>
      <c r="F928" s="22" t="s">
        <v>4197</v>
      </c>
      <c r="G928" s="21" t="s">
        <v>4198</v>
      </c>
      <c r="H928" s="21" t="s">
        <v>4199</v>
      </c>
      <c r="I928" s="12" t="s">
        <v>6290</v>
      </c>
      <c r="J928" s="12" t="s">
        <v>7082</v>
      </c>
      <c r="K928" s="12" t="s">
        <v>4393</v>
      </c>
      <c r="L928" s="12" t="s">
        <v>4394</v>
      </c>
      <c r="M928" s="12" t="s">
        <v>4395</v>
      </c>
    </row>
    <row r="929" spans="1:13" ht="39.6">
      <c r="A929" s="21" t="s">
        <v>4194</v>
      </c>
      <c r="B929" s="21" t="s">
        <v>4197</v>
      </c>
      <c r="C929" s="21" t="s">
        <v>4195</v>
      </c>
      <c r="D929" s="21" t="s">
        <v>71</v>
      </c>
      <c r="E929" s="22" t="s">
        <v>4196</v>
      </c>
      <c r="F929" s="22" t="s">
        <v>4197</v>
      </c>
      <c r="G929" s="21" t="s">
        <v>4198</v>
      </c>
      <c r="H929" s="21" t="s">
        <v>4199</v>
      </c>
      <c r="I929" s="12" t="s">
        <v>6291</v>
      </c>
      <c r="J929" s="12" t="s">
        <v>7083</v>
      </c>
      <c r="K929" s="12"/>
      <c r="L929" s="12" t="s">
        <v>4396</v>
      </c>
      <c r="M929" s="12" t="s">
        <v>4397</v>
      </c>
    </row>
    <row r="930" spans="1:13" ht="39.6">
      <c r="A930" s="21" t="s">
        <v>4194</v>
      </c>
      <c r="B930" s="21" t="s">
        <v>4197</v>
      </c>
      <c r="C930" s="21" t="s">
        <v>4195</v>
      </c>
      <c r="D930" s="21" t="s">
        <v>71</v>
      </c>
      <c r="E930" s="22" t="s">
        <v>4196</v>
      </c>
      <c r="F930" s="22" t="s">
        <v>4197</v>
      </c>
      <c r="G930" s="21" t="s">
        <v>4198</v>
      </c>
      <c r="H930" s="21" t="s">
        <v>4199</v>
      </c>
      <c r="I930" s="12" t="s">
        <v>6292</v>
      </c>
      <c r="J930" s="12" t="s">
        <v>7084</v>
      </c>
      <c r="K930" s="12" t="s">
        <v>4398</v>
      </c>
      <c r="L930" s="12" t="s">
        <v>4399</v>
      </c>
      <c r="M930" s="12" t="s">
        <v>4400</v>
      </c>
    </row>
    <row r="931" spans="1:13" ht="39.6">
      <c r="A931" s="21" t="s">
        <v>4194</v>
      </c>
      <c r="B931" s="21" t="s">
        <v>4197</v>
      </c>
      <c r="C931" s="21" t="s">
        <v>4195</v>
      </c>
      <c r="D931" s="21" t="s">
        <v>71</v>
      </c>
      <c r="E931" s="22" t="s">
        <v>4196</v>
      </c>
      <c r="F931" s="22" t="s">
        <v>4197</v>
      </c>
      <c r="G931" s="21" t="s">
        <v>4198</v>
      </c>
      <c r="H931" s="21" t="s">
        <v>4199</v>
      </c>
      <c r="I931" s="12" t="s">
        <v>6293</v>
      </c>
      <c r="J931" s="12" t="s">
        <v>7085</v>
      </c>
      <c r="K931" s="12"/>
      <c r="L931" s="12" t="s">
        <v>4401</v>
      </c>
      <c r="M931" s="12" t="s">
        <v>4402</v>
      </c>
    </row>
    <row r="932" spans="1:13" ht="39.6">
      <c r="A932" s="21" t="s">
        <v>4194</v>
      </c>
      <c r="B932" s="21" t="s">
        <v>4197</v>
      </c>
      <c r="C932" s="21" t="s">
        <v>4195</v>
      </c>
      <c r="D932" s="21" t="s">
        <v>71</v>
      </c>
      <c r="E932" s="22" t="s">
        <v>4196</v>
      </c>
      <c r="F932" s="22" t="s">
        <v>4197</v>
      </c>
      <c r="G932" s="21" t="s">
        <v>4198</v>
      </c>
      <c r="H932" s="21" t="s">
        <v>4199</v>
      </c>
      <c r="I932" s="12" t="s">
        <v>6294</v>
      </c>
      <c r="J932" s="12" t="s">
        <v>7086</v>
      </c>
      <c r="K932" s="12" t="s">
        <v>4403</v>
      </c>
      <c r="L932" s="12" t="s">
        <v>4404</v>
      </c>
      <c r="M932" s="12" t="s">
        <v>4405</v>
      </c>
    </row>
    <row r="933" spans="1:13" ht="39.6">
      <c r="A933" s="21" t="s">
        <v>4194</v>
      </c>
      <c r="B933" s="21" t="s">
        <v>4197</v>
      </c>
      <c r="C933" s="21" t="s">
        <v>4195</v>
      </c>
      <c r="D933" s="21" t="s">
        <v>71</v>
      </c>
      <c r="E933" s="22" t="s">
        <v>4196</v>
      </c>
      <c r="F933" s="22" t="s">
        <v>4197</v>
      </c>
      <c r="G933" s="21" t="s">
        <v>4198</v>
      </c>
      <c r="H933" s="21" t="s">
        <v>4199</v>
      </c>
      <c r="I933" s="12" t="s">
        <v>6295</v>
      </c>
      <c r="J933" s="12" t="s">
        <v>7087</v>
      </c>
      <c r="K933" s="12"/>
      <c r="L933" s="12" t="s">
        <v>4406</v>
      </c>
      <c r="M933" s="12" t="s">
        <v>4407</v>
      </c>
    </row>
    <row r="934" spans="1:13" ht="39.6">
      <c r="A934" s="21" t="s">
        <v>4194</v>
      </c>
      <c r="B934" s="21" t="s">
        <v>4197</v>
      </c>
      <c r="C934" s="21" t="s">
        <v>4195</v>
      </c>
      <c r="D934" s="21" t="s">
        <v>71</v>
      </c>
      <c r="E934" s="22" t="s">
        <v>4196</v>
      </c>
      <c r="F934" s="22" t="s">
        <v>4197</v>
      </c>
      <c r="G934" s="21" t="s">
        <v>4198</v>
      </c>
      <c r="H934" s="21" t="s">
        <v>4199</v>
      </c>
      <c r="I934" s="12" t="s">
        <v>6296</v>
      </c>
      <c r="J934" s="12" t="s">
        <v>7088</v>
      </c>
      <c r="K934" s="12" t="s">
        <v>4408</v>
      </c>
      <c r="L934" s="12" t="s">
        <v>4409</v>
      </c>
      <c r="M934" s="12" t="s">
        <v>4410</v>
      </c>
    </row>
    <row r="935" spans="1:13" ht="39.6">
      <c r="A935" s="21" t="s">
        <v>4194</v>
      </c>
      <c r="B935" s="21" t="s">
        <v>4197</v>
      </c>
      <c r="C935" s="21" t="s">
        <v>4195</v>
      </c>
      <c r="D935" s="21" t="s">
        <v>71</v>
      </c>
      <c r="E935" s="22" t="s">
        <v>4196</v>
      </c>
      <c r="F935" s="22" t="s">
        <v>4197</v>
      </c>
      <c r="G935" s="21" t="s">
        <v>4198</v>
      </c>
      <c r="H935" s="21" t="s">
        <v>4199</v>
      </c>
      <c r="I935" s="12" t="s">
        <v>6297</v>
      </c>
      <c r="J935" s="12" t="s">
        <v>7089</v>
      </c>
      <c r="K935" s="12" t="s">
        <v>4411</v>
      </c>
      <c r="L935" s="12" t="s">
        <v>4412</v>
      </c>
      <c r="M935" s="12" t="s">
        <v>4413</v>
      </c>
    </row>
    <row r="936" spans="1:13" ht="66">
      <c r="A936" s="21" t="s">
        <v>4194</v>
      </c>
      <c r="B936" s="21" t="s">
        <v>4197</v>
      </c>
      <c r="C936" s="21" t="s">
        <v>4195</v>
      </c>
      <c r="D936" s="21" t="s">
        <v>71</v>
      </c>
      <c r="E936" s="22" t="s">
        <v>4196</v>
      </c>
      <c r="F936" s="22" t="s">
        <v>4197</v>
      </c>
      <c r="G936" s="21" t="s">
        <v>4198</v>
      </c>
      <c r="H936" s="21" t="s">
        <v>4199</v>
      </c>
      <c r="I936" s="12" t="s">
        <v>6298</v>
      </c>
      <c r="J936" s="12" t="s">
        <v>7090</v>
      </c>
      <c r="K936" s="12" t="s">
        <v>4414</v>
      </c>
      <c r="L936" s="12" t="s">
        <v>4415</v>
      </c>
      <c r="M936" s="12" t="s">
        <v>4416</v>
      </c>
    </row>
    <row r="937" spans="1:13" ht="39.6">
      <c r="A937" s="21" t="s">
        <v>4194</v>
      </c>
      <c r="B937" s="21" t="s">
        <v>4197</v>
      </c>
      <c r="C937" s="21" t="s">
        <v>4195</v>
      </c>
      <c r="D937" s="21" t="s">
        <v>71</v>
      </c>
      <c r="E937" s="22" t="s">
        <v>4196</v>
      </c>
      <c r="F937" s="22" t="s">
        <v>4197</v>
      </c>
      <c r="G937" s="21" t="s">
        <v>4198</v>
      </c>
      <c r="H937" s="21" t="s">
        <v>4199</v>
      </c>
      <c r="I937" s="12" t="s">
        <v>6299</v>
      </c>
      <c r="J937" s="12" t="s">
        <v>7091</v>
      </c>
      <c r="K937" s="12" t="s">
        <v>4417</v>
      </c>
      <c r="L937" s="12" t="s">
        <v>4418</v>
      </c>
      <c r="M937" s="12" t="s">
        <v>4419</v>
      </c>
    </row>
    <row r="938" spans="1:13" ht="52.8">
      <c r="A938" s="21" t="s">
        <v>4194</v>
      </c>
      <c r="B938" s="21" t="s">
        <v>4197</v>
      </c>
      <c r="C938" s="21" t="s">
        <v>4195</v>
      </c>
      <c r="D938" s="21" t="s">
        <v>71</v>
      </c>
      <c r="E938" s="22" t="s">
        <v>4196</v>
      </c>
      <c r="F938" s="22" t="s">
        <v>4197</v>
      </c>
      <c r="G938" s="21" t="s">
        <v>4198</v>
      </c>
      <c r="H938" s="21" t="s">
        <v>4199</v>
      </c>
      <c r="I938" s="12" t="s">
        <v>6300</v>
      </c>
      <c r="J938" s="12" t="s">
        <v>7092</v>
      </c>
      <c r="K938" s="12" t="s">
        <v>4420</v>
      </c>
      <c r="L938" s="12" t="s">
        <v>4421</v>
      </c>
      <c r="M938" s="12" t="s">
        <v>4422</v>
      </c>
    </row>
    <row r="939" spans="1:13" ht="39.6">
      <c r="A939" s="21" t="s">
        <v>4194</v>
      </c>
      <c r="B939" s="21" t="s">
        <v>4197</v>
      </c>
      <c r="C939" s="21" t="s">
        <v>4195</v>
      </c>
      <c r="D939" s="21" t="s">
        <v>71</v>
      </c>
      <c r="E939" s="22" t="s">
        <v>4196</v>
      </c>
      <c r="F939" s="22" t="s">
        <v>4197</v>
      </c>
      <c r="G939" s="21" t="s">
        <v>4198</v>
      </c>
      <c r="H939" s="21" t="s">
        <v>4199</v>
      </c>
      <c r="I939" s="12" t="s">
        <v>6301</v>
      </c>
      <c r="J939" s="12" t="s">
        <v>7093</v>
      </c>
      <c r="K939" s="12" t="s">
        <v>4423</v>
      </c>
      <c r="L939" s="12" t="s">
        <v>4424</v>
      </c>
      <c r="M939" s="12" t="s">
        <v>4425</v>
      </c>
    </row>
    <row r="940" spans="1:13" ht="39.6">
      <c r="A940" s="21" t="s">
        <v>4194</v>
      </c>
      <c r="B940" s="21" t="s">
        <v>4197</v>
      </c>
      <c r="C940" s="21" t="s">
        <v>4195</v>
      </c>
      <c r="D940" s="21" t="s">
        <v>71</v>
      </c>
      <c r="E940" s="22" t="s">
        <v>4196</v>
      </c>
      <c r="F940" s="22" t="s">
        <v>4197</v>
      </c>
      <c r="G940" s="21" t="s">
        <v>4198</v>
      </c>
      <c r="H940" s="21" t="s">
        <v>4199</v>
      </c>
      <c r="I940" s="12" t="s">
        <v>6302</v>
      </c>
      <c r="J940" s="12" t="s">
        <v>7094</v>
      </c>
      <c r="K940" s="12" t="s">
        <v>4426</v>
      </c>
      <c r="L940" s="12" t="s">
        <v>4427</v>
      </c>
      <c r="M940" s="12" t="s">
        <v>4428</v>
      </c>
    </row>
    <row r="941" spans="1:13" ht="52.8">
      <c r="A941" s="21" t="s">
        <v>4194</v>
      </c>
      <c r="B941" s="21" t="s">
        <v>4197</v>
      </c>
      <c r="C941" s="21" t="s">
        <v>4195</v>
      </c>
      <c r="D941" s="21" t="s">
        <v>71</v>
      </c>
      <c r="E941" s="22" t="s">
        <v>4196</v>
      </c>
      <c r="F941" s="22" t="s">
        <v>4197</v>
      </c>
      <c r="G941" s="21" t="s">
        <v>4198</v>
      </c>
      <c r="H941" s="21" t="s">
        <v>4199</v>
      </c>
      <c r="I941" s="12" t="s">
        <v>6303</v>
      </c>
      <c r="J941" s="12" t="s">
        <v>7095</v>
      </c>
      <c r="K941" s="12" t="s">
        <v>4429</v>
      </c>
      <c r="L941" s="12" t="s">
        <v>4430</v>
      </c>
      <c r="M941" s="12" t="s">
        <v>4431</v>
      </c>
    </row>
    <row r="942" spans="1:13" ht="52.8">
      <c r="A942" s="21" t="s">
        <v>4194</v>
      </c>
      <c r="B942" s="21" t="s">
        <v>4197</v>
      </c>
      <c r="C942" s="21" t="s">
        <v>4195</v>
      </c>
      <c r="D942" s="21" t="s">
        <v>71</v>
      </c>
      <c r="E942" s="22" t="s">
        <v>4196</v>
      </c>
      <c r="F942" s="22" t="s">
        <v>4197</v>
      </c>
      <c r="G942" s="21" t="s">
        <v>4198</v>
      </c>
      <c r="H942" s="21" t="s">
        <v>4199</v>
      </c>
      <c r="I942" s="12" t="s">
        <v>6304</v>
      </c>
      <c r="J942" s="12" t="s">
        <v>7096</v>
      </c>
      <c r="K942" s="12" t="s">
        <v>4432</v>
      </c>
      <c r="L942" s="12" t="s">
        <v>4433</v>
      </c>
      <c r="M942" s="12" t="s">
        <v>4434</v>
      </c>
    </row>
    <row r="943" spans="1:13" ht="52.8">
      <c r="A943" s="21" t="s">
        <v>4194</v>
      </c>
      <c r="B943" s="21" t="s">
        <v>4197</v>
      </c>
      <c r="C943" s="21" t="s">
        <v>4195</v>
      </c>
      <c r="D943" s="21" t="s">
        <v>71</v>
      </c>
      <c r="E943" s="22" t="s">
        <v>4196</v>
      </c>
      <c r="F943" s="22" t="s">
        <v>4197</v>
      </c>
      <c r="G943" s="21" t="s">
        <v>4198</v>
      </c>
      <c r="H943" s="21" t="s">
        <v>4199</v>
      </c>
      <c r="I943" s="12" t="s">
        <v>6305</v>
      </c>
      <c r="J943" s="12" t="s">
        <v>7097</v>
      </c>
      <c r="K943" s="12" t="s">
        <v>4435</v>
      </c>
      <c r="L943" s="12" t="s">
        <v>4436</v>
      </c>
      <c r="M943" s="12" t="s">
        <v>4437</v>
      </c>
    </row>
    <row r="944" spans="1:13" ht="39.6">
      <c r="A944" s="21" t="s">
        <v>4194</v>
      </c>
      <c r="B944" s="21" t="s">
        <v>4197</v>
      </c>
      <c r="C944" s="21" t="s">
        <v>4195</v>
      </c>
      <c r="D944" s="21" t="s">
        <v>71</v>
      </c>
      <c r="E944" s="22" t="s">
        <v>4196</v>
      </c>
      <c r="F944" s="22" t="s">
        <v>4197</v>
      </c>
      <c r="G944" s="21" t="s">
        <v>4198</v>
      </c>
      <c r="H944" s="21" t="s">
        <v>4199</v>
      </c>
      <c r="I944" s="12" t="s">
        <v>6306</v>
      </c>
      <c r="J944" s="12" t="s">
        <v>7098</v>
      </c>
      <c r="K944" s="12" t="s">
        <v>4438</v>
      </c>
      <c r="L944" s="12" t="s">
        <v>4439</v>
      </c>
      <c r="M944" s="12" t="s">
        <v>4440</v>
      </c>
    </row>
    <row r="945" spans="1:13" ht="39.6">
      <c r="A945" s="21" t="s">
        <v>4194</v>
      </c>
      <c r="B945" s="21" t="s">
        <v>4197</v>
      </c>
      <c r="C945" s="21" t="s">
        <v>4195</v>
      </c>
      <c r="D945" s="21" t="s">
        <v>71</v>
      </c>
      <c r="E945" s="22" t="s">
        <v>4196</v>
      </c>
      <c r="F945" s="22" t="s">
        <v>4197</v>
      </c>
      <c r="G945" s="21" t="s">
        <v>4198</v>
      </c>
      <c r="H945" s="21" t="s">
        <v>4199</v>
      </c>
      <c r="I945" s="12" t="s">
        <v>6307</v>
      </c>
      <c r="J945" s="12" t="s">
        <v>7099</v>
      </c>
      <c r="K945" s="12" t="s">
        <v>4441</v>
      </c>
      <c r="L945" s="12" t="s">
        <v>4442</v>
      </c>
      <c r="M945" s="12" t="s">
        <v>4443</v>
      </c>
    </row>
    <row r="946" spans="1:13" ht="52.8">
      <c r="A946" s="21" t="s">
        <v>4194</v>
      </c>
      <c r="B946" s="21" t="s">
        <v>4197</v>
      </c>
      <c r="C946" s="21" t="s">
        <v>4195</v>
      </c>
      <c r="D946" s="21" t="s">
        <v>71</v>
      </c>
      <c r="E946" s="22" t="s">
        <v>4196</v>
      </c>
      <c r="F946" s="22" t="s">
        <v>4197</v>
      </c>
      <c r="G946" s="21" t="s">
        <v>4198</v>
      </c>
      <c r="H946" s="21" t="s">
        <v>4199</v>
      </c>
      <c r="I946" s="12" t="s">
        <v>6308</v>
      </c>
      <c r="J946" s="12" t="s">
        <v>7100</v>
      </c>
      <c r="K946" s="12" t="s">
        <v>4444</v>
      </c>
      <c r="L946" s="12" t="s">
        <v>4445</v>
      </c>
      <c r="M946" s="12" t="s">
        <v>4446</v>
      </c>
    </row>
    <row r="947" spans="1:13" ht="52.8">
      <c r="A947" s="21" t="s">
        <v>4194</v>
      </c>
      <c r="B947" s="21" t="s">
        <v>4197</v>
      </c>
      <c r="C947" s="21" t="s">
        <v>4195</v>
      </c>
      <c r="D947" s="21" t="s">
        <v>71</v>
      </c>
      <c r="E947" s="22" t="s">
        <v>4196</v>
      </c>
      <c r="F947" s="22" t="s">
        <v>4197</v>
      </c>
      <c r="G947" s="21" t="s">
        <v>4198</v>
      </c>
      <c r="H947" s="21" t="s">
        <v>4199</v>
      </c>
      <c r="I947" s="12" t="s">
        <v>6309</v>
      </c>
      <c r="J947" s="12" t="s">
        <v>7101</v>
      </c>
      <c r="K947" s="12" t="s">
        <v>4447</v>
      </c>
      <c r="L947" s="12" t="s">
        <v>4448</v>
      </c>
      <c r="M947" s="12" t="s">
        <v>4449</v>
      </c>
    </row>
    <row r="948" spans="1:13" ht="39.6">
      <c r="A948" s="21" t="s">
        <v>4194</v>
      </c>
      <c r="B948" s="21" t="s">
        <v>4197</v>
      </c>
      <c r="C948" s="21" t="s">
        <v>4195</v>
      </c>
      <c r="D948" s="21" t="s">
        <v>71</v>
      </c>
      <c r="E948" s="22" t="s">
        <v>4196</v>
      </c>
      <c r="F948" s="22" t="s">
        <v>4197</v>
      </c>
      <c r="G948" s="21" t="s">
        <v>4198</v>
      </c>
      <c r="H948" s="21" t="s">
        <v>4199</v>
      </c>
      <c r="I948" s="12" t="s">
        <v>6310</v>
      </c>
      <c r="J948" s="12" t="s">
        <v>7102</v>
      </c>
      <c r="K948" s="12" t="s">
        <v>4450</v>
      </c>
      <c r="L948" s="12" t="s">
        <v>4451</v>
      </c>
      <c r="M948" s="12" t="s">
        <v>4450</v>
      </c>
    </row>
    <row r="949" spans="1:13" ht="39.6">
      <c r="A949" s="21" t="s">
        <v>4194</v>
      </c>
      <c r="B949" s="21" t="s">
        <v>4197</v>
      </c>
      <c r="C949" s="21" t="s">
        <v>4195</v>
      </c>
      <c r="D949" s="21" t="s">
        <v>71</v>
      </c>
      <c r="E949" s="22" t="s">
        <v>4196</v>
      </c>
      <c r="F949" s="22" t="s">
        <v>4197</v>
      </c>
      <c r="G949" s="21" t="s">
        <v>4198</v>
      </c>
      <c r="H949" s="21" t="s">
        <v>4199</v>
      </c>
      <c r="I949" s="12" t="s">
        <v>6311</v>
      </c>
      <c r="J949" s="12" t="s">
        <v>7103</v>
      </c>
      <c r="K949" s="12" t="s">
        <v>4452</v>
      </c>
      <c r="L949" s="12" t="s">
        <v>4453</v>
      </c>
      <c r="M949" s="12" t="s">
        <v>4454</v>
      </c>
    </row>
    <row r="950" spans="1:13" ht="52.8">
      <c r="A950" s="21" t="s">
        <v>4194</v>
      </c>
      <c r="B950" s="21" t="s">
        <v>4197</v>
      </c>
      <c r="C950" s="21" t="s">
        <v>4195</v>
      </c>
      <c r="D950" s="21" t="s">
        <v>71</v>
      </c>
      <c r="E950" s="22" t="s">
        <v>4196</v>
      </c>
      <c r="F950" s="22" t="s">
        <v>4197</v>
      </c>
      <c r="G950" s="21" t="s">
        <v>4198</v>
      </c>
      <c r="H950" s="21" t="s">
        <v>4199</v>
      </c>
      <c r="I950" s="12" t="s">
        <v>6312</v>
      </c>
      <c r="J950" s="12" t="s">
        <v>7104</v>
      </c>
      <c r="K950" s="12" t="s">
        <v>4455</v>
      </c>
      <c r="L950" s="12" t="s">
        <v>4456</v>
      </c>
      <c r="M950" s="12" t="s">
        <v>4457</v>
      </c>
    </row>
    <row r="951" spans="1:13" ht="39.6">
      <c r="A951" s="21" t="s">
        <v>4194</v>
      </c>
      <c r="B951" s="21" t="s">
        <v>4197</v>
      </c>
      <c r="C951" s="21" t="s">
        <v>4195</v>
      </c>
      <c r="D951" s="21" t="s">
        <v>71</v>
      </c>
      <c r="E951" s="22" t="s">
        <v>4196</v>
      </c>
      <c r="F951" s="22" t="s">
        <v>4197</v>
      </c>
      <c r="G951" s="21" t="s">
        <v>4198</v>
      </c>
      <c r="H951" s="21" t="s">
        <v>4199</v>
      </c>
      <c r="I951" s="12" t="s">
        <v>6313</v>
      </c>
      <c r="J951" s="12" t="s">
        <v>7105</v>
      </c>
      <c r="K951" s="12" t="s">
        <v>4458</v>
      </c>
      <c r="L951" s="12" t="s">
        <v>4459</v>
      </c>
      <c r="M951" s="12" t="s">
        <v>4460</v>
      </c>
    </row>
    <row r="952" spans="1:13" ht="39.6">
      <c r="A952" s="21" t="s">
        <v>4194</v>
      </c>
      <c r="B952" s="21" t="s">
        <v>4197</v>
      </c>
      <c r="C952" s="21" t="s">
        <v>4195</v>
      </c>
      <c r="D952" s="21" t="s">
        <v>71</v>
      </c>
      <c r="E952" s="22" t="s">
        <v>4196</v>
      </c>
      <c r="F952" s="22" t="s">
        <v>4197</v>
      </c>
      <c r="G952" s="21" t="s">
        <v>4198</v>
      </c>
      <c r="H952" s="21" t="s">
        <v>4199</v>
      </c>
      <c r="I952" s="12" t="s">
        <v>6314</v>
      </c>
      <c r="J952" s="12" t="s">
        <v>7106</v>
      </c>
      <c r="K952" s="12" t="s">
        <v>4461</v>
      </c>
      <c r="L952" s="12" t="s">
        <v>4462</v>
      </c>
      <c r="M952" s="12" t="s">
        <v>4463</v>
      </c>
    </row>
    <row r="953" spans="1:13" ht="39.6">
      <c r="A953" s="21" t="s">
        <v>4194</v>
      </c>
      <c r="B953" s="21" t="s">
        <v>4197</v>
      </c>
      <c r="C953" s="21" t="s">
        <v>4195</v>
      </c>
      <c r="D953" s="21" t="s">
        <v>71</v>
      </c>
      <c r="E953" s="22" t="s">
        <v>4196</v>
      </c>
      <c r="F953" s="22" t="s">
        <v>4197</v>
      </c>
      <c r="G953" s="21" t="s">
        <v>4198</v>
      </c>
      <c r="H953" s="21" t="s">
        <v>4199</v>
      </c>
      <c r="I953" s="12" t="s">
        <v>6315</v>
      </c>
      <c r="J953" s="12" t="s">
        <v>7107</v>
      </c>
      <c r="K953" s="12"/>
      <c r="L953" s="12" t="s">
        <v>4464</v>
      </c>
      <c r="M953" s="12" t="s">
        <v>4465</v>
      </c>
    </row>
    <row r="954" spans="1:13" ht="39.6">
      <c r="A954" s="21" t="s">
        <v>4194</v>
      </c>
      <c r="B954" s="21" t="s">
        <v>4197</v>
      </c>
      <c r="C954" s="21" t="s">
        <v>4195</v>
      </c>
      <c r="D954" s="21" t="s">
        <v>71</v>
      </c>
      <c r="E954" s="22" t="s">
        <v>4196</v>
      </c>
      <c r="F954" s="22" t="s">
        <v>4197</v>
      </c>
      <c r="G954" s="21" t="s">
        <v>4198</v>
      </c>
      <c r="H954" s="21" t="s">
        <v>4199</v>
      </c>
      <c r="I954" s="12" t="s">
        <v>6316</v>
      </c>
      <c r="J954" s="12" t="s">
        <v>7108</v>
      </c>
      <c r="K954" s="12"/>
      <c r="L954" s="12" t="s">
        <v>4466</v>
      </c>
      <c r="M954" s="12" t="s">
        <v>4467</v>
      </c>
    </row>
    <row r="955" spans="1:13" ht="39.6">
      <c r="A955" s="21" t="s">
        <v>4194</v>
      </c>
      <c r="B955" s="21" t="s">
        <v>4197</v>
      </c>
      <c r="C955" s="21" t="s">
        <v>4195</v>
      </c>
      <c r="D955" s="21" t="s">
        <v>71</v>
      </c>
      <c r="E955" s="22" t="s">
        <v>4196</v>
      </c>
      <c r="F955" s="22" t="s">
        <v>4197</v>
      </c>
      <c r="G955" s="21" t="s">
        <v>4198</v>
      </c>
      <c r="H955" s="21" t="s">
        <v>4199</v>
      </c>
      <c r="I955" s="12" t="s">
        <v>6317</v>
      </c>
      <c r="J955" s="12" t="s">
        <v>7109</v>
      </c>
      <c r="K955" s="12" t="s">
        <v>4468</v>
      </c>
      <c r="L955" s="12" t="s">
        <v>4469</v>
      </c>
      <c r="M955" s="12" t="s">
        <v>4470</v>
      </c>
    </row>
    <row r="956" spans="1:13" ht="79.2">
      <c r="A956" s="21" t="s">
        <v>4194</v>
      </c>
      <c r="B956" s="21" t="s">
        <v>4197</v>
      </c>
      <c r="C956" s="21" t="s">
        <v>4195</v>
      </c>
      <c r="D956" s="21" t="s">
        <v>71</v>
      </c>
      <c r="E956" s="22" t="s">
        <v>4196</v>
      </c>
      <c r="F956" s="22" t="s">
        <v>4197</v>
      </c>
      <c r="G956" s="21" t="s">
        <v>4198</v>
      </c>
      <c r="H956" s="21" t="s">
        <v>4199</v>
      </c>
      <c r="I956" s="12" t="s">
        <v>6318</v>
      </c>
      <c r="J956" s="12" t="s">
        <v>7110</v>
      </c>
      <c r="K956" s="12" t="s">
        <v>4471</v>
      </c>
      <c r="L956" s="12" t="s">
        <v>4472</v>
      </c>
      <c r="M956" s="12" t="s">
        <v>4473</v>
      </c>
    </row>
    <row r="957" spans="1:13" ht="39.6">
      <c r="A957" s="21" t="s">
        <v>4194</v>
      </c>
      <c r="B957" s="21" t="s">
        <v>4197</v>
      </c>
      <c r="C957" s="21" t="s">
        <v>4195</v>
      </c>
      <c r="D957" s="21" t="s">
        <v>71</v>
      </c>
      <c r="E957" s="22" t="s">
        <v>4196</v>
      </c>
      <c r="F957" s="22" t="s">
        <v>4197</v>
      </c>
      <c r="G957" s="21" t="s">
        <v>4198</v>
      </c>
      <c r="H957" s="21" t="s">
        <v>4199</v>
      </c>
      <c r="I957" s="12" t="s">
        <v>6319</v>
      </c>
      <c r="J957" s="12" t="s">
        <v>7111</v>
      </c>
      <c r="K957" s="12" t="s">
        <v>4474</v>
      </c>
      <c r="L957" s="12" t="s">
        <v>4475</v>
      </c>
      <c r="M957" s="12" t="s">
        <v>4474</v>
      </c>
    </row>
    <row r="958" spans="1:13" ht="39.6">
      <c r="A958" s="21" t="s">
        <v>4194</v>
      </c>
      <c r="B958" s="21" t="s">
        <v>4197</v>
      </c>
      <c r="C958" s="21" t="s">
        <v>4195</v>
      </c>
      <c r="D958" s="21" t="s">
        <v>71</v>
      </c>
      <c r="E958" s="22" t="s">
        <v>4196</v>
      </c>
      <c r="F958" s="22" t="s">
        <v>4197</v>
      </c>
      <c r="G958" s="21" t="s">
        <v>4198</v>
      </c>
      <c r="H958" s="21" t="s">
        <v>4199</v>
      </c>
      <c r="I958" s="12" t="s">
        <v>6320</v>
      </c>
      <c r="J958" s="12" t="s">
        <v>7112</v>
      </c>
      <c r="K958" s="12" t="s">
        <v>4476</v>
      </c>
      <c r="L958" s="12" t="s">
        <v>4477</v>
      </c>
      <c r="M958" s="12" t="s">
        <v>4476</v>
      </c>
    </row>
    <row r="959" spans="1:13" ht="52.8">
      <c r="A959" s="21" t="s">
        <v>4194</v>
      </c>
      <c r="B959" s="21" t="s">
        <v>4197</v>
      </c>
      <c r="C959" s="21" t="s">
        <v>4195</v>
      </c>
      <c r="D959" s="21" t="s">
        <v>71</v>
      </c>
      <c r="E959" s="22" t="s">
        <v>4196</v>
      </c>
      <c r="F959" s="22" t="s">
        <v>4197</v>
      </c>
      <c r="G959" s="21" t="s">
        <v>4198</v>
      </c>
      <c r="H959" s="21" t="s">
        <v>4199</v>
      </c>
      <c r="I959" s="12" t="s">
        <v>6321</v>
      </c>
      <c r="J959" s="12" t="s">
        <v>7113</v>
      </c>
      <c r="K959" s="12"/>
      <c r="L959" s="12" t="s">
        <v>4478</v>
      </c>
      <c r="M959" s="12" t="s">
        <v>4479</v>
      </c>
    </row>
    <row r="960" spans="1:13" ht="39.6">
      <c r="A960" s="21" t="s">
        <v>4194</v>
      </c>
      <c r="B960" s="21" t="s">
        <v>4197</v>
      </c>
      <c r="C960" s="21" t="s">
        <v>4195</v>
      </c>
      <c r="D960" s="21" t="s">
        <v>71</v>
      </c>
      <c r="E960" s="22" t="s">
        <v>4196</v>
      </c>
      <c r="F960" s="22" t="s">
        <v>4197</v>
      </c>
      <c r="G960" s="21" t="s">
        <v>4198</v>
      </c>
      <c r="H960" s="21" t="s">
        <v>4199</v>
      </c>
      <c r="I960" s="12" t="s">
        <v>6322</v>
      </c>
      <c r="J960" s="12" t="s">
        <v>7114</v>
      </c>
      <c r="K960" s="12" t="s">
        <v>4480</v>
      </c>
      <c r="L960" s="12" t="s">
        <v>4481</v>
      </c>
      <c r="M960" s="12" t="s">
        <v>4482</v>
      </c>
    </row>
    <row r="961" spans="1:13" ht="39.6">
      <c r="A961" s="21" t="s">
        <v>4194</v>
      </c>
      <c r="B961" s="21" t="s">
        <v>4197</v>
      </c>
      <c r="C961" s="21" t="s">
        <v>4195</v>
      </c>
      <c r="D961" s="21" t="s">
        <v>71</v>
      </c>
      <c r="E961" s="22" t="s">
        <v>4196</v>
      </c>
      <c r="F961" s="22" t="s">
        <v>4197</v>
      </c>
      <c r="G961" s="21" t="s">
        <v>4198</v>
      </c>
      <c r="H961" s="21" t="s">
        <v>4199</v>
      </c>
      <c r="I961" s="12" t="s">
        <v>6323</v>
      </c>
      <c r="J961" s="12" t="s">
        <v>7115</v>
      </c>
      <c r="K961" s="12" t="s">
        <v>4483</v>
      </c>
      <c r="L961" s="12" t="s">
        <v>4484</v>
      </c>
      <c r="M961" s="12" t="s">
        <v>4483</v>
      </c>
    </row>
    <row r="962" spans="1:13" ht="39.6">
      <c r="A962" s="21" t="s">
        <v>4194</v>
      </c>
      <c r="B962" s="21" t="s">
        <v>4197</v>
      </c>
      <c r="C962" s="21" t="s">
        <v>4195</v>
      </c>
      <c r="D962" s="21" t="s">
        <v>71</v>
      </c>
      <c r="E962" s="22" t="s">
        <v>4196</v>
      </c>
      <c r="F962" s="22" t="s">
        <v>4197</v>
      </c>
      <c r="G962" s="21" t="s">
        <v>4198</v>
      </c>
      <c r="H962" s="21" t="s">
        <v>4199</v>
      </c>
      <c r="I962" s="12" t="s">
        <v>6324</v>
      </c>
      <c r="J962" s="12" t="s">
        <v>7116</v>
      </c>
      <c r="K962" s="12" t="s">
        <v>4485</v>
      </c>
      <c r="L962" s="12" t="s">
        <v>4486</v>
      </c>
      <c r="M962" s="12" t="s">
        <v>4485</v>
      </c>
    </row>
    <row r="963" spans="1:13" ht="39.6">
      <c r="A963" s="21" t="s">
        <v>4194</v>
      </c>
      <c r="B963" s="21" t="s">
        <v>4197</v>
      </c>
      <c r="C963" s="21" t="s">
        <v>4195</v>
      </c>
      <c r="D963" s="21" t="s">
        <v>71</v>
      </c>
      <c r="E963" s="22" t="s">
        <v>4196</v>
      </c>
      <c r="F963" s="22" t="s">
        <v>4197</v>
      </c>
      <c r="G963" s="21" t="s">
        <v>4198</v>
      </c>
      <c r="H963" s="21" t="s">
        <v>4199</v>
      </c>
      <c r="I963" s="12" t="s">
        <v>6325</v>
      </c>
      <c r="J963" s="12" t="s">
        <v>7117</v>
      </c>
      <c r="K963" s="12" t="s">
        <v>4487</v>
      </c>
      <c r="L963" s="12" t="s">
        <v>4488</v>
      </c>
      <c r="M963" s="12" t="s">
        <v>4487</v>
      </c>
    </row>
    <row r="964" spans="1:13" ht="39.6">
      <c r="A964" s="21" t="s">
        <v>4194</v>
      </c>
      <c r="B964" s="21" t="s">
        <v>4197</v>
      </c>
      <c r="C964" s="21" t="s">
        <v>4195</v>
      </c>
      <c r="D964" s="21" t="s">
        <v>71</v>
      </c>
      <c r="E964" s="22" t="s">
        <v>4196</v>
      </c>
      <c r="F964" s="22" t="s">
        <v>4197</v>
      </c>
      <c r="G964" s="21" t="s">
        <v>4198</v>
      </c>
      <c r="H964" s="21" t="s">
        <v>4199</v>
      </c>
      <c r="I964" s="12" t="s">
        <v>6326</v>
      </c>
      <c r="J964" s="12" t="s">
        <v>7118</v>
      </c>
      <c r="K964" s="12" t="s">
        <v>4489</v>
      </c>
      <c r="L964" s="12" t="s">
        <v>4490</v>
      </c>
      <c r="M964" s="12" t="s">
        <v>4489</v>
      </c>
    </row>
    <row r="965" spans="1:13" ht="132">
      <c r="A965" s="21" t="s">
        <v>4194</v>
      </c>
      <c r="B965" s="21" t="s">
        <v>4197</v>
      </c>
      <c r="C965" s="21" t="s">
        <v>4195</v>
      </c>
      <c r="D965" s="21" t="s">
        <v>71</v>
      </c>
      <c r="E965" s="22" t="s">
        <v>4196</v>
      </c>
      <c r="F965" s="22" t="s">
        <v>4197</v>
      </c>
      <c r="G965" s="21" t="s">
        <v>4198</v>
      </c>
      <c r="H965" s="21" t="s">
        <v>4199</v>
      </c>
      <c r="I965" s="12" t="s">
        <v>6327</v>
      </c>
      <c r="J965" s="12" t="s">
        <v>7119</v>
      </c>
      <c r="K965" s="12" t="s">
        <v>4491</v>
      </c>
      <c r="L965" s="12" t="s">
        <v>4492</v>
      </c>
      <c r="M965" s="12" t="s">
        <v>4491</v>
      </c>
    </row>
    <row r="966" spans="1:13" ht="39.6">
      <c r="A966" s="21" t="s">
        <v>4194</v>
      </c>
      <c r="B966" s="21" t="s">
        <v>4197</v>
      </c>
      <c r="C966" s="21" t="s">
        <v>4195</v>
      </c>
      <c r="D966" s="21" t="s">
        <v>71</v>
      </c>
      <c r="E966" s="22" t="s">
        <v>4196</v>
      </c>
      <c r="F966" s="22" t="s">
        <v>4197</v>
      </c>
      <c r="G966" s="21" t="s">
        <v>4198</v>
      </c>
      <c r="H966" s="21" t="s">
        <v>4199</v>
      </c>
      <c r="I966" s="12" t="s">
        <v>6328</v>
      </c>
      <c r="J966" s="12" t="s">
        <v>7120</v>
      </c>
      <c r="K966" s="12" t="s">
        <v>4493</v>
      </c>
      <c r="L966" s="12" t="s">
        <v>4494</v>
      </c>
      <c r="M966" s="12" t="s">
        <v>4493</v>
      </c>
    </row>
    <row r="967" spans="1:13" ht="39.6">
      <c r="A967" s="21" t="s">
        <v>4194</v>
      </c>
      <c r="B967" s="21" t="s">
        <v>4197</v>
      </c>
      <c r="C967" s="21" t="s">
        <v>4195</v>
      </c>
      <c r="D967" s="21" t="s">
        <v>71</v>
      </c>
      <c r="E967" s="22" t="s">
        <v>4196</v>
      </c>
      <c r="F967" s="22" t="s">
        <v>4197</v>
      </c>
      <c r="G967" s="21" t="s">
        <v>4198</v>
      </c>
      <c r="H967" s="21" t="s">
        <v>4199</v>
      </c>
      <c r="I967" s="12" t="s">
        <v>6329</v>
      </c>
      <c r="J967" s="12" t="s">
        <v>7121</v>
      </c>
      <c r="K967" s="12" t="s">
        <v>4495</v>
      </c>
      <c r="L967" s="12" t="s">
        <v>4496</v>
      </c>
      <c r="M967" s="12" t="s">
        <v>4495</v>
      </c>
    </row>
    <row r="968" spans="1:13" ht="52.8">
      <c r="A968" s="21" t="s">
        <v>4194</v>
      </c>
      <c r="B968" s="21" t="s">
        <v>4197</v>
      </c>
      <c r="C968" s="21" t="s">
        <v>4195</v>
      </c>
      <c r="D968" s="21" t="s">
        <v>71</v>
      </c>
      <c r="E968" s="22" t="s">
        <v>4196</v>
      </c>
      <c r="F968" s="22" t="s">
        <v>4197</v>
      </c>
      <c r="G968" s="21" t="s">
        <v>4198</v>
      </c>
      <c r="H968" s="21" t="s">
        <v>4199</v>
      </c>
      <c r="I968" s="12" t="s">
        <v>6330</v>
      </c>
      <c r="J968" s="12" t="s">
        <v>7122</v>
      </c>
      <c r="K968" s="12"/>
      <c r="L968" s="12" t="s">
        <v>4497</v>
      </c>
      <c r="M968" s="12" t="s">
        <v>4498</v>
      </c>
    </row>
    <row r="969" spans="1:13" ht="79.2">
      <c r="A969" s="21" t="s">
        <v>4194</v>
      </c>
      <c r="B969" s="21" t="s">
        <v>4197</v>
      </c>
      <c r="C969" s="21" t="s">
        <v>4195</v>
      </c>
      <c r="D969" s="21" t="s">
        <v>71</v>
      </c>
      <c r="E969" s="22" t="s">
        <v>4196</v>
      </c>
      <c r="F969" s="22" t="s">
        <v>4197</v>
      </c>
      <c r="G969" s="21" t="s">
        <v>4198</v>
      </c>
      <c r="H969" s="21" t="s">
        <v>4199</v>
      </c>
      <c r="I969" s="12" t="s">
        <v>6331</v>
      </c>
      <c r="J969" s="12" t="s">
        <v>7123</v>
      </c>
      <c r="K969" s="12" t="s">
        <v>4499</v>
      </c>
      <c r="L969" s="12" t="s">
        <v>4500</v>
      </c>
      <c r="M969" s="12" t="s">
        <v>4499</v>
      </c>
    </row>
    <row r="970" spans="1:13" ht="52.8">
      <c r="A970" s="21" t="s">
        <v>4194</v>
      </c>
      <c r="B970" s="21" t="s">
        <v>4197</v>
      </c>
      <c r="C970" s="21" t="s">
        <v>4195</v>
      </c>
      <c r="D970" s="21" t="s">
        <v>71</v>
      </c>
      <c r="E970" s="22" t="s">
        <v>4196</v>
      </c>
      <c r="F970" s="22" t="s">
        <v>4197</v>
      </c>
      <c r="G970" s="21" t="s">
        <v>4198</v>
      </c>
      <c r="H970" s="21" t="s">
        <v>4199</v>
      </c>
      <c r="I970" s="12" t="s">
        <v>6332</v>
      </c>
      <c r="J970" s="12" t="s">
        <v>7124</v>
      </c>
      <c r="K970" s="12" t="s">
        <v>4501</v>
      </c>
      <c r="L970" s="12" t="s">
        <v>4502</v>
      </c>
      <c r="M970" s="12" t="s">
        <v>4501</v>
      </c>
    </row>
    <row r="971" spans="1:13" ht="39.6">
      <c r="A971" s="21" t="s">
        <v>4194</v>
      </c>
      <c r="B971" s="21" t="s">
        <v>4197</v>
      </c>
      <c r="C971" s="21" t="s">
        <v>4195</v>
      </c>
      <c r="D971" s="21" t="s">
        <v>71</v>
      </c>
      <c r="E971" s="22" t="s">
        <v>4196</v>
      </c>
      <c r="F971" s="22" t="s">
        <v>4197</v>
      </c>
      <c r="G971" s="21" t="s">
        <v>4198</v>
      </c>
      <c r="H971" s="21" t="s">
        <v>4199</v>
      </c>
      <c r="I971" s="12" t="s">
        <v>4504</v>
      </c>
      <c r="J971" s="12" t="s">
        <v>7125</v>
      </c>
      <c r="K971" s="12"/>
      <c r="L971" s="12" t="s">
        <v>4503</v>
      </c>
      <c r="M971" s="12" t="s">
        <v>4504</v>
      </c>
    </row>
    <row r="972" spans="1:13" ht="52.8">
      <c r="A972" s="21" t="s">
        <v>4194</v>
      </c>
      <c r="B972" s="21" t="s">
        <v>4197</v>
      </c>
      <c r="C972" s="21" t="s">
        <v>4195</v>
      </c>
      <c r="D972" s="21" t="s">
        <v>71</v>
      </c>
      <c r="E972" s="22" t="s">
        <v>4196</v>
      </c>
      <c r="F972" s="22" t="s">
        <v>4197</v>
      </c>
      <c r="G972" s="21" t="s">
        <v>4198</v>
      </c>
      <c r="H972" s="21" t="s">
        <v>4199</v>
      </c>
      <c r="I972" s="12" t="s">
        <v>6333</v>
      </c>
      <c r="J972" s="12" t="s">
        <v>7126</v>
      </c>
      <c r="K972" s="12" t="s">
        <v>4505</v>
      </c>
      <c r="L972" s="12" t="s">
        <v>4506</v>
      </c>
      <c r="M972" s="12" t="s">
        <v>4507</v>
      </c>
    </row>
    <row r="973" spans="1:13" ht="66">
      <c r="A973" s="21" t="s">
        <v>4194</v>
      </c>
      <c r="B973" s="21" t="s">
        <v>4197</v>
      </c>
      <c r="C973" s="21" t="s">
        <v>4195</v>
      </c>
      <c r="D973" s="21" t="s">
        <v>71</v>
      </c>
      <c r="E973" s="22" t="s">
        <v>4196</v>
      </c>
      <c r="F973" s="22" t="s">
        <v>4197</v>
      </c>
      <c r="G973" s="21" t="s">
        <v>4198</v>
      </c>
      <c r="H973" s="21" t="s">
        <v>4199</v>
      </c>
      <c r="I973" s="12" t="s">
        <v>6334</v>
      </c>
      <c r="J973" s="12" t="s">
        <v>7127</v>
      </c>
      <c r="K973" s="12" t="s">
        <v>4508</v>
      </c>
      <c r="L973" s="12" t="s">
        <v>4509</v>
      </c>
      <c r="M973" s="12" t="s">
        <v>4510</v>
      </c>
    </row>
    <row r="974" spans="1:13" ht="39.6">
      <c r="A974" s="21" t="s">
        <v>4194</v>
      </c>
      <c r="B974" s="21" t="s">
        <v>4197</v>
      </c>
      <c r="C974" s="21" t="s">
        <v>4195</v>
      </c>
      <c r="D974" s="21" t="s">
        <v>71</v>
      </c>
      <c r="E974" s="22" t="s">
        <v>4196</v>
      </c>
      <c r="F974" s="22" t="s">
        <v>4197</v>
      </c>
      <c r="G974" s="21" t="s">
        <v>4198</v>
      </c>
      <c r="H974" s="21" t="s">
        <v>4199</v>
      </c>
      <c r="I974" s="12" t="s">
        <v>6335</v>
      </c>
      <c r="J974" s="12" t="s">
        <v>7128</v>
      </c>
      <c r="K974" s="12" t="s">
        <v>4511</v>
      </c>
      <c r="L974" s="12" t="s">
        <v>4512</v>
      </c>
      <c r="M974" s="12" t="s">
        <v>4513</v>
      </c>
    </row>
    <row r="975" spans="1:13" ht="66">
      <c r="A975" s="21" t="s">
        <v>4194</v>
      </c>
      <c r="B975" s="21" t="s">
        <v>4197</v>
      </c>
      <c r="C975" s="21" t="s">
        <v>4195</v>
      </c>
      <c r="D975" s="21" t="s">
        <v>71</v>
      </c>
      <c r="E975" s="22" t="s">
        <v>4196</v>
      </c>
      <c r="F975" s="22" t="s">
        <v>4197</v>
      </c>
      <c r="G975" s="21" t="s">
        <v>4198</v>
      </c>
      <c r="H975" s="21" t="s">
        <v>4199</v>
      </c>
      <c r="I975" s="12" t="s">
        <v>6336</v>
      </c>
      <c r="J975" s="12" t="s">
        <v>7129</v>
      </c>
      <c r="K975" s="12" t="s">
        <v>4514</v>
      </c>
      <c r="L975" s="12" t="s">
        <v>4515</v>
      </c>
      <c r="M975" s="12" t="s">
        <v>4516</v>
      </c>
    </row>
    <row r="976" spans="1:13" ht="79.2">
      <c r="A976" s="21" t="s">
        <v>4194</v>
      </c>
      <c r="B976" s="21" t="s">
        <v>4197</v>
      </c>
      <c r="C976" s="21" t="s">
        <v>4195</v>
      </c>
      <c r="D976" s="21" t="s">
        <v>71</v>
      </c>
      <c r="E976" s="22" t="s">
        <v>4196</v>
      </c>
      <c r="F976" s="22" t="s">
        <v>4197</v>
      </c>
      <c r="G976" s="21" t="s">
        <v>4198</v>
      </c>
      <c r="H976" s="21" t="s">
        <v>4199</v>
      </c>
      <c r="I976" s="12" t="s">
        <v>6337</v>
      </c>
      <c r="J976" s="12" t="s">
        <v>7130</v>
      </c>
      <c r="K976" s="12" t="s">
        <v>4517</v>
      </c>
      <c r="L976" s="12" t="s">
        <v>4518</v>
      </c>
      <c r="M976" s="12" t="s">
        <v>4519</v>
      </c>
    </row>
    <row r="977" spans="1:13" ht="39.6">
      <c r="A977" s="21" t="s">
        <v>4194</v>
      </c>
      <c r="B977" s="21" t="s">
        <v>4197</v>
      </c>
      <c r="C977" s="21" t="s">
        <v>4195</v>
      </c>
      <c r="D977" s="21" t="s">
        <v>71</v>
      </c>
      <c r="E977" s="22" t="s">
        <v>4196</v>
      </c>
      <c r="F977" s="22" t="s">
        <v>4197</v>
      </c>
      <c r="G977" s="21" t="s">
        <v>4198</v>
      </c>
      <c r="H977" s="21" t="s">
        <v>4199</v>
      </c>
      <c r="I977" s="12" t="s">
        <v>6338</v>
      </c>
      <c r="J977" s="12" t="s">
        <v>7131</v>
      </c>
      <c r="K977" s="12"/>
      <c r="L977" s="12" t="s">
        <v>4520</v>
      </c>
      <c r="M977" s="12" t="s">
        <v>4521</v>
      </c>
    </row>
    <row r="978" spans="1:13" ht="39.6">
      <c r="A978" s="21" t="s">
        <v>4194</v>
      </c>
      <c r="B978" s="21" t="s">
        <v>4197</v>
      </c>
      <c r="C978" s="21" t="s">
        <v>4195</v>
      </c>
      <c r="D978" s="21" t="s">
        <v>71</v>
      </c>
      <c r="E978" s="22" t="s">
        <v>4196</v>
      </c>
      <c r="F978" s="22" t="s">
        <v>4197</v>
      </c>
      <c r="G978" s="21" t="s">
        <v>4198</v>
      </c>
      <c r="H978" s="21" t="s">
        <v>4199</v>
      </c>
      <c r="I978" s="12" t="s">
        <v>6339</v>
      </c>
      <c r="J978" s="12" t="s">
        <v>7132</v>
      </c>
      <c r="K978" s="12"/>
      <c r="L978" s="12" t="s">
        <v>4522</v>
      </c>
      <c r="M978" s="12" t="s">
        <v>4523</v>
      </c>
    </row>
    <row r="979" spans="1:13" ht="92.4">
      <c r="A979" s="21" t="s">
        <v>4194</v>
      </c>
      <c r="B979" s="21" t="s">
        <v>4197</v>
      </c>
      <c r="C979" s="21" t="s">
        <v>4195</v>
      </c>
      <c r="D979" s="21" t="s">
        <v>71</v>
      </c>
      <c r="E979" s="22" t="s">
        <v>4196</v>
      </c>
      <c r="F979" s="22" t="s">
        <v>4197</v>
      </c>
      <c r="G979" s="21" t="s">
        <v>4198</v>
      </c>
      <c r="H979" s="21" t="s">
        <v>4199</v>
      </c>
      <c r="I979" s="12" t="s">
        <v>6340</v>
      </c>
      <c r="J979" s="12" t="s">
        <v>7133</v>
      </c>
      <c r="K979" s="12" t="s">
        <v>4524</v>
      </c>
      <c r="L979" s="12" t="s">
        <v>4525</v>
      </c>
      <c r="M979" s="12" t="s">
        <v>4526</v>
      </c>
    </row>
    <row r="980" spans="1:13" ht="52.8">
      <c r="A980" s="21" t="s">
        <v>4194</v>
      </c>
      <c r="B980" s="21" t="s">
        <v>4197</v>
      </c>
      <c r="C980" s="21" t="s">
        <v>4195</v>
      </c>
      <c r="D980" s="21" t="s">
        <v>71</v>
      </c>
      <c r="E980" s="22" t="s">
        <v>4196</v>
      </c>
      <c r="F980" s="22" t="s">
        <v>4197</v>
      </c>
      <c r="G980" s="21" t="s">
        <v>4198</v>
      </c>
      <c r="H980" s="21" t="s">
        <v>4199</v>
      </c>
      <c r="I980" s="12" t="s">
        <v>6341</v>
      </c>
      <c r="J980" s="12" t="s">
        <v>7134</v>
      </c>
      <c r="K980" s="12" t="s">
        <v>4527</v>
      </c>
      <c r="L980" s="12" t="s">
        <v>4528</v>
      </c>
      <c r="M980" s="12" t="s">
        <v>4527</v>
      </c>
    </row>
    <row r="981" spans="1:13" ht="39.6">
      <c r="A981" s="21" t="s">
        <v>4194</v>
      </c>
      <c r="B981" s="21" t="s">
        <v>4197</v>
      </c>
      <c r="C981" s="21" t="s">
        <v>4195</v>
      </c>
      <c r="D981" s="21" t="s">
        <v>71</v>
      </c>
      <c r="E981" s="22" t="s">
        <v>4196</v>
      </c>
      <c r="F981" s="22" t="s">
        <v>4197</v>
      </c>
      <c r="G981" s="21" t="s">
        <v>4198</v>
      </c>
      <c r="H981" s="21" t="s">
        <v>4199</v>
      </c>
      <c r="I981" s="12" t="s">
        <v>6342</v>
      </c>
      <c r="J981" s="12" t="s">
        <v>7135</v>
      </c>
      <c r="K981" s="12" t="s">
        <v>4529</v>
      </c>
      <c r="L981" s="12" t="s">
        <v>4530</v>
      </c>
      <c r="M981" s="12" t="s">
        <v>4529</v>
      </c>
    </row>
    <row r="982" spans="1:13" ht="39.6">
      <c r="A982" s="21" t="s">
        <v>4194</v>
      </c>
      <c r="B982" s="21" t="s">
        <v>4197</v>
      </c>
      <c r="C982" s="21" t="s">
        <v>4195</v>
      </c>
      <c r="D982" s="21" t="s">
        <v>71</v>
      </c>
      <c r="E982" s="22" t="s">
        <v>4196</v>
      </c>
      <c r="F982" s="22" t="s">
        <v>4197</v>
      </c>
      <c r="G982" s="21" t="s">
        <v>4198</v>
      </c>
      <c r="H982" s="21" t="s">
        <v>4199</v>
      </c>
      <c r="I982" s="12" t="s">
        <v>6343</v>
      </c>
      <c r="J982" s="12" t="s">
        <v>7136</v>
      </c>
      <c r="K982" s="12" t="s">
        <v>4531</v>
      </c>
      <c r="L982" s="12" t="s">
        <v>4532</v>
      </c>
      <c r="M982" s="12" t="s">
        <v>4531</v>
      </c>
    </row>
    <row r="983" spans="1:13" ht="39.6">
      <c r="A983" s="21" t="s">
        <v>4194</v>
      </c>
      <c r="B983" s="21" t="s">
        <v>4197</v>
      </c>
      <c r="C983" s="21" t="s">
        <v>4195</v>
      </c>
      <c r="D983" s="21" t="s">
        <v>71</v>
      </c>
      <c r="E983" s="22" t="s">
        <v>4196</v>
      </c>
      <c r="F983" s="22" t="s">
        <v>4197</v>
      </c>
      <c r="G983" s="21" t="s">
        <v>4198</v>
      </c>
      <c r="H983" s="21" t="s">
        <v>4199</v>
      </c>
      <c r="I983" s="12" t="s">
        <v>6344</v>
      </c>
      <c r="J983" s="12" t="s">
        <v>7137</v>
      </c>
      <c r="K983" s="12" t="s">
        <v>4533</v>
      </c>
      <c r="L983" s="12" t="s">
        <v>4534</v>
      </c>
      <c r="M983" s="12" t="s">
        <v>4533</v>
      </c>
    </row>
    <row r="984" spans="1:13" ht="52.8">
      <c r="A984" s="21" t="s">
        <v>4194</v>
      </c>
      <c r="B984" s="21" t="s">
        <v>4197</v>
      </c>
      <c r="C984" s="21" t="s">
        <v>4195</v>
      </c>
      <c r="D984" s="21" t="s">
        <v>71</v>
      </c>
      <c r="E984" s="22" t="s">
        <v>4196</v>
      </c>
      <c r="F984" s="22" t="s">
        <v>4197</v>
      </c>
      <c r="G984" s="21" t="s">
        <v>4198</v>
      </c>
      <c r="H984" s="21" t="s">
        <v>4199</v>
      </c>
      <c r="I984" s="12" t="s">
        <v>6345</v>
      </c>
      <c r="J984" s="12" t="s">
        <v>7138</v>
      </c>
      <c r="K984" s="12" t="s">
        <v>4535</v>
      </c>
      <c r="L984" s="12" t="s">
        <v>4536</v>
      </c>
      <c r="M984" s="12" t="s">
        <v>4535</v>
      </c>
    </row>
    <row r="985" spans="1:13" ht="39.6">
      <c r="A985" s="21" t="s">
        <v>4194</v>
      </c>
      <c r="B985" s="21" t="s">
        <v>4197</v>
      </c>
      <c r="C985" s="21" t="s">
        <v>4195</v>
      </c>
      <c r="D985" s="21" t="s">
        <v>71</v>
      </c>
      <c r="E985" s="22" t="s">
        <v>4196</v>
      </c>
      <c r="F985" s="22" t="s">
        <v>4197</v>
      </c>
      <c r="G985" s="21" t="s">
        <v>4198</v>
      </c>
      <c r="H985" s="21" t="s">
        <v>4199</v>
      </c>
      <c r="I985" s="12" t="s">
        <v>6346</v>
      </c>
      <c r="J985" s="12" t="s">
        <v>7139</v>
      </c>
      <c r="K985" s="12" t="s">
        <v>4537</v>
      </c>
      <c r="L985" s="12" t="s">
        <v>4538</v>
      </c>
      <c r="M985" s="12" t="s">
        <v>4537</v>
      </c>
    </row>
    <row r="986" spans="1:13" ht="39.6">
      <c r="A986" s="21" t="s">
        <v>4194</v>
      </c>
      <c r="B986" s="21" t="s">
        <v>4197</v>
      </c>
      <c r="C986" s="21" t="s">
        <v>4195</v>
      </c>
      <c r="D986" s="21" t="s">
        <v>71</v>
      </c>
      <c r="E986" s="22" t="s">
        <v>4196</v>
      </c>
      <c r="F986" s="22" t="s">
        <v>4197</v>
      </c>
      <c r="G986" s="21" t="s">
        <v>4198</v>
      </c>
      <c r="H986" s="21" t="s">
        <v>4199</v>
      </c>
      <c r="I986" s="12" t="s">
        <v>6347</v>
      </c>
      <c r="J986" s="12" t="s">
        <v>7140</v>
      </c>
      <c r="K986" s="12" t="s">
        <v>4539</v>
      </c>
      <c r="L986" s="12" t="s">
        <v>4540</v>
      </c>
      <c r="M986" s="12" t="s">
        <v>4541</v>
      </c>
    </row>
    <row r="987" spans="1:13" ht="39.6">
      <c r="A987" s="21" t="s">
        <v>4194</v>
      </c>
      <c r="B987" s="21" t="s">
        <v>4197</v>
      </c>
      <c r="C987" s="21" t="s">
        <v>4195</v>
      </c>
      <c r="D987" s="21" t="s">
        <v>71</v>
      </c>
      <c r="E987" s="22" t="s">
        <v>4196</v>
      </c>
      <c r="F987" s="22" t="s">
        <v>4197</v>
      </c>
      <c r="G987" s="21" t="s">
        <v>4198</v>
      </c>
      <c r="H987" s="21" t="s">
        <v>4199</v>
      </c>
      <c r="I987" s="12" t="s">
        <v>6348</v>
      </c>
      <c r="J987" s="12" t="s">
        <v>7141</v>
      </c>
      <c r="K987" s="12"/>
      <c r="L987" s="12" t="s">
        <v>4542</v>
      </c>
      <c r="M987" s="12" t="s">
        <v>4543</v>
      </c>
    </row>
    <row r="988" spans="1:13" ht="39.6">
      <c r="A988" s="21" t="s">
        <v>4194</v>
      </c>
      <c r="B988" s="21" t="s">
        <v>4197</v>
      </c>
      <c r="C988" s="21" t="s">
        <v>4195</v>
      </c>
      <c r="D988" s="21" t="s">
        <v>71</v>
      </c>
      <c r="E988" s="22" t="s">
        <v>4196</v>
      </c>
      <c r="F988" s="22" t="s">
        <v>4197</v>
      </c>
      <c r="G988" s="21" t="s">
        <v>4198</v>
      </c>
      <c r="H988" s="21" t="s">
        <v>4199</v>
      </c>
      <c r="I988" s="12" t="s">
        <v>6349</v>
      </c>
      <c r="J988" s="12" t="s">
        <v>7142</v>
      </c>
      <c r="K988" s="12" t="s">
        <v>4544</v>
      </c>
      <c r="L988" s="12" t="s">
        <v>4545</v>
      </c>
      <c r="M988" s="12" t="s">
        <v>4546</v>
      </c>
    </row>
    <row r="989" spans="1:13" ht="79.2">
      <c r="A989" s="21" t="s">
        <v>4194</v>
      </c>
      <c r="B989" s="21" t="s">
        <v>4197</v>
      </c>
      <c r="C989" s="21" t="s">
        <v>4195</v>
      </c>
      <c r="D989" s="21" t="s">
        <v>71</v>
      </c>
      <c r="E989" s="22" t="s">
        <v>4196</v>
      </c>
      <c r="F989" s="22" t="s">
        <v>4197</v>
      </c>
      <c r="G989" s="21" t="s">
        <v>4198</v>
      </c>
      <c r="H989" s="21" t="s">
        <v>4199</v>
      </c>
      <c r="I989" s="12" t="s">
        <v>6350</v>
      </c>
      <c r="J989" s="12" t="s">
        <v>7143</v>
      </c>
      <c r="K989" s="12" t="s">
        <v>4547</v>
      </c>
      <c r="L989" s="12" t="s">
        <v>4548</v>
      </c>
      <c r="M989" s="12" t="s">
        <v>4547</v>
      </c>
    </row>
    <row r="990" spans="1:13" ht="39.6">
      <c r="A990" s="21" t="s">
        <v>4194</v>
      </c>
      <c r="B990" s="21" t="s">
        <v>4197</v>
      </c>
      <c r="C990" s="21" t="s">
        <v>4195</v>
      </c>
      <c r="D990" s="21" t="s">
        <v>71</v>
      </c>
      <c r="E990" s="22" t="s">
        <v>4196</v>
      </c>
      <c r="F990" s="22" t="s">
        <v>4197</v>
      </c>
      <c r="G990" s="21" t="s">
        <v>4198</v>
      </c>
      <c r="H990" s="21" t="s">
        <v>4199</v>
      </c>
      <c r="I990" s="12" t="s">
        <v>6351</v>
      </c>
      <c r="J990" s="12" t="s">
        <v>7144</v>
      </c>
      <c r="K990" s="12" t="s">
        <v>4549</v>
      </c>
      <c r="L990" s="12" t="s">
        <v>4550</v>
      </c>
      <c r="M990" s="12" t="s">
        <v>4551</v>
      </c>
    </row>
    <row r="991" spans="1:13" ht="39.6">
      <c r="A991" s="21" t="s">
        <v>4194</v>
      </c>
      <c r="B991" s="21" t="s">
        <v>4197</v>
      </c>
      <c r="C991" s="21" t="s">
        <v>4195</v>
      </c>
      <c r="D991" s="21" t="s">
        <v>71</v>
      </c>
      <c r="E991" s="22" t="s">
        <v>4196</v>
      </c>
      <c r="F991" s="22" t="s">
        <v>4197</v>
      </c>
      <c r="G991" s="21" t="s">
        <v>4198</v>
      </c>
      <c r="H991" s="21" t="s">
        <v>4199</v>
      </c>
      <c r="I991" s="12" t="s">
        <v>6352</v>
      </c>
      <c r="J991" s="12" t="s">
        <v>7145</v>
      </c>
      <c r="K991" s="12" t="s">
        <v>4552</v>
      </c>
      <c r="L991" s="12" t="s">
        <v>4553</v>
      </c>
      <c r="M991" s="12" t="s">
        <v>4552</v>
      </c>
    </row>
    <row r="992" spans="1:13" ht="39.6">
      <c r="A992" s="21" t="s">
        <v>4194</v>
      </c>
      <c r="B992" s="21" t="s">
        <v>4197</v>
      </c>
      <c r="C992" s="21" t="s">
        <v>4195</v>
      </c>
      <c r="D992" s="21" t="s">
        <v>71</v>
      </c>
      <c r="E992" s="22" t="s">
        <v>4196</v>
      </c>
      <c r="F992" s="22" t="s">
        <v>4197</v>
      </c>
      <c r="G992" s="21" t="s">
        <v>4198</v>
      </c>
      <c r="H992" s="21" t="s">
        <v>4199</v>
      </c>
      <c r="I992" s="12" t="s">
        <v>6353</v>
      </c>
      <c r="J992" s="12" t="s">
        <v>7146</v>
      </c>
      <c r="K992" s="12"/>
      <c r="L992" s="12" t="s">
        <v>4554</v>
      </c>
      <c r="M992" s="12" t="s">
        <v>4555</v>
      </c>
    </row>
    <row r="993" spans="1:13" ht="39.6">
      <c r="A993" s="21" t="s">
        <v>4194</v>
      </c>
      <c r="B993" s="21" t="s">
        <v>4197</v>
      </c>
      <c r="C993" s="21" t="s">
        <v>4195</v>
      </c>
      <c r="D993" s="21" t="s">
        <v>71</v>
      </c>
      <c r="E993" s="22" t="s">
        <v>4196</v>
      </c>
      <c r="F993" s="22" t="s">
        <v>4197</v>
      </c>
      <c r="G993" s="21" t="s">
        <v>4198</v>
      </c>
      <c r="H993" s="21" t="s">
        <v>4199</v>
      </c>
      <c r="I993" s="12" t="s">
        <v>6354</v>
      </c>
      <c r="J993" s="12" t="s">
        <v>7147</v>
      </c>
      <c r="K993" s="12" t="s">
        <v>4556</v>
      </c>
      <c r="L993" s="12" t="s">
        <v>4557</v>
      </c>
      <c r="M993" s="12" t="s">
        <v>4556</v>
      </c>
    </row>
    <row r="994" spans="1:13" ht="39.6">
      <c r="A994" s="21" t="s">
        <v>4194</v>
      </c>
      <c r="B994" s="21" t="s">
        <v>4197</v>
      </c>
      <c r="C994" s="21" t="s">
        <v>4195</v>
      </c>
      <c r="D994" s="21" t="s">
        <v>71</v>
      </c>
      <c r="E994" s="22" t="s">
        <v>4196</v>
      </c>
      <c r="F994" s="22" t="s">
        <v>4197</v>
      </c>
      <c r="G994" s="21" t="s">
        <v>4198</v>
      </c>
      <c r="H994" s="21" t="s">
        <v>4199</v>
      </c>
      <c r="I994" s="12" t="s">
        <v>6355</v>
      </c>
      <c r="J994" s="12" t="s">
        <v>7148</v>
      </c>
      <c r="K994" s="12" t="s">
        <v>4558</v>
      </c>
      <c r="L994" s="12" t="s">
        <v>4559</v>
      </c>
      <c r="M994" s="12" t="s">
        <v>4558</v>
      </c>
    </row>
    <row r="995" spans="1:13" ht="39.6">
      <c r="A995" s="21" t="s">
        <v>4194</v>
      </c>
      <c r="B995" s="21" t="s">
        <v>4197</v>
      </c>
      <c r="C995" s="21" t="s">
        <v>4195</v>
      </c>
      <c r="D995" s="21" t="s">
        <v>71</v>
      </c>
      <c r="E995" s="22" t="s">
        <v>4196</v>
      </c>
      <c r="F995" s="22" t="s">
        <v>4197</v>
      </c>
      <c r="G995" s="21" t="s">
        <v>4198</v>
      </c>
      <c r="H995" s="21" t="s">
        <v>4199</v>
      </c>
      <c r="I995" s="12" t="s">
        <v>6356</v>
      </c>
      <c r="J995" s="12" t="s">
        <v>7149</v>
      </c>
      <c r="K995" s="12" t="s">
        <v>4560</v>
      </c>
      <c r="L995" s="12" t="s">
        <v>4561</v>
      </c>
      <c r="M995" s="12" t="s">
        <v>4560</v>
      </c>
    </row>
    <row r="996" spans="1:13" ht="39.6">
      <c r="A996" s="21" t="s">
        <v>4194</v>
      </c>
      <c r="B996" s="21" t="s">
        <v>4197</v>
      </c>
      <c r="C996" s="21" t="s">
        <v>4195</v>
      </c>
      <c r="D996" s="21" t="s">
        <v>71</v>
      </c>
      <c r="E996" s="22" t="s">
        <v>4196</v>
      </c>
      <c r="F996" s="22" t="s">
        <v>4197</v>
      </c>
      <c r="G996" s="21" t="s">
        <v>4198</v>
      </c>
      <c r="H996" s="21" t="s">
        <v>4199</v>
      </c>
      <c r="I996" s="12" t="s">
        <v>6357</v>
      </c>
      <c r="J996" s="12" t="s">
        <v>7150</v>
      </c>
      <c r="K996" s="12" t="s">
        <v>4562</v>
      </c>
      <c r="L996" s="12" t="s">
        <v>4563</v>
      </c>
      <c r="M996" s="12" t="s">
        <v>4562</v>
      </c>
    </row>
    <row r="997" spans="1:13" ht="39.6">
      <c r="A997" s="21" t="s">
        <v>4194</v>
      </c>
      <c r="B997" s="21" t="s">
        <v>4197</v>
      </c>
      <c r="C997" s="21" t="s">
        <v>4195</v>
      </c>
      <c r="D997" s="21" t="s">
        <v>71</v>
      </c>
      <c r="E997" s="22" t="s">
        <v>4196</v>
      </c>
      <c r="F997" s="22" t="s">
        <v>4197</v>
      </c>
      <c r="G997" s="21" t="s">
        <v>4198</v>
      </c>
      <c r="H997" s="21" t="s">
        <v>4199</v>
      </c>
      <c r="I997" s="12" t="s">
        <v>6358</v>
      </c>
      <c r="J997" s="12" t="s">
        <v>7151</v>
      </c>
      <c r="K997" s="12" t="s">
        <v>4564</v>
      </c>
      <c r="L997" s="12" t="s">
        <v>4565</v>
      </c>
      <c r="M997" s="12" t="s">
        <v>4566</v>
      </c>
    </row>
    <row r="998" spans="1:13" ht="52.8">
      <c r="A998" s="21" t="s">
        <v>4194</v>
      </c>
      <c r="B998" s="21" t="s">
        <v>4197</v>
      </c>
      <c r="C998" s="21" t="s">
        <v>4195</v>
      </c>
      <c r="D998" s="21" t="s">
        <v>71</v>
      </c>
      <c r="E998" s="22" t="s">
        <v>4196</v>
      </c>
      <c r="F998" s="22" t="s">
        <v>4197</v>
      </c>
      <c r="G998" s="21" t="s">
        <v>4198</v>
      </c>
      <c r="H998" s="21" t="s">
        <v>4199</v>
      </c>
      <c r="I998" s="12" t="s">
        <v>6359</v>
      </c>
      <c r="J998" s="12" t="s">
        <v>7152</v>
      </c>
      <c r="K998" s="12" t="s">
        <v>4567</v>
      </c>
      <c r="L998" s="12" t="s">
        <v>4568</v>
      </c>
      <c r="M998" s="12" t="s">
        <v>4567</v>
      </c>
    </row>
    <row r="999" spans="1:13" ht="39.6">
      <c r="A999" s="21" t="s">
        <v>4194</v>
      </c>
      <c r="B999" s="21" t="s">
        <v>4197</v>
      </c>
      <c r="C999" s="21" t="s">
        <v>4195</v>
      </c>
      <c r="D999" s="21" t="s">
        <v>71</v>
      </c>
      <c r="E999" s="22" t="s">
        <v>4196</v>
      </c>
      <c r="F999" s="22" t="s">
        <v>4197</v>
      </c>
      <c r="G999" s="21" t="s">
        <v>4198</v>
      </c>
      <c r="H999" s="21" t="s">
        <v>4199</v>
      </c>
      <c r="I999" s="12" t="s">
        <v>6360</v>
      </c>
      <c r="J999" s="12" t="s">
        <v>7153</v>
      </c>
      <c r="K999" s="12" t="s">
        <v>4569</v>
      </c>
      <c r="L999" s="12" t="s">
        <v>4570</v>
      </c>
      <c r="M999" s="12" t="s">
        <v>4569</v>
      </c>
    </row>
    <row r="1000" spans="1:13" ht="39.6">
      <c r="A1000" s="21" t="s">
        <v>4194</v>
      </c>
      <c r="B1000" s="21" t="s">
        <v>4197</v>
      </c>
      <c r="C1000" s="21" t="s">
        <v>4195</v>
      </c>
      <c r="D1000" s="21" t="s">
        <v>71</v>
      </c>
      <c r="E1000" s="22" t="s">
        <v>4196</v>
      </c>
      <c r="F1000" s="22" t="s">
        <v>4197</v>
      </c>
      <c r="G1000" s="21" t="s">
        <v>4198</v>
      </c>
      <c r="H1000" s="21" t="s">
        <v>4199</v>
      </c>
      <c r="I1000" s="12" t="s">
        <v>6361</v>
      </c>
      <c r="J1000" s="12" t="s">
        <v>7154</v>
      </c>
      <c r="K1000" s="12" t="s">
        <v>4571</v>
      </c>
      <c r="L1000" s="12" t="s">
        <v>4572</v>
      </c>
      <c r="M1000" s="12" t="s">
        <v>4571</v>
      </c>
    </row>
    <row r="1001" spans="1:13" ht="39.6">
      <c r="A1001" s="21" t="s">
        <v>4194</v>
      </c>
      <c r="B1001" s="21" t="s">
        <v>4197</v>
      </c>
      <c r="C1001" s="21" t="s">
        <v>4195</v>
      </c>
      <c r="D1001" s="21" t="s">
        <v>71</v>
      </c>
      <c r="E1001" s="22" t="s">
        <v>4196</v>
      </c>
      <c r="F1001" s="22" t="s">
        <v>4197</v>
      </c>
      <c r="G1001" s="21" t="s">
        <v>4198</v>
      </c>
      <c r="H1001" s="21" t="s">
        <v>4199</v>
      </c>
      <c r="I1001" s="12" t="s">
        <v>6362</v>
      </c>
      <c r="J1001" s="12" t="s">
        <v>7155</v>
      </c>
      <c r="K1001" s="12" t="s">
        <v>4573</v>
      </c>
      <c r="L1001" s="12" t="s">
        <v>4574</v>
      </c>
      <c r="M1001" s="12" t="s">
        <v>4573</v>
      </c>
    </row>
    <row r="1002" spans="1:13" ht="52.8">
      <c r="A1002" s="21" t="s">
        <v>4194</v>
      </c>
      <c r="B1002" s="21" t="s">
        <v>4197</v>
      </c>
      <c r="C1002" s="21" t="s">
        <v>4195</v>
      </c>
      <c r="D1002" s="21" t="s">
        <v>71</v>
      </c>
      <c r="E1002" s="22" t="s">
        <v>4196</v>
      </c>
      <c r="F1002" s="22" t="s">
        <v>4197</v>
      </c>
      <c r="G1002" s="21" t="s">
        <v>4198</v>
      </c>
      <c r="H1002" s="21" t="s">
        <v>4199</v>
      </c>
      <c r="I1002" s="12" t="s">
        <v>6363</v>
      </c>
      <c r="J1002" s="12" t="s">
        <v>7156</v>
      </c>
      <c r="K1002" s="12" t="s">
        <v>4575</v>
      </c>
      <c r="L1002" s="12" t="s">
        <v>4576</v>
      </c>
      <c r="M1002" s="12" t="s">
        <v>4577</v>
      </c>
    </row>
    <row r="1003" spans="1:13" ht="52.8">
      <c r="A1003" s="21" t="s">
        <v>4194</v>
      </c>
      <c r="B1003" s="21" t="s">
        <v>4197</v>
      </c>
      <c r="C1003" s="21" t="s">
        <v>4195</v>
      </c>
      <c r="D1003" s="21" t="s">
        <v>71</v>
      </c>
      <c r="E1003" s="22" t="s">
        <v>4196</v>
      </c>
      <c r="F1003" s="22" t="s">
        <v>4197</v>
      </c>
      <c r="G1003" s="21" t="s">
        <v>4198</v>
      </c>
      <c r="H1003" s="21" t="s">
        <v>4199</v>
      </c>
      <c r="I1003" s="12" t="s">
        <v>6364</v>
      </c>
      <c r="J1003" s="12" t="s">
        <v>7157</v>
      </c>
      <c r="K1003" s="12" t="s">
        <v>4578</v>
      </c>
      <c r="L1003" s="12" t="s">
        <v>4579</v>
      </c>
      <c r="M1003" s="12" t="s">
        <v>4580</v>
      </c>
    </row>
    <row r="1004" spans="1:13" ht="105.6">
      <c r="A1004" s="21" t="s">
        <v>4194</v>
      </c>
      <c r="B1004" s="21" t="s">
        <v>4197</v>
      </c>
      <c r="C1004" s="21" t="s">
        <v>4195</v>
      </c>
      <c r="D1004" s="21" t="s">
        <v>71</v>
      </c>
      <c r="E1004" s="22" t="s">
        <v>4196</v>
      </c>
      <c r="F1004" s="22" t="s">
        <v>4197</v>
      </c>
      <c r="G1004" s="21" t="s">
        <v>4198</v>
      </c>
      <c r="H1004" s="21" t="s">
        <v>4199</v>
      </c>
      <c r="I1004" s="12" t="s">
        <v>6365</v>
      </c>
      <c r="J1004" s="12" t="s">
        <v>7158</v>
      </c>
      <c r="K1004" s="12" t="s">
        <v>4581</v>
      </c>
      <c r="L1004" s="12" t="s">
        <v>4582</v>
      </c>
      <c r="M1004" s="12" t="s">
        <v>4583</v>
      </c>
    </row>
    <row r="1005" spans="1:13" ht="79.2">
      <c r="A1005" s="21" t="s">
        <v>4194</v>
      </c>
      <c r="B1005" s="21" t="s">
        <v>4197</v>
      </c>
      <c r="C1005" s="21" t="s">
        <v>4195</v>
      </c>
      <c r="D1005" s="21" t="s">
        <v>71</v>
      </c>
      <c r="E1005" s="22" t="s">
        <v>4196</v>
      </c>
      <c r="F1005" s="22" t="s">
        <v>4197</v>
      </c>
      <c r="G1005" s="21" t="s">
        <v>4198</v>
      </c>
      <c r="H1005" s="21" t="s">
        <v>4199</v>
      </c>
      <c r="I1005" s="12" t="s">
        <v>6366</v>
      </c>
      <c r="J1005" s="12" t="s">
        <v>7159</v>
      </c>
      <c r="K1005" s="12" t="s">
        <v>4584</v>
      </c>
      <c r="L1005" s="12" t="s">
        <v>4585</v>
      </c>
      <c r="M1005" s="12" t="s">
        <v>4586</v>
      </c>
    </row>
    <row r="1006" spans="1:13" ht="39.6">
      <c r="A1006" s="21" t="s">
        <v>4194</v>
      </c>
      <c r="B1006" s="21" t="s">
        <v>4197</v>
      </c>
      <c r="C1006" s="21" t="s">
        <v>4195</v>
      </c>
      <c r="D1006" s="21" t="s">
        <v>71</v>
      </c>
      <c r="E1006" s="22" t="s">
        <v>4196</v>
      </c>
      <c r="F1006" s="22" t="s">
        <v>4197</v>
      </c>
      <c r="G1006" s="21" t="s">
        <v>4198</v>
      </c>
      <c r="H1006" s="21" t="s">
        <v>4199</v>
      </c>
      <c r="I1006" s="12" t="s">
        <v>6367</v>
      </c>
      <c r="J1006" s="12" t="s">
        <v>7160</v>
      </c>
      <c r="K1006" s="12" t="s">
        <v>4587</v>
      </c>
      <c r="L1006" s="12" t="s">
        <v>4588</v>
      </c>
      <c r="M1006" s="12" t="s">
        <v>4589</v>
      </c>
    </row>
    <row r="1007" spans="1:13" ht="39.6">
      <c r="A1007" s="21" t="s">
        <v>4194</v>
      </c>
      <c r="B1007" s="21" t="s">
        <v>4197</v>
      </c>
      <c r="C1007" s="21" t="s">
        <v>4195</v>
      </c>
      <c r="D1007" s="21" t="s">
        <v>71</v>
      </c>
      <c r="E1007" s="22" t="s">
        <v>4196</v>
      </c>
      <c r="F1007" s="22" t="s">
        <v>4197</v>
      </c>
      <c r="G1007" s="21" t="s">
        <v>4198</v>
      </c>
      <c r="H1007" s="21" t="s">
        <v>4199</v>
      </c>
      <c r="I1007" s="12" t="s">
        <v>6368</v>
      </c>
      <c r="J1007" s="12" t="s">
        <v>7161</v>
      </c>
      <c r="K1007" s="12" t="s">
        <v>4590</v>
      </c>
      <c r="L1007" s="12" t="s">
        <v>4591</v>
      </c>
      <c r="M1007" s="12" t="s">
        <v>4590</v>
      </c>
    </row>
    <row r="1008" spans="1:13" ht="39.6">
      <c r="A1008" s="21" t="s">
        <v>4194</v>
      </c>
      <c r="B1008" s="21" t="s">
        <v>4197</v>
      </c>
      <c r="C1008" s="21" t="s">
        <v>4195</v>
      </c>
      <c r="D1008" s="21" t="s">
        <v>71</v>
      </c>
      <c r="E1008" s="22" t="s">
        <v>4196</v>
      </c>
      <c r="F1008" s="22" t="s">
        <v>4197</v>
      </c>
      <c r="G1008" s="21" t="s">
        <v>4198</v>
      </c>
      <c r="H1008" s="21" t="s">
        <v>4199</v>
      </c>
      <c r="I1008" s="12" t="s">
        <v>6369</v>
      </c>
      <c r="J1008" s="12" t="s">
        <v>7162</v>
      </c>
      <c r="K1008" s="12" t="s">
        <v>4592</v>
      </c>
      <c r="L1008" s="12" t="s">
        <v>4593</v>
      </c>
      <c r="M1008" s="12" t="s">
        <v>4592</v>
      </c>
    </row>
    <row r="1009" spans="1:13" ht="39.6">
      <c r="A1009" s="21" t="s">
        <v>4194</v>
      </c>
      <c r="B1009" s="21" t="s">
        <v>4197</v>
      </c>
      <c r="C1009" s="21" t="s">
        <v>4195</v>
      </c>
      <c r="D1009" s="21" t="s">
        <v>71</v>
      </c>
      <c r="E1009" s="22" t="s">
        <v>4196</v>
      </c>
      <c r="F1009" s="22" t="s">
        <v>4197</v>
      </c>
      <c r="G1009" s="21" t="s">
        <v>4198</v>
      </c>
      <c r="H1009" s="21" t="s">
        <v>4199</v>
      </c>
      <c r="I1009" s="12" t="s">
        <v>6370</v>
      </c>
      <c r="J1009" s="12" t="s">
        <v>7163</v>
      </c>
      <c r="K1009" s="12" t="s">
        <v>4594</v>
      </c>
      <c r="L1009" s="12" t="s">
        <v>4595</v>
      </c>
      <c r="M1009" s="12" t="s">
        <v>4594</v>
      </c>
    </row>
    <row r="1010" spans="1:13" ht="105.6">
      <c r="A1010" s="21" t="s">
        <v>4194</v>
      </c>
      <c r="B1010" s="21" t="s">
        <v>4197</v>
      </c>
      <c r="C1010" s="21" t="s">
        <v>4195</v>
      </c>
      <c r="D1010" s="21" t="s">
        <v>71</v>
      </c>
      <c r="E1010" s="22" t="s">
        <v>4196</v>
      </c>
      <c r="F1010" s="22" t="s">
        <v>4197</v>
      </c>
      <c r="G1010" s="21" t="s">
        <v>4198</v>
      </c>
      <c r="H1010" s="21" t="s">
        <v>4199</v>
      </c>
      <c r="I1010" s="12" t="s">
        <v>6371</v>
      </c>
      <c r="J1010" s="12" t="s">
        <v>7164</v>
      </c>
      <c r="K1010" s="12" t="s">
        <v>4596</v>
      </c>
      <c r="L1010" s="12" t="s">
        <v>4597</v>
      </c>
      <c r="M1010" s="12" t="s">
        <v>4596</v>
      </c>
    </row>
    <row r="1011" spans="1:13" ht="39.6">
      <c r="A1011" s="21" t="s">
        <v>4194</v>
      </c>
      <c r="B1011" s="21" t="s">
        <v>4197</v>
      </c>
      <c r="C1011" s="21" t="s">
        <v>4195</v>
      </c>
      <c r="D1011" s="21" t="s">
        <v>71</v>
      </c>
      <c r="E1011" s="22" t="s">
        <v>4196</v>
      </c>
      <c r="F1011" s="22" t="s">
        <v>4197</v>
      </c>
      <c r="G1011" s="21" t="s">
        <v>4198</v>
      </c>
      <c r="H1011" s="21" t="s">
        <v>4199</v>
      </c>
      <c r="I1011" s="12" t="s">
        <v>6372</v>
      </c>
      <c r="J1011" s="12" t="s">
        <v>7165</v>
      </c>
      <c r="K1011" s="12" t="s">
        <v>4598</v>
      </c>
      <c r="L1011" s="12" t="s">
        <v>4599</v>
      </c>
      <c r="M1011" s="12" t="s">
        <v>4598</v>
      </c>
    </row>
    <row r="1012" spans="1:13" ht="52.8">
      <c r="A1012" s="21" t="s">
        <v>4194</v>
      </c>
      <c r="B1012" s="21" t="s">
        <v>4197</v>
      </c>
      <c r="C1012" s="21" t="s">
        <v>4195</v>
      </c>
      <c r="D1012" s="21" t="s">
        <v>71</v>
      </c>
      <c r="E1012" s="22" t="s">
        <v>4196</v>
      </c>
      <c r="F1012" s="22" t="s">
        <v>4197</v>
      </c>
      <c r="G1012" s="21" t="s">
        <v>4198</v>
      </c>
      <c r="H1012" s="21" t="s">
        <v>4199</v>
      </c>
      <c r="I1012" s="12" t="s">
        <v>6373</v>
      </c>
      <c r="J1012" s="12" t="s">
        <v>7166</v>
      </c>
      <c r="K1012" s="12" t="s">
        <v>4600</v>
      </c>
      <c r="L1012" s="12" t="s">
        <v>4601</v>
      </c>
      <c r="M1012" s="12" t="s">
        <v>4602</v>
      </c>
    </row>
    <row r="1013" spans="1:13" ht="39.6">
      <c r="A1013" s="21" t="s">
        <v>4194</v>
      </c>
      <c r="B1013" s="21" t="s">
        <v>4197</v>
      </c>
      <c r="C1013" s="21" t="s">
        <v>4195</v>
      </c>
      <c r="D1013" s="21" t="s">
        <v>71</v>
      </c>
      <c r="E1013" s="22" t="s">
        <v>4196</v>
      </c>
      <c r="F1013" s="22" t="s">
        <v>4197</v>
      </c>
      <c r="G1013" s="21" t="s">
        <v>4198</v>
      </c>
      <c r="H1013" s="21" t="s">
        <v>4199</v>
      </c>
      <c r="I1013" s="12" t="s">
        <v>6374</v>
      </c>
      <c r="J1013" s="12" t="s">
        <v>7167</v>
      </c>
      <c r="K1013" s="12" t="s">
        <v>4603</v>
      </c>
      <c r="L1013" s="12" t="s">
        <v>4604</v>
      </c>
      <c r="M1013" s="12" t="s">
        <v>4603</v>
      </c>
    </row>
    <row r="1014" spans="1:13" ht="39.6">
      <c r="A1014" s="21" t="s">
        <v>4194</v>
      </c>
      <c r="B1014" s="21" t="s">
        <v>4197</v>
      </c>
      <c r="C1014" s="21" t="s">
        <v>4195</v>
      </c>
      <c r="D1014" s="21" t="s">
        <v>71</v>
      </c>
      <c r="E1014" s="22" t="s">
        <v>4196</v>
      </c>
      <c r="F1014" s="22" t="s">
        <v>4197</v>
      </c>
      <c r="G1014" s="21" t="s">
        <v>4198</v>
      </c>
      <c r="H1014" s="21" t="s">
        <v>4199</v>
      </c>
      <c r="I1014" s="12" t="s">
        <v>6375</v>
      </c>
      <c r="J1014" s="12" t="s">
        <v>7168</v>
      </c>
      <c r="K1014" s="12" t="s">
        <v>4605</v>
      </c>
      <c r="L1014" s="12" t="s">
        <v>4606</v>
      </c>
      <c r="M1014" s="12" t="s">
        <v>4605</v>
      </c>
    </row>
    <row r="1015" spans="1:13" ht="39.6">
      <c r="A1015" s="21" t="s">
        <v>4194</v>
      </c>
      <c r="B1015" s="21" t="s">
        <v>4197</v>
      </c>
      <c r="C1015" s="21" t="s">
        <v>4195</v>
      </c>
      <c r="D1015" s="21" t="s">
        <v>71</v>
      </c>
      <c r="E1015" s="22" t="s">
        <v>4196</v>
      </c>
      <c r="F1015" s="22" t="s">
        <v>4197</v>
      </c>
      <c r="G1015" s="21" t="s">
        <v>4198</v>
      </c>
      <c r="H1015" s="21" t="s">
        <v>4199</v>
      </c>
      <c r="I1015" s="12" t="s">
        <v>3459</v>
      </c>
      <c r="J1015" s="12" t="s">
        <v>7169</v>
      </c>
      <c r="K1015" s="12" t="s">
        <v>4607</v>
      </c>
      <c r="L1015" s="12" t="s">
        <v>4608</v>
      </c>
      <c r="M1015" s="12" t="s">
        <v>4607</v>
      </c>
    </row>
    <row r="1016" spans="1:13" ht="39.6">
      <c r="A1016" s="21" t="s">
        <v>4194</v>
      </c>
      <c r="B1016" s="21" t="s">
        <v>4197</v>
      </c>
      <c r="C1016" s="21" t="s">
        <v>4195</v>
      </c>
      <c r="D1016" s="21" t="s">
        <v>71</v>
      </c>
      <c r="E1016" s="22" t="s">
        <v>4196</v>
      </c>
      <c r="F1016" s="22" t="s">
        <v>4197</v>
      </c>
      <c r="G1016" s="21" t="s">
        <v>4198</v>
      </c>
      <c r="H1016" s="21" t="s">
        <v>4199</v>
      </c>
      <c r="I1016" s="12" t="s">
        <v>3460</v>
      </c>
      <c r="J1016" s="12" t="s">
        <v>7170</v>
      </c>
      <c r="K1016" s="12" t="s">
        <v>4609</v>
      </c>
      <c r="L1016" s="12" t="s">
        <v>4610</v>
      </c>
      <c r="M1016" s="12" t="s">
        <v>4611</v>
      </c>
    </row>
    <row r="1017" spans="1:13" ht="39.6">
      <c r="A1017" s="21" t="s">
        <v>4194</v>
      </c>
      <c r="B1017" s="21" t="s">
        <v>4197</v>
      </c>
      <c r="C1017" s="21" t="s">
        <v>4195</v>
      </c>
      <c r="D1017" s="21" t="s">
        <v>71</v>
      </c>
      <c r="E1017" s="22" t="s">
        <v>4196</v>
      </c>
      <c r="F1017" s="22" t="s">
        <v>4197</v>
      </c>
      <c r="G1017" s="21" t="s">
        <v>4198</v>
      </c>
      <c r="H1017" s="21" t="s">
        <v>4199</v>
      </c>
      <c r="I1017" s="12" t="s">
        <v>6376</v>
      </c>
      <c r="J1017" s="12" t="s">
        <v>7171</v>
      </c>
      <c r="K1017" s="12" t="s">
        <v>4612</v>
      </c>
      <c r="L1017" s="12" t="s">
        <v>4613</v>
      </c>
      <c r="M1017" s="12" t="s">
        <v>4612</v>
      </c>
    </row>
    <row r="1018" spans="1:13" ht="39.6">
      <c r="A1018" s="21" t="s">
        <v>4194</v>
      </c>
      <c r="B1018" s="21" t="s">
        <v>4197</v>
      </c>
      <c r="C1018" s="21" t="s">
        <v>4195</v>
      </c>
      <c r="D1018" s="21" t="s">
        <v>71</v>
      </c>
      <c r="E1018" s="22" t="s">
        <v>4196</v>
      </c>
      <c r="F1018" s="22" t="s">
        <v>4197</v>
      </c>
      <c r="G1018" s="21" t="s">
        <v>4198</v>
      </c>
      <c r="H1018" s="21" t="s">
        <v>4199</v>
      </c>
      <c r="I1018" s="12" t="s">
        <v>6377</v>
      </c>
      <c r="J1018" s="12" t="s">
        <v>7172</v>
      </c>
      <c r="K1018" s="12" t="s">
        <v>4614</v>
      </c>
      <c r="L1018" s="12" t="s">
        <v>4615</v>
      </c>
      <c r="M1018" s="12" t="s">
        <v>4614</v>
      </c>
    </row>
    <row r="1019" spans="1:13" ht="39.6">
      <c r="A1019" s="21" t="s">
        <v>4194</v>
      </c>
      <c r="B1019" s="21" t="s">
        <v>4197</v>
      </c>
      <c r="C1019" s="21" t="s">
        <v>4195</v>
      </c>
      <c r="D1019" s="21" t="s">
        <v>71</v>
      </c>
      <c r="E1019" s="22" t="s">
        <v>4196</v>
      </c>
      <c r="F1019" s="22" t="s">
        <v>4197</v>
      </c>
      <c r="G1019" s="21" t="s">
        <v>4198</v>
      </c>
      <c r="H1019" s="21" t="s">
        <v>4199</v>
      </c>
      <c r="I1019" s="12" t="s">
        <v>6378</v>
      </c>
      <c r="J1019" s="12" t="s">
        <v>7173</v>
      </c>
      <c r="K1019" s="12" t="s">
        <v>4616</v>
      </c>
      <c r="L1019" s="12" t="s">
        <v>4617</v>
      </c>
      <c r="M1019" s="12" t="s">
        <v>4616</v>
      </c>
    </row>
    <row r="1020" spans="1:13" ht="66">
      <c r="A1020" s="21" t="s">
        <v>4194</v>
      </c>
      <c r="B1020" s="21" t="s">
        <v>4197</v>
      </c>
      <c r="C1020" s="21" t="s">
        <v>4195</v>
      </c>
      <c r="D1020" s="21" t="s">
        <v>71</v>
      </c>
      <c r="E1020" s="22" t="s">
        <v>4196</v>
      </c>
      <c r="F1020" s="22" t="s">
        <v>4197</v>
      </c>
      <c r="G1020" s="21" t="s">
        <v>4198</v>
      </c>
      <c r="H1020" s="21" t="s">
        <v>4199</v>
      </c>
      <c r="I1020" s="12" t="s">
        <v>6379</v>
      </c>
      <c r="J1020" s="12" t="s">
        <v>7174</v>
      </c>
      <c r="K1020" s="12" t="s">
        <v>4618</v>
      </c>
      <c r="L1020" s="12" t="s">
        <v>4619</v>
      </c>
      <c r="M1020" s="12" t="s">
        <v>4618</v>
      </c>
    </row>
    <row r="1021" spans="1:13" ht="39.6">
      <c r="A1021" s="21" t="s">
        <v>4194</v>
      </c>
      <c r="B1021" s="21" t="s">
        <v>4197</v>
      </c>
      <c r="C1021" s="21" t="s">
        <v>4195</v>
      </c>
      <c r="D1021" s="21" t="s">
        <v>71</v>
      </c>
      <c r="E1021" s="22" t="s">
        <v>4196</v>
      </c>
      <c r="F1021" s="22" t="s">
        <v>4197</v>
      </c>
      <c r="G1021" s="21" t="s">
        <v>4198</v>
      </c>
      <c r="H1021" s="21" t="s">
        <v>4199</v>
      </c>
      <c r="I1021" s="12" t="s">
        <v>6380</v>
      </c>
      <c r="J1021" s="12" t="s">
        <v>7175</v>
      </c>
      <c r="K1021" s="12"/>
      <c r="L1021" s="12" t="s">
        <v>4620</v>
      </c>
      <c r="M1021" s="12" t="s">
        <v>4621</v>
      </c>
    </row>
    <row r="1022" spans="1:13" ht="39.6">
      <c r="A1022" s="21" t="s">
        <v>4194</v>
      </c>
      <c r="B1022" s="21" t="s">
        <v>4197</v>
      </c>
      <c r="C1022" s="21" t="s">
        <v>4195</v>
      </c>
      <c r="D1022" s="21" t="s">
        <v>71</v>
      </c>
      <c r="E1022" s="22" t="s">
        <v>4196</v>
      </c>
      <c r="F1022" s="22" t="s">
        <v>4197</v>
      </c>
      <c r="G1022" s="21" t="s">
        <v>4198</v>
      </c>
      <c r="H1022" s="21" t="s">
        <v>4199</v>
      </c>
      <c r="I1022" s="12" t="s">
        <v>6381</v>
      </c>
      <c r="J1022" s="12" t="s">
        <v>7176</v>
      </c>
      <c r="K1022" s="12"/>
      <c r="L1022" s="12" t="s">
        <v>4622</v>
      </c>
      <c r="M1022" s="12" t="s">
        <v>4623</v>
      </c>
    </row>
    <row r="1023" spans="1:13" ht="52.8">
      <c r="A1023" s="21" t="s">
        <v>4194</v>
      </c>
      <c r="B1023" s="21" t="s">
        <v>4197</v>
      </c>
      <c r="C1023" s="21" t="s">
        <v>4195</v>
      </c>
      <c r="D1023" s="21" t="s">
        <v>71</v>
      </c>
      <c r="E1023" s="22" t="s">
        <v>4196</v>
      </c>
      <c r="F1023" s="22" t="s">
        <v>4197</v>
      </c>
      <c r="G1023" s="21" t="s">
        <v>4198</v>
      </c>
      <c r="H1023" s="21" t="s">
        <v>4199</v>
      </c>
      <c r="I1023" s="12" t="s">
        <v>6382</v>
      </c>
      <c r="J1023" s="12" t="s">
        <v>7177</v>
      </c>
      <c r="K1023" s="12" t="s">
        <v>4624</v>
      </c>
      <c r="L1023" s="12" t="s">
        <v>4625</v>
      </c>
      <c r="M1023" s="12" t="s">
        <v>4624</v>
      </c>
    </row>
    <row r="1024" spans="1:13" ht="52.8">
      <c r="A1024" s="21" t="s">
        <v>4194</v>
      </c>
      <c r="B1024" s="21" t="s">
        <v>4197</v>
      </c>
      <c r="C1024" s="21" t="s">
        <v>4195</v>
      </c>
      <c r="D1024" s="21" t="s">
        <v>71</v>
      </c>
      <c r="E1024" s="22" t="s">
        <v>4196</v>
      </c>
      <c r="F1024" s="22" t="s">
        <v>4197</v>
      </c>
      <c r="G1024" s="21" t="s">
        <v>4198</v>
      </c>
      <c r="H1024" s="21" t="s">
        <v>4199</v>
      </c>
      <c r="I1024" s="12" t="s">
        <v>6383</v>
      </c>
      <c r="J1024" s="12" t="s">
        <v>7178</v>
      </c>
      <c r="K1024" s="12" t="s">
        <v>4626</v>
      </c>
      <c r="L1024" s="12" t="s">
        <v>4627</v>
      </c>
      <c r="M1024" s="12" t="s">
        <v>4626</v>
      </c>
    </row>
    <row r="1025" spans="1:13" ht="39.6">
      <c r="A1025" s="21" t="s">
        <v>4194</v>
      </c>
      <c r="B1025" s="21" t="s">
        <v>4197</v>
      </c>
      <c r="C1025" s="21" t="s">
        <v>4195</v>
      </c>
      <c r="D1025" s="21" t="s">
        <v>71</v>
      </c>
      <c r="E1025" s="22" t="s">
        <v>4196</v>
      </c>
      <c r="F1025" s="22" t="s">
        <v>4197</v>
      </c>
      <c r="G1025" s="21" t="s">
        <v>4198</v>
      </c>
      <c r="H1025" s="21" t="s">
        <v>4199</v>
      </c>
      <c r="I1025" s="12" t="s">
        <v>6384</v>
      </c>
      <c r="J1025" s="12" t="s">
        <v>7179</v>
      </c>
      <c r="K1025" s="12" t="s">
        <v>4628</v>
      </c>
      <c r="L1025" s="12" t="s">
        <v>4629</v>
      </c>
      <c r="M1025" s="12" t="s">
        <v>4628</v>
      </c>
    </row>
    <row r="1026" spans="1:13" ht="39.6">
      <c r="A1026" s="21" t="s">
        <v>4194</v>
      </c>
      <c r="B1026" s="21" t="s">
        <v>4197</v>
      </c>
      <c r="C1026" s="21" t="s">
        <v>4195</v>
      </c>
      <c r="D1026" s="21" t="s">
        <v>71</v>
      </c>
      <c r="E1026" s="22" t="s">
        <v>4196</v>
      </c>
      <c r="F1026" s="22" t="s">
        <v>4197</v>
      </c>
      <c r="G1026" s="21" t="s">
        <v>4198</v>
      </c>
      <c r="H1026" s="21" t="s">
        <v>4199</v>
      </c>
      <c r="I1026" s="12" t="s">
        <v>6385</v>
      </c>
      <c r="J1026" s="12" t="s">
        <v>7180</v>
      </c>
      <c r="K1026" s="12" t="s">
        <v>4630</v>
      </c>
      <c r="L1026" s="12" t="s">
        <v>4631</v>
      </c>
      <c r="M1026" s="12" t="s">
        <v>4630</v>
      </c>
    </row>
    <row r="1027" spans="1:13" ht="39.6">
      <c r="A1027" s="21" t="s">
        <v>4194</v>
      </c>
      <c r="B1027" s="21" t="s">
        <v>4197</v>
      </c>
      <c r="C1027" s="21" t="s">
        <v>4195</v>
      </c>
      <c r="D1027" s="21" t="s">
        <v>71</v>
      </c>
      <c r="E1027" s="22" t="s">
        <v>4196</v>
      </c>
      <c r="F1027" s="22" t="s">
        <v>4197</v>
      </c>
      <c r="G1027" s="21" t="s">
        <v>4198</v>
      </c>
      <c r="H1027" s="21" t="s">
        <v>4199</v>
      </c>
      <c r="I1027" s="12" t="s">
        <v>6386</v>
      </c>
      <c r="J1027" s="12" t="s">
        <v>7181</v>
      </c>
      <c r="K1027" s="12" t="s">
        <v>4632</v>
      </c>
      <c r="L1027" s="12" t="s">
        <v>4633</v>
      </c>
      <c r="M1027" s="12" t="s">
        <v>4632</v>
      </c>
    </row>
    <row r="1028" spans="1:13" ht="39.6">
      <c r="A1028" s="21" t="s">
        <v>4194</v>
      </c>
      <c r="B1028" s="21" t="s">
        <v>4197</v>
      </c>
      <c r="C1028" s="21" t="s">
        <v>4195</v>
      </c>
      <c r="D1028" s="21" t="s">
        <v>71</v>
      </c>
      <c r="E1028" s="22" t="s">
        <v>4196</v>
      </c>
      <c r="F1028" s="22" t="s">
        <v>4197</v>
      </c>
      <c r="G1028" s="21" t="s">
        <v>4198</v>
      </c>
      <c r="H1028" s="21" t="s">
        <v>4199</v>
      </c>
      <c r="I1028" s="12" t="s">
        <v>6387</v>
      </c>
      <c r="J1028" s="12" t="s">
        <v>7182</v>
      </c>
      <c r="K1028" s="12" t="s">
        <v>4634</v>
      </c>
      <c r="L1028" s="12" t="s">
        <v>4635</v>
      </c>
      <c r="M1028" s="12" t="s">
        <v>4634</v>
      </c>
    </row>
    <row r="1029" spans="1:13" ht="79.2">
      <c r="A1029" s="21" t="s">
        <v>4194</v>
      </c>
      <c r="B1029" s="21" t="s">
        <v>4197</v>
      </c>
      <c r="C1029" s="21" t="s">
        <v>4195</v>
      </c>
      <c r="D1029" s="21" t="s">
        <v>71</v>
      </c>
      <c r="E1029" s="22" t="s">
        <v>4196</v>
      </c>
      <c r="F1029" s="22" t="s">
        <v>4197</v>
      </c>
      <c r="G1029" s="21" t="s">
        <v>4198</v>
      </c>
      <c r="H1029" s="21" t="s">
        <v>4199</v>
      </c>
      <c r="I1029" s="12" t="s">
        <v>6388</v>
      </c>
      <c r="J1029" s="12" t="s">
        <v>7183</v>
      </c>
      <c r="K1029" s="12" t="s">
        <v>4636</v>
      </c>
      <c r="L1029" s="12" t="s">
        <v>4637</v>
      </c>
      <c r="M1029" s="12" t="s">
        <v>4638</v>
      </c>
    </row>
    <row r="1030" spans="1:13" ht="66">
      <c r="A1030" s="21" t="s">
        <v>4194</v>
      </c>
      <c r="B1030" s="21" t="s">
        <v>4197</v>
      </c>
      <c r="C1030" s="21" t="s">
        <v>4195</v>
      </c>
      <c r="D1030" s="21" t="s">
        <v>71</v>
      </c>
      <c r="E1030" s="22" t="s">
        <v>4196</v>
      </c>
      <c r="F1030" s="22" t="s">
        <v>4197</v>
      </c>
      <c r="G1030" s="21" t="s">
        <v>4198</v>
      </c>
      <c r="H1030" s="21" t="s">
        <v>4199</v>
      </c>
      <c r="I1030" s="12" t="s">
        <v>6389</v>
      </c>
      <c r="J1030" s="12" t="s">
        <v>7184</v>
      </c>
      <c r="K1030" s="12" t="s">
        <v>4639</v>
      </c>
      <c r="L1030" s="12" t="s">
        <v>4640</v>
      </c>
      <c r="M1030" s="12" t="s">
        <v>4641</v>
      </c>
    </row>
    <row r="1031" spans="1:13" ht="39.6">
      <c r="A1031" s="21" t="s">
        <v>4194</v>
      </c>
      <c r="B1031" s="21" t="s">
        <v>4197</v>
      </c>
      <c r="C1031" s="21" t="s">
        <v>4195</v>
      </c>
      <c r="D1031" s="21" t="s">
        <v>71</v>
      </c>
      <c r="E1031" s="22" t="s">
        <v>4196</v>
      </c>
      <c r="F1031" s="22" t="s">
        <v>4197</v>
      </c>
      <c r="G1031" s="21" t="s">
        <v>4198</v>
      </c>
      <c r="H1031" s="21" t="s">
        <v>4199</v>
      </c>
      <c r="I1031" s="12" t="s">
        <v>6390</v>
      </c>
      <c r="J1031" s="12" t="s">
        <v>7185</v>
      </c>
      <c r="K1031" s="12" t="s">
        <v>4642</v>
      </c>
      <c r="L1031" s="12" t="s">
        <v>4643</v>
      </c>
      <c r="M1031" s="12" t="s">
        <v>4644</v>
      </c>
    </row>
    <row r="1032" spans="1:13" ht="52.8">
      <c r="A1032" s="21" t="s">
        <v>4194</v>
      </c>
      <c r="B1032" s="21" t="s">
        <v>4197</v>
      </c>
      <c r="C1032" s="21" t="s">
        <v>4195</v>
      </c>
      <c r="D1032" s="21" t="s">
        <v>71</v>
      </c>
      <c r="E1032" s="22" t="s">
        <v>4196</v>
      </c>
      <c r="F1032" s="22" t="s">
        <v>4197</v>
      </c>
      <c r="G1032" s="21" t="s">
        <v>4198</v>
      </c>
      <c r="H1032" s="21" t="s">
        <v>4199</v>
      </c>
      <c r="I1032" s="12" t="s">
        <v>6391</v>
      </c>
      <c r="J1032" s="12" t="s">
        <v>7186</v>
      </c>
      <c r="K1032" s="12" t="s">
        <v>4645</v>
      </c>
      <c r="L1032" s="12" t="s">
        <v>4646</v>
      </c>
      <c r="M1032" s="12" t="s">
        <v>4647</v>
      </c>
    </row>
    <row r="1033" spans="1:13" ht="39.6">
      <c r="A1033" s="21" t="s">
        <v>4194</v>
      </c>
      <c r="B1033" s="21" t="s">
        <v>4197</v>
      </c>
      <c r="C1033" s="21" t="s">
        <v>4195</v>
      </c>
      <c r="D1033" s="21" t="s">
        <v>71</v>
      </c>
      <c r="E1033" s="22" t="s">
        <v>4196</v>
      </c>
      <c r="F1033" s="22" t="s">
        <v>4197</v>
      </c>
      <c r="G1033" s="21" t="s">
        <v>4198</v>
      </c>
      <c r="H1033" s="21" t="s">
        <v>4199</v>
      </c>
      <c r="I1033" s="12" t="s">
        <v>6392</v>
      </c>
      <c r="J1033" s="12" t="s">
        <v>7187</v>
      </c>
      <c r="K1033" s="12" t="s">
        <v>4648</v>
      </c>
      <c r="L1033" s="12" t="s">
        <v>4649</v>
      </c>
      <c r="M1033" s="12" t="s">
        <v>4648</v>
      </c>
    </row>
    <row r="1034" spans="1:13" ht="39.6">
      <c r="A1034" s="21" t="s">
        <v>4194</v>
      </c>
      <c r="B1034" s="21" t="s">
        <v>4197</v>
      </c>
      <c r="C1034" s="21" t="s">
        <v>4195</v>
      </c>
      <c r="D1034" s="21" t="s">
        <v>71</v>
      </c>
      <c r="E1034" s="22" t="s">
        <v>4196</v>
      </c>
      <c r="F1034" s="22" t="s">
        <v>4197</v>
      </c>
      <c r="G1034" s="21" t="s">
        <v>4198</v>
      </c>
      <c r="H1034" s="21" t="s">
        <v>4199</v>
      </c>
      <c r="I1034" s="12" t="s">
        <v>6393</v>
      </c>
      <c r="J1034" s="12" t="s">
        <v>7188</v>
      </c>
      <c r="K1034" s="12" t="s">
        <v>4650</v>
      </c>
      <c r="L1034" s="12" t="s">
        <v>4651</v>
      </c>
      <c r="M1034" s="12" t="s">
        <v>4652</v>
      </c>
    </row>
    <row r="1035" spans="1:13" ht="39.6">
      <c r="A1035" s="21" t="s">
        <v>4194</v>
      </c>
      <c r="B1035" s="21" t="s">
        <v>4197</v>
      </c>
      <c r="C1035" s="21" t="s">
        <v>4195</v>
      </c>
      <c r="D1035" s="21" t="s">
        <v>71</v>
      </c>
      <c r="E1035" s="22" t="s">
        <v>4196</v>
      </c>
      <c r="F1035" s="22" t="s">
        <v>4197</v>
      </c>
      <c r="G1035" s="21" t="s">
        <v>4198</v>
      </c>
      <c r="H1035" s="21" t="s">
        <v>4199</v>
      </c>
      <c r="I1035" s="12" t="s">
        <v>6394</v>
      </c>
      <c r="J1035" s="12" t="s">
        <v>7189</v>
      </c>
      <c r="K1035" s="12" t="s">
        <v>4653</v>
      </c>
      <c r="L1035" s="12" t="s">
        <v>4654</v>
      </c>
      <c r="M1035" s="12" t="s">
        <v>4655</v>
      </c>
    </row>
    <row r="1036" spans="1:13" ht="39.6">
      <c r="A1036" s="21" t="s">
        <v>4194</v>
      </c>
      <c r="B1036" s="21" t="s">
        <v>4197</v>
      </c>
      <c r="C1036" s="21" t="s">
        <v>4195</v>
      </c>
      <c r="D1036" s="21" t="s">
        <v>71</v>
      </c>
      <c r="E1036" s="22" t="s">
        <v>4196</v>
      </c>
      <c r="F1036" s="22" t="s">
        <v>4197</v>
      </c>
      <c r="G1036" s="21" t="s">
        <v>4198</v>
      </c>
      <c r="H1036" s="21" t="s">
        <v>4199</v>
      </c>
      <c r="I1036" s="12" t="s">
        <v>6395</v>
      </c>
      <c r="J1036" s="12" t="s">
        <v>7190</v>
      </c>
      <c r="K1036" s="12" t="s">
        <v>4656</v>
      </c>
      <c r="L1036" s="12" t="s">
        <v>4657</v>
      </c>
      <c r="M1036" s="12" t="s">
        <v>4656</v>
      </c>
    </row>
    <row r="1037" spans="1:13" ht="39.6">
      <c r="A1037" s="21" t="s">
        <v>4194</v>
      </c>
      <c r="B1037" s="21" t="s">
        <v>4197</v>
      </c>
      <c r="C1037" s="21" t="s">
        <v>4195</v>
      </c>
      <c r="D1037" s="21" t="s">
        <v>71</v>
      </c>
      <c r="E1037" s="22" t="s">
        <v>4196</v>
      </c>
      <c r="F1037" s="22" t="s">
        <v>4197</v>
      </c>
      <c r="G1037" s="21" t="s">
        <v>4198</v>
      </c>
      <c r="H1037" s="21" t="s">
        <v>4199</v>
      </c>
      <c r="I1037" s="12" t="s">
        <v>3475</v>
      </c>
      <c r="J1037" s="12" t="s">
        <v>7191</v>
      </c>
      <c r="K1037" s="12" t="s">
        <v>4658</v>
      </c>
      <c r="L1037" s="12" t="s">
        <v>4659</v>
      </c>
      <c r="M1037" s="12" t="s">
        <v>4658</v>
      </c>
    </row>
    <row r="1038" spans="1:13" ht="39.6">
      <c r="A1038" s="21" t="s">
        <v>4194</v>
      </c>
      <c r="B1038" s="21" t="s">
        <v>4197</v>
      </c>
      <c r="C1038" s="21" t="s">
        <v>4195</v>
      </c>
      <c r="D1038" s="21" t="s">
        <v>71</v>
      </c>
      <c r="E1038" s="22" t="s">
        <v>4196</v>
      </c>
      <c r="F1038" s="22" t="s">
        <v>4197</v>
      </c>
      <c r="G1038" s="21" t="s">
        <v>4198</v>
      </c>
      <c r="H1038" s="21" t="s">
        <v>4199</v>
      </c>
      <c r="I1038" s="12" t="s">
        <v>6396</v>
      </c>
      <c r="J1038" s="12" t="s">
        <v>7192</v>
      </c>
      <c r="K1038" s="12" t="s">
        <v>4660</v>
      </c>
      <c r="L1038" s="12" t="s">
        <v>4661</v>
      </c>
      <c r="M1038" s="12" t="s">
        <v>4660</v>
      </c>
    </row>
    <row r="1039" spans="1:13" ht="52.8">
      <c r="A1039" s="21" t="s">
        <v>4194</v>
      </c>
      <c r="B1039" s="21" t="s">
        <v>4197</v>
      </c>
      <c r="C1039" s="21" t="s">
        <v>4195</v>
      </c>
      <c r="D1039" s="21" t="s">
        <v>71</v>
      </c>
      <c r="E1039" s="22" t="s">
        <v>4196</v>
      </c>
      <c r="F1039" s="22" t="s">
        <v>4197</v>
      </c>
      <c r="G1039" s="21" t="s">
        <v>4198</v>
      </c>
      <c r="H1039" s="21" t="s">
        <v>4199</v>
      </c>
      <c r="I1039" s="12" t="s">
        <v>6397</v>
      </c>
      <c r="J1039" s="12" t="s">
        <v>7193</v>
      </c>
      <c r="K1039" s="12"/>
      <c r="L1039" s="12" t="s">
        <v>4662</v>
      </c>
      <c r="M1039" s="12" t="s">
        <v>4663</v>
      </c>
    </row>
    <row r="1040" spans="1:13" ht="39.6">
      <c r="A1040" s="21" t="s">
        <v>4194</v>
      </c>
      <c r="B1040" s="21" t="s">
        <v>4197</v>
      </c>
      <c r="C1040" s="21" t="s">
        <v>4195</v>
      </c>
      <c r="D1040" s="21" t="s">
        <v>71</v>
      </c>
      <c r="E1040" s="22" t="s">
        <v>4196</v>
      </c>
      <c r="F1040" s="22" t="s">
        <v>4197</v>
      </c>
      <c r="G1040" s="21" t="s">
        <v>4198</v>
      </c>
      <c r="H1040" s="21" t="s">
        <v>4199</v>
      </c>
      <c r="I1040" s="12" t="s">
        <v>6398</v>
      </c>
      <c r="J1040" s="12" t="s">
        <v>7194</v>
      </c>
      <c r="K1040" s="12" t="s">
        <v>4664</v>
      </c>
      <c r="L1040" s="12" t="s">
        <v>4665</v>
      </c>
      <c r="M1040" s="12" t="s">
        <v>4664</v>
      </c>
    </row>
    <row r="1041" spans="1:13" ht="39.6">
      <c r="A1041" s="21" t="s">
        <v>4194</v>
      </c>
      <c r="B1041" s="21" t="s">
        <v>4197</v>
      </c>
      <c r="C1041" s="21" t="s">
        <v>4195</v>
      </c>
      <c r="D1041" s="21" t="s">
        <v>71</v>
      </c>
      <c r="E1041" s="22" t="s">
        <v>4196</v>
      </c>
      <c r="F1041" s="22" t="s">
        <v>4197</v>
      </c>
      <c r="G1041" s="21" t="s">
        <v>4198</v>
      </c>
      <c r="H1041" s="21" t="s">
        <v>4199</v>
      </c>
      <c r="I1041" s="12" t="s">
        <v>6399</v>
      </c>
      <c r="J1041" s="12" t="s">
        <v>7195</v>
      </c>
      <c r="K1041" s="12" t="s">
        <v>4666</v>
      </c>
      <c r="L1041" s="12" t="s">
        <v>4667</v>
      </c>
      <c r="M1041" s="12" t="s">
        <v>4668</v>
      </c>
    </row>
    <row r="1042" spans="1:13" ht="39.6">
      <c r="A1042" s="21" t="s">
        <v>4194</v>
      </c>
      <c r="B1042" s="21" t="s">
        <v>4197</v>
      </c>
      <c r="C1042" s="21" t="s">
        <v>4195</v>
      </c>
      <c r="D1042" s="21" t="s">
        <v>71</v>
      </c>
      <c r="E1042" s="22" t="s">
        <v>4196</v>
      </c>
      <c r="F1042" s="22" t="s">
        <v>4197</v>
      </c>
      <c r="G1042" s="21" t="s">
        <v>4198</v>
      </c>
      <c r="H1042" s="21" t="s">
        <v>4199</v>
      </c>
      <c r="I1042" s="12" t="s">
        <v>6400</v>
      </c>
      <c r="J1042" s="12" t="s">
        <v>7196</v>
      </c>
      <c r="K1042" s="12" t="s">
        <v>4669</v>
      </c>
      <c r="L1042" s="12" t="s">
        <v>4670</v>
      </c>
      <c r="M1042" s="12" t="s">
        <v>4671</v>
      </c>
    </row>
    <row r="1043" spans="1:13" ht="39.6">
      <c r="A1043" s="21" t="s">
        <v>4194</v>
      </c>
      <c r="B1043" s="21" t="s">
        <v>4197</v>
      </c>
      <c r="C1043" s="21" t="s">
        <v>4195</v>
      </c>
      <c r="D1043" s="21" t="s">
        <v>71</v>
      </c>
      <c r="E1043" s="22" t="s">
        <v>4196</v>
      </c>
      <c r="F1043" s="22" t="s">
        <v>4197</v>
      </c>
      <c r="G1043" s="21" t="s">
        <v>4198</v>
      </c>
      <c r="H1043" s="21" t="s">
        <v>4199</v>
      </c>
      <c r="I1043" s="12" t="s">
        <v>6401</v>
      </c>
      <c r="J1043" s="12" t="s">
        <v>7197</v>
      </c>
      <c r="K1043" s="12" t="s">
        <v>4672</v>
      </c>
      <c r="L1043" s="12" t="s">
        <v>4673</v>
      </c>
      <c r="M1043" s="12" t="s">
        <v>4672</v>
      </c>
    </row>
    <row r="1044" spans="1:13" ht="52.8">
      <c r="A1044" s="21" t="s">
        <v>4194</v>
      </c>
      <c r="B1044" s="21" t="s">
        <v>4197</v>
      </c>
      <c r="C1044" s="21" t="s">
        <v>4195</v>
      </c>
      <c r="D1044" s="21" t="s">
        <v>71</v>
      </c>
      <c r="E1044" s="22" t="s">
        <v>4196</v>
      </c>
      <c r="F1044" s="22" t="s">
        <v>4197</v>
      </c>
      <c r="G1044" s="21" t="s">
        <v>4198</v>
      </c>
      <c r="H1044" s="21" t="s">
        <v>4199</v>
      </c>
      <c r="I1044" s="12" t="s">
        <v>6402</v>
      </c>
      <c r="J1044" s="12" t="s">
        <v>7198</v>
      </c>
      <c r="K1044" s="12"/>
      <c r="L1044" s="12" t="s">
        <v>4674</v>
      </c>
      <c r="M1044" s="12" t="s">
        <v>4675</v>
      </c>
    </row>
    <row r="1045" spans="1:13" ht="52.8">
      <c r="A1045" s="21" t="s">
        <v>4194</v>
      </c>
      <c r="B1045" s="21" t="s">
        <v>4197</v>
      </c>
      <c r="C1045" s="21" t="s">
        <v>4195</v>
      </c>
      <c r="D1045" s="21" t="s">
        <v>71</v>
      </c>
      <c r="E1045" s="22" t="s">
        <v>4196</v>
      </c>
      <c r="F1045" s="22" t="s">
        <v>4197</v>
      </c>
      <c r="G1045" s="21" t="s">
        <v>4198</v>
      </c>
      <c r="H1045" s="21" t="s">
        <v>4199</v>
      </c>
      <c r="I1045" s="12" t="s">
        <v>6403</v>
      </c>
      <c r="J1045" s="12" t="s">
        <v>7199</v>
      </c>
      <c r="K1045" s="12"/>
      <c r="L1045" s="12" t="s">
        <v>4676</v>
      </c>
      <c r="M1045" s="12" t="s">
        <v>4677</v>
      </c>
    </row>
    <row r="1046" spans="1:13" ht="39.6">
      <c r="A1046" s="21" t="s">
        <v>4194</v>
      </c>
      <c r="B1046" s="21" t="s">
        <v>4197</v>
      </c>
      <c r="C1046" s="21" t="s">
        <v>4195</v>
      </c>
      <c r="D1046" s="21" t="s">
        <v>71</v>
      </c>
      <c r="E1046" s="22" t="s">
        <v>4196</v>
      </c>
      <c r="F1046" s="22" t="s">
        <v>4197</v>
      </c>
      <c r="G1046" s="21" t="s">
        <v>4198</v>
      </c>
      <c r="H1046" s="21" t="s">
        <v>4199</v>
      </c>
      <c r="I1046" s="12" t="s">
        <v>6404</v>
      </c>
      <c r="J1046" s="12" t="s">
        <v>7200</v>
      </c>
      <c r="K1046" s="12"/>
      <c r="L1046" s="12" t="s">
        <v>4678</v>
      </c>
      <c r="M1046" s="12" t="s">
        <v>4679</v>
      </c>
    </row>
    <row r="1047" spans="1:13" ht="39.6">
      <c r="A1047" s="21" t="s">
        <v>4194</v>
      </c>
      <c r="B1047" s="21" t="s">
        <v>4197</v>
      </c>
      <c r="C1047" s="21" t="s">
        <v>4195</v>
      </c>
      <c r="D1047" s="21" t="s">
        <v>71</v>
      </c>
      <c r="E1047" s="22" t="s">
        <v>4196</v>
      </c>
      <c r="F1047" s="22" t="s">
        <v>4197</v>
      </c>
      <c r="G1047" s="21" t="s">
        <v>4198</v>
      </c>
      <c r="H1047" s="21" t="s">
        <v>4199</v>
      </c>
      <c r="I1047" s="12" t="s">
        <v>6405</v>
      </c>
      <c r="J1047" s="12" t="s">
        <v>7201</v>
      </c>
      <c r="K1047" s="12" t="s">
        <v>4680</v>
      </c>
      <c r="L1047" s="12" t="s">
        <v>4681</v>
      </c>
      <c r="M1047" s="12" t="s">
        <v>4682</v>
      </c>
    </row>
    <row r="1048" spans="1:13" ht="39.6">
      <c r="A1048" s="21" t="s">
        <v>4194</v>
      </c>
      <c r="B1048" s="21" t="s">
        <v>4197</v>
      </c>
      <c r="C1048" s="21" t="s">
        <v>4195</v>
      </c>
      <c r="D1048" s="21" t="s">
        <v>71</v>
      </c>
      <c r="E1048" s="22" t="s">
        <v>4196</v>
      </c>
      <c r="F1048" s="22" t="s">
        <v>4197</v>
      </c>
      <c r="G1048" s="21" t="s">
        <v>4198</v>
      </c>
      <c r="H1048" s="21" t="s">
        <v>4199</v>
      </c>
      <c r="I1048" s="12" t="s">
        <v>6406</v>
      </c>
      <c r="J1048" s="12" t="s">
        <v>7202</v>
      </c>
      <c r="K1048" s="12" t="s">
        <v>4683</v>
      </c>
      <c r="L1048" s="12" t="s">
        <v>4684</v>
      </c>
      <c r="M1048" s="12" t="s">
        <v>4683</v>
      </c>
    </row>
    <row r="1049" spans="1:13" ht="39.6">
      <c r="A1049" s="21" t="s">
        <v>4194</v>
      </c>
      <c r="B1049" s="21" t="s">
        <v>4197</v>
      </c>
      <c r="C1049" s="21" t="s">
        <v>4195</v>
      </c>
      <c r="D1049" s="21" t="s">
        <v>71</v>
      </c>
      <c r="E1049" s="22" t="s">
        <v>4196</v>
      </c>
      <c r="F1049" s="22" t="s">
        <v>4197</v>
      </c>
      <c r="G1049" s="21" t="s">
        <v>4198</v>
      </c>
      <c r="H1049" s="21" t="s">
        <v>4199</v>
      </c>
      <c r="I1049" s="12" t="s">
        <v>6407</v>
      </c>
      <c r="J1049" s="12" t="s">
        <v>7203</v>
      </c>
      <c r="K1049" s="12" t="s">
        <v>4685</v>
      </c>
      <c r="L1049" s="12" t="s">
        <v>4686</v>
      </c>
      <c r="M1049" s="12" t="s">
        <v>4687</v>
      </c>
    </row>
    <row r="1050" spans="1:13" ht="39.6">
      <c r="A1050" s="21" t="s">
        <v>4194</v>
      </c>
      <c r="B1050" s="21" t="s">
        <v>4197</v>
      </c>
      <c r="C1050" s="21" t="s">
        <v>4195</v>
      </c>
      <c r="D1050" s="21" t="s">
        <v>71</v>
      </c>
      <c r="E1050" s="22" t="s">
        <v>4196</v>
      </c>
      <c r="F1050" s="22" t="s">
        <v>4197</v>
      </c>
      <c r="G1050" s="21" t="s">
        <v>4198</v>
      </c>
      <c r="H1050" s="21" t="s">
        <v>4199</v>
      </c>
      <c r="I1050" s="12" t="s">
        <v>6408</v>
      </c>
      <c r="J1050" s="12" t="s">
        <v>7204</v>
      </c>
      <c r="K1050" s="12" t="s">
        <v>4688</v>
      </c>
      <c r="L1050" s="12" t="s">
        <v>4689</v>
      </c>
      <c r="M1050" s="12" t="s">
        <v>4688</v>
      </c>
    </row>
    <row r="1051" spans="1:13" ht="39.6">
      <c r="A1051" s="21" t="s">
        <v>4194</v>
      </c>
      <c r="B1051" s="21" t="s">
        <v>4197</v>
      </c>
      <c r="C1051" s="21" t="s">
        <v>4195</v>
      </c>
      <c r="D1051" s="21" t="s">
        <v>71</v>
      </c>
      <c r="E1051" s="22" t="s">
        <v>4196</v>
      </c>
      <c r="F1051" s="22" t="s">
        <v>4197</v>
      </c>
      <c r="G1051" s="21" t="s">
        <v>4198</v>
      </c>
      <c r="H1051" s="21" t="s">
        <v>4199</v>
      </c>
      <c r="I1051" s="12" t="s">
        <v>6409</v>
      </c>
      <c r="J1051" s="12" t="s">
        <v>7205</v>
      </c>
      <c r="K1051" s="12" t="s">
        <v>4690</v>
      </c>
      <c r="L1051" s="12" t="s">
        <v>4691</v>
      </c>
      <c r="M1051" s="12" t="s">
        <v>4690</v>
      </c>
    </row>
    <row r="1052" spans="1:13" ht="39.6">
      <c r="A1052" s="21" t="s">
        <v>4194</v>
      </c>
      <c r="B1052" s="21" t="s">
        <v>4197</v>
      </c>
      <c r="C1052" s="21" t="s">
        <v>4195</v>
      </c>
      <c r="D1052" s="21" t="s">
        <v>71</v>
      </c>
      <c r="E1052" s="22" t="s">
        <v>4196</v>
      </c>
      <c r="F1052" s="22" t="s">
        <v>4197</v>
      </c>
      <c r="G1052" s="21" t="s">
        <v>4198</v>
      </c>
      <c r="H1052" s="21" t="s">
        <v>4199</v>
      </c>
      <c r="I1052" s="12" t="s">
        <v>6410</v>
      </c>
      <c r="J1052" s="12" t="s">
        <v>7206</v>
      </c>
      <c r="K1052" s="12"/>
      <c r="L1052" s="12" t="s">
        <v>4692</v>
      </c>
      <c r="M1052" s="12" t="s">
        <v>4693</v>
      </c>
    </row>
    <row r="1053" spans="1:13" ht="39.6">
      <c r="A1053" s="21" t="s">
        <v>4194</v>
      </c>
      <c r="B1053" s="21" t="s">
        <v>4197</v>
      </c>
      <c r="C1053" s="21" t="s">
        <v>4195</v>
      </c>
      <c r="D1053" s="21" t="s">
        <v>71</v>
      </c>
      <c r="E1053" s="22" t="s">
        <v>4196</v>
      </c>
      <c r="F1053" s="22" t="s">
        <v>4197</v>
      </c>
      <c r="G1053" s="21" t="s">
        <v>4198</v>
      </c>
      <c r="H1053" s="21" t="s">
        <v>4199</v>
      </c>
      <c r="I1053" s="12" t="s">
        <v>6411</v>
      </c>
      <c r="J1053" s="12" t="s">
        <v>7207</v>
      </c>
      <c r="K1053" s="12"/>
      <c r="L1053" s="12" t="s">
        <v>4694</v>
      </c>
      <c r="M1053" s="12" t="s">
        <v>4695</v>
      </c>
    </row>
    <row r="1054" spans="1:13" ht="39.6">
      <c r="A1054" s="21" t="s">
        <v>4194</v>
      </c>
      <c r="B1054" s="21" t="s">
        <v>4197</v>
      </c>
      <c r="C1054" s="21" t="s">
        <v>4195</v>
      </c>
      <c r="D1054" s="21" t="s">
        <v>71</v>
      </c>
      <c r="E1054" s="22" t="s">
        <v>4196</v>
      </c>
      <c r="F1054" s="22" t="s">
        <v>4197</v>
      </c>
      <c r="G1054" s="21" t="s">
        <v>4198</v>
      </c>
      <c r="H1054" s="21" t="s">
        <v>4199</v>
      </c>
      <c r="I1054" s="12" t="s">
        <v>6412</v>
      </c>
      <c r="J1054" s="12" t="s">
        <v>7208</v>
      </c>
      <c r="K1054" s="12"/>
      <c r="L1054" s="12" t="s">
        <v>4696</v>
      </c>
      <c r="M1054" s="12" t="s">
        <v>4697</v>
      </c>
    </row>
    <row r="1055" spans="1:13" ht="39.6">
      <c r="A1055" s="21" t="s">
        <v>4194</v>
      </c>
      <c r="B1055" s="21" t="s">
        <v>4197</v>
      </c>
      <c r="C1055" s="21" t="s">
        <v>4195</v>
      </c>
      <c r="D1055" s="21" t="s">
        <v>71</v>
      </c>
      <c r="E1055" s="22" t="s">
        <v>4196</v>
      </c>
      <c r="F1055" s="22" t="s">
        <v>4197</v>
      </c>
      <c r="G1055" s="21" t="s">
        <v>4198</v>
      </c>
      <c r="H1055" s="21" t="s">
        <v>4199</v>
      </c>
      <c r="I1055" s="12" t="s">
        <v>4698</v>
      </c>
      <c r="J1055" s="12" t="s">
        <v>7209</v>
      </c>
      <c r="K1055" s="12" t="s">
        <v>4698</v>
      </c>
      <c r="L1055" s="12" t="s">
        <v>4699</v>
      </c>
      <c r="M1055" s="12" t="s">
        <v>4698</v>
      </c>
    </row>
    <row r="1056" spans="1:13" ht="39.6">
      <c r="A1056" s="21" t="s">
        <v>4194</v>
      </c>
      <c r="B1056" s="21" t="s">
        <v>4197</v>
      </c>
      <c r="C1056" s="21" t="s">
        <v>4195</v>
      </c>
      <c r="D1056" s="21" t="s">
        <v>71</v>
      </c>
      <c r="E1056" s="22" t="s">
        <v>4196</v>
      </c>
      <c r="F1056" s="22" t="s">
        <v>4197</v>
      </c>
      <c r="G1056" s="21" t="s">
        <v>4198</v>
      </c>
      <c r="H1056" s="21" t="s">
        <v>4199</v>
      </c>
      <c r="I1056" s="12" t="s">
        <v>6413</v>
      </c>
      <c r="J1056" s="12" t="s">
        <v>7210</v>
      </c>
      <c r="K1056" s="12" t="s">
        <v>4700</v>
      </c>
      <c r="L1056" s="12" t="s">
        <v>4701</v>
      </c>
      <c r="M1056" s="12" t="s">
        <v>4700</v>
      </c>
    </row>
    <row r="1057" spans="1:13" ht="39.6">
      <c r="A1057" s="21" t="s">
        <v>4194</v>
      </c>
      <c r="B1057" s="21" t="s">
        <v>4197</v>
      </c>
      <c r="C1057" s="21" t="s">
        <v>4195</v>
      </c>
      <c r="D1057" s="21" t="s">
        <v>71</v>
      </c>
      <c r="E1057" s="22" t="s">
        <v>4196</v>
      </c>
      <c r="F1057" s="22" t="s">
        <v>4197</v>
      </c>
      <c r="G1057" s="21" t="s">
        <v>4198</v>
      </c>
      <c r="H1057" s="21" t="s">
        <v>4199</v>
      </c>
      <c r="I1057" s="12" t="s">
        <v>6414</v>
      </c>
      <c r="J1057" s="12" t="s">
        <v>7211</v>
      </c>
      <c r="K1057" s="12" t="s">
        <v>4702</v>
      </c>
      <c r="L1057" s="12" t="s">
        <v>4703</v>
      </c>
      <c r="M1057" s="12" t="s">
        <v>4704</v>
      </c>
    </row>
    <row r="1058" spans="1:13" ht="39.6">
      <c r="A1058" s="21" t="s">
        <v>4194</v>
      </c>
      <c r="B1058" s="21" t="s">
        <v>4197</v>
      </c>
      <c r="C1058" s="21" t="s">
        <v>4195</v>
      </c>
      <c r="D1058" s="21" t="s">
        <v>71</v>
      </c>
      <c r="E1058" s="22" t="s">
        <v>4196</v>
      </c>
      <c r="F1058" s="22" t="s">
        <v>4197</v>
      </c>
      <c r="G1058" s="21" t="s">
        <v>4198</v>
      </c>
      <c r="H1058" s="21" t="s">
        <v>4199</v>
      </c>
      <c r="I1058" s="12" t="s">
        <v>6415</v>
      </c>
      <c r="J1058" s="12" t="s">
        <v>7212</v>
      </c>
      <c r="K1058" s="12" t="s">
        <v>4705</v>
      </c>
      <c r="L1058" s="12" t="s">
        <v>4706</v>
      </c>
      <c r="M1058" s="12" t="s">
        <v>4707</v>
      </c>
    </row>
    <row r="1059" spans="1:13" ht="39.6">
      <c r="A1059" s="21" t="s">
        <v>4194</v>
      </c>
      <c r="B1059" s="21" t="s">
        <v>4197</v>
      </c>
      <c r="C1059" s="21" t="s">
        <v>4195</v>
      </c>
      <c r="D1059" s="21" t="s">
        <v>71</v>
      </c>
      <c r="E1059" s="22" t="s">
        <v>4196</v>
      </c>
      <c r="F1059" s="22" t="s">
        <v>4197</v>
      </c>
      <c r="G1059" s="21" t="s">
        <v>4198</v>
      </c>
      <c r="H1059" s="21" t="s">
        <v>4199</v>
      </c>
      <c r="I1059" s="12" t="s">
        <v>6416</v>
      </c>
      <c r="J1059" s="12" t="s">
        <v>7213</v>
      </c>
      <c r="K1059" s="12" t="s">
        <v>4708</v>
      </c>
      <c r="L1059" s="12" t="s">
        <v>4709</v>
      </c>
      <c r="M1059" s="12" t="s">
        <v>4710</v>
      </c>
    </row>
    <row r="1060" spans="1:13" ht="39.6">
      <c r="A1060" s="21" t="s">
        <v>4194</v>
      </c>
      <c r="B1060" s="21" t="s">
        <v>4197</v>
      </c>
      <c r="C1060" s="21" t="s">
        <v>4195</v>
      </c>
      <c r="D1060" s="21" t="s">
        <v>71</v>
      </c>
      <c r="E1060" s="22" t="s">
        <v>4196</v>
      </c>
      <c r="F1060" s="22" t="s">
        <v>4197</v>
      </c>
      <c r="G1060" s="21" t="s">
        <v>4198</v>
      </c>
      <c r="H1060" s="21" t="s">
        <v>4199</v>
      </c>
      <c r="I1060" s="12" t="s">
        <v>6417</v>
      </c>
      <c r="J1060" s="12" t="s">
        <v>7214</v>
      </c>
      <c r="K1060" s="12" t="s">
        <v>4711</v>
      </c>
      <c r="L1060" s="12" t="s">
        <v>4712</v>
      </c>
      <c r="M1060" s="12" t="s">
        <v>4711</v>
      </c>
    </row>
    <row r="1061" spans="1:13" ht="39.6">
      <c r="A1061" s="21" t="s">
        <v>4194</v>
      </c>
      <c r="B1061" s="21" t="s">
        <v>4197</v>
      </c>
      <c r="C1061" s="21" t="s">
        <v>4195</v>
      </c>
      <c r="D1061" s="21" t="s">
        <v>71</v>
      </c>
      <c r="E1061" s="22" t="s">
        <v>4196</v>
      </c>
      <c r="F1061" s="22" t="s">
        <v>4197</v>
      </c>
      <c r="G1061" s="21" t="s">
        <v>4198</v>
      </c>
      <c r="H1061" s="21" t="s">
        <v>4199</v>
      </c>
      <c r="I1061" s="12" t="s">
        <v>6418</v>
      </c>
      <c r="J1061" s="12" t="s">
        <v>7215</v>
      </c>
      <c r="K1061" s="12" t="s">
        <v>4713</v>
      </c>
      <c r="L1061" s="12" t="s">
        <v>4714</v>
      </c>
      <c r="M1061" s="12" t="s">
        <v>4715</v>
      </c>
    </row>
    <row r="1062" spans="1:13" ht="52.8">
      <c r="A1062" s="21" t="s">
        <v>4194</v>
      </c>
      <c r="B1062" s="21" t="s">
        <v>4197</v>
      </c>
      <c r="C1062" s="21" t="s">
        <v>4195</v>
      </c>
      <c r="D1062" s="21" t="s">
        <v>71</v>
      </c>
      <c r="E1062" s="22" t="s">
        <v>4196</v>
      </c>
      <c r="F1062" s="22" t="s">
        <v>4197</v>
      </c>
      <c r="G1062" s="21" t="s">
        <v>4198</v>
      </c>
      <c r="H1062" s="21" t="s">
        <v>4199</v>
      </c>
      <c r="I1062" s="12" t="s">
        <v>6419</v>
      </c>
      <c r="J1062" s="12" t="s">
        <v>7216</v>
      </c>
      <c r="K1062" s="12" t="s">
        <v>4716</v>
      </c>
      <c r="L1062" s="12" t="s">
        <v>4717</v>
      </c>
      <c r="M1062" s="12" t="s">
        <v>4716</v>
      </c>
    </row>
    <row r="1063" spans="1:13" ht="39.6">
      <c r="A1063" s="21" t="s">
        <v>4194</v>
      </c>
      <c r="B1063" s="21" t="s">
        <v>4197</v>
      </c>
      <c r="C1063" s="21" t="s">
        <v>4195</v>
      </c>
      <c r="D1063" s="21" t="s">
        <v>71</v>
      </c>
      <c r="E1063" s="22" t="s">
        <v>4196</v>
      </c>
      <c r="F1063" s="22" t="s">
        <v>4197</v>
      </c>
      <c r="G1063" s="21" t="s">
        <v>4198</v>
      </c>
      <c r="H1063" s="21" t="s">
        <v>4199</v>
      </c>
      <c r="I1063" s="12" t="s">
        <v>6420</v>
      </c>
      <c r="J1063" s="12" t="s">
        <v>7217</v>
      </c>
      <c r="K1063" s="12" t="s">
        <v>4718</v>
      </c>
      <c r="L1063" s="12" t="s">
        <v>4719</v>
      </c>
      <c r="M1063" s="12" t="s">
        <v>4718</v>
      </c>
    </row>
    <row r="1064" spans="1:13" ht="39.6">
      <c r="A1064" s="21" t="s">
        <v>4194</v>
      </c>
      <c r="B1064" s="21" t="s">
        <v>4197</v>
      </c>
      <c r="C1064" s="21" t="s">
        <v>4195</v>
      </c>
      <c r="D1064" s="21" t="s">
        <v>71</v>
      </c>
      <c r="E1064" s="22" t="s">
        <v>4196</v>
      </c>
      <c r="F1064" s="22" t="s">
        <v>4197</v>
      </c>
      <c r="G1064" s="21" t="s">
        <v>4198</v>
      </c>
      <c r="H1064" s="21" t="s">
        <v>4199</v>
      </c>
      <c r="I1064" s="12" t="s">
        <v>6421</v>
      </c>
      <c r="J1064" s="12" t="s">
        <v>7218</v>
      </c>
      <c r="K1064" s="12" t="s">
        <v>4720</v>
      </c>
      <c r="L1064" s="12" t="s">
        <v>4721</v>
      </c>
      <c r="M1064" s="12" t="s">
        <v>4720</v>
      </c>
    </row>
    <row r="1065" spans="1:13" ht="39.6">
      <c r="A1065" s="21" t="s">
        <v>4194</v>
      </c>
      <c r="B1065" s="21" t="s">
        <v>4197</v>
      </c>
      <c r="C1065" s="21" t="s">
        <v>4195</v>
      </c>
      <c r="D1065" s="21" t="s">
        <v>71</v>
      </c>
      <c r="E1065" s="22" t="s">
        <v>4196</v>
      </c>
      <c r="F1065" s="22" t="s">
        <v>4197</v>
      </c>
      <c r="G1065" s="21" t="s">
        <v>4198</v>
      </c>
      <c r="H1065" s="21" t="s">
        <v>4199</v>
      </c>
      <c r="I1065" s="12" t="s">
        <v>6422</v>
      </c>
      <c r="J1065" s="12" t="s">
        <v>7219</v>
      </c>
      <c r="K1065" s="12" t="s">
        <v>4722</v>
      </c>
      <c r="L1065" s="12" t="s">
        <v>4723</v>
      </c>
      <c r="M1065" s="12" t="s">
        <v>4722</v>
      </c>
    </row>
    <row r="1066" spans="1:13" ht="39.6">
      <c r="A1066" s="21" t="s">
        <v>4194</v>
      </c>
      <c r="B1066" s="21" t="s">
        <v>4197</v>
      </c>
      <c r="C1066" s="21" t="s">
        <v>4195</v>
      </c>
      <c r="D1066" s="21" t="s">
        <v>71</v>
      </c>
      <c r="E1066" s="22" t="s">
        <v>4196</v>
      </c>
      <c r="F1066" s="22" t="s">
        <v>4197</v>
      </c>
      <c r="G1066" s="21" t="s">
        <v>4198</v>
      </c>
      <c r="H1066" s="21" t="s">
        <v>4199</v>
      </c>
      <c r="I1066" s="12" t="s">
        <v>6423</v>
      </c>
      <c r="J1066" s="12" t="s">
        <v>7220</v>
      </c>
      <c r="K1066" s="12" t="s">
        <v>4724</v>
      </c>
      <c r="L1066" s="12" t="s">
        <v>4725</v>
      </c>
      <c r="M1066" s="12" t="s">
        <v>4726</v>
      </c>
    </row>
    <row r="1067" spans="1:13" ht="39.6">
      <c r="A1067" s="21" t="s">
        <v>4194</v>
      </c>
      <c r="B1067" s="21" t="s">
        <v>4197</v>
      </c>
      <c r="C1067" s="21" t="s">
        <v>4195</v>
      </c>
      <c r="D1067" s="21" t="s">
        <v>71</v>
      </c>
      <c r="E1067" s="22" t="s">
        <v>4196</v>
      </c>
      <c r="F1067" s="22" t="s">
        <v>4197</v>
      </c>
      <c r="G1067" s="21" t="s">
        <v>4198</v>
      </c>
      <c r="H1067" s="21" t="s">
        <v>4199</v>
      </c>
      <c r="I1067" s="12" t="s">
        <v>6424</v>
      </c>
      <c r="J1067" s="12" t="s">
        <v>7221</v>
      </c>
      <c r="K1067" s="12" t="s">
        <v>4727</v>
      </c>
      <c r="L1067" s="12" t="s">
        <v>4728</v>
      </c>
      <c r="M1067" s="12" t="s">
        <v>4727</v>
      </c>
    </row>
    <row r="1068" spans="1:13" ht="39.6">
      <c r="A1068" s="21" t="s">
        <v>4194</v>
      </c>
      <c r="B1068" s="21" t="s">
        <v>4197</v>
      </c>
      <c r="C1068" s="21" t="s">
        <v>4195</v>
      </c>
      <c r="D1068" s="21" t="s">
        <v>71</v>
      </c>
      <c r="E1068" s="22" t="s">
        <v>4196</v>
      </c>
      <c r="F1068" s="22" t="s">
        <v>4197</v>
      </c>
      <c r="G1068" s="21" t="s">
        <v>4198</v>
      </c>
      <c r="H1068" s="21" t="s">
        <v>4199</v>
      </c>
      <c r="I1068" s="12" t="s">
        <v>2028</v>
      </c>
      <c r="J1068" s="12" t="s">
        <v>2033</v>
      </c>
      <c r="K1068" s="12"/>
      <c r="L1068" s="12" t="s">
        <v>2038</v>
      </c>
      <c r="M1068" s="12" t="s">
        <v>2039</v>
      </c>
    </row>
    <row r="1069" spans="1:13" ht="39.6">
      <c r="A1069" s="21" t="s">
        <v>4194</v>
      </c>
      <c r="B1069" s="21" t="s">
        <v>4197</v>
      </c>
      <c r="C1069" s="21" t="s">
        <v>4195</v>
      </c>
      <c r="D1069" s="21" t="s">
        <v>71</v>
      </c>
      <c r="E1069" s="22" t="s">
        <v>4196</v>
      </c>
      <c r="F1069" s="22" t="s">
        <v>4197</v>
      </c>
      <c r="G1069" s="21" t="s">
        <v>4198</v>
      </c>
      <c r="H1069" s="21" t="s">
        <v>4199</v>
      </c>
      <c r="I1069" s="12" t="s">
        <v>6425</v>
      </c>
      <c r="J1069" s="12" t="s">
        <v>7222</v>
      </c>
      <c r="K1069" s="12"/>
      <c r="L1069" s="12" t="s">
        <v>4729</v>
      </c>
      <c r="M1069" s="12" t="s">
        <v>4730</v>
      </c>
    </row>
    <row r="1070" spans="1:13" ht="39.6">
      <c r="A1070" s="21" t="s">
        <v>4194</v>
      </c>
      <c r="B1070" s="21" t="s">
        <v>4197</v>
      </c>
      <c r="C1070" s="21" t="s">
        <v>4195</v>
      </c>
      <c r="D1070" s="21" t="s">
        <v>71</v>
      </c>
      <c r="E1070" s="22" t="s">
        <v>4196</v>
      </c>
      <c r="F1070" s="22" t="s">
        <v>4197</v>
      </c>
      <c r="G1070" s="21" t="s">
        <v>4198</v>
      </c>
      <c r="H1070" s="21" t="s">
        <v>4199</v>
      </c>
      <c r="I1070" s="12" t="s">
        <v>6426</v>
      </c>
      <c r="J1070" s="12" t="s">
        <v>7223</v>
      </c>
      <c r="K1070" s="12" t="s">
        <v>4731</v>
      </c>
      <c r="L1070" s="12" t="s">
        <v>4732</v>
      </c>
      <c r="M1070" s="12" t="s">
        <v>4733</v>
      </c>
    </row>
    <row r="1071" spans="1:13" ht="39.6">
      <c r="A1071" s="21" t="s">
        <v>4194</v>
      </c>
      <c r="B1071" s="21" t="s">
        <v>4197</v>
      </c>
      <c r="C1071" s="21" t="s">
        <v>4195</v>
      </c>
      <c r="D1071" s="21" t="s">
        <v>71</v>
      </c>
      <c r="E1071" s="22" t="s">
        <v>4196</v>
      </c>
      <c r="F1071" s="22" t="s">
        <v>4197</v>
      </c>
      <c r="G1071" s="21" t="s">
        <v>4198</v>
      </c>
      <c r="H1071" s="21" t="s">
        <v>4199</v>
      </c>
      <c r="I1071" s="12" t="s">
        <v>6427</v>
      </c>
      <c r="J1071" s="12" t="s">
        <v>7224</v>
      </c>
      <c r="K1071" s="12" t="s">
        <v>4734</v>
      </c>
      <c r="L1071" s="12" t="s">
        <v>4735</v>
      </c>
      <c r="M1071" s="12" t="s">
        <v>4734</v>
      </c>
    </row>
    <row r="1072" spans="1:13" ht="39.6">
      <c r="A1072" s="21" t="s">
        <v>4194</v>
      </c>
      <c r="B1072" s="21" t="s">
        <v>4197</v>
      </c>
      <c r="C1072" s="21" t="s">
        <v>4195</v>
      </c>
      <c r="D1072" s="21" t="s">
        <v>71</v>
      </c>
      <c r="E1072" s="22" t="s">
        <v>4196</v>
      </c>
      <c r="F1072" s="22" t="s">
        <v>4197</v>
      </c>
      <c r="G1072" s="21" t="s">
        <v>4198</v>
      </c>
      <c r="H1072" s="21" t="s">
        <v>4199</v>
      </c>
      <c r="I1072" s="12" t="s">
        <v>6428</v>
      </c>
      <c r="J1072" s="12" t="s">
        <v>7225</v>
      </c>
      <c r="K1072" s="12"/>
      <c r="L1072" s="12" t="s">
        <v>4736</v>
      </c>
      <c r="M1072" s="12" t="s">
        <v>4737</v>
      </c>
    </row>
    <row r="1073" spans="1:13" ht="66">
      <c r="A1073" s="21" t="s">
        <v>4194</v>
      </c>
      <c r="B1073" s="21" t="s">
        <v>4197</v>
      </c>
      <c r="C1073" s="21" t="s">
        <v>4195</v>
      </c>
      <c r="D1073" s="21" t="s">
        <v>71</v>
      </c>
      <c r="E1073" s="22" t="s">
        <v>4196</v>
      </c>
      <c r="F1073" s="22" t="s">
        <v>4197</v>
      </c>
      <c r="G1073" s="21" t="s">
        <v>4198</v>
      </c>
      <c r="H1073" s="21" t="s">
        <v>4199</v>
      </c>
      <c r="I1073" s="12" t="s">
        <v>6429</v>
      </c>
      <c r="J1073" s="12" t="s">
        <v>7226</v>
      </c>
      <c r="K1073" s="12" t="s">
        <v>4738</v>
      </c>
      <c r="L1073" s="12" t="s">
        <v>4739</v>
      </c>
      <c r="M1073" s="12" t="s">
        <v>4740</v>
      </c>
    </row>
    <row r="1074" spans="1:13" ht="39.6">
      <c r="A1074" s="21" t="s">
        <v>4194</v>
      </c>
      <c r="B1074" s="21" t="s">
        <v>4197</v>
      </c>
      <c r="C1074" s="21" t="s">
        <v>4195</v>
      </c>
      <c r="D1074" s="21" t="s">
        <v>71</v>
      </c>
      <c r="E1074" s="22" t="s">
        <v>4196</v>
      </c>
      <c r="F1074" s="22" t="s">
        <v>4197</v>
      </c>
      <c r="G1074" s="21" t="s">
        <v>4198</v>
      </c>
      <c r="H1074" s="21" t="s">
        <v>4199</v>
      </c>
      <c r="I1074" s="12" t="s">
        <v>6430</v>
      </c>
      <c r="J1074" s="12" t="s">
        <v>7227</v>
      </c>
      <c r="K1074" s="12"/>
      <c r="L1074" s="12" t="s">
        <v>4741</v>
      </c>
      <c r="M1074" s="12" t="s">
        <v>4742</v>
      </c>
    </row>
    <row r="1075" spans="1:13" ht="39.6">
      <c r="A1075" s="21" t="s">
        <v>4194</v>
      </c>
      <c r="B1075" s="21" t="s">
        <v>4197</v>
      </c>
      <c r="C1075" s="21" t="s">
        <v>4195</v>
      </c>
      <c r="D1075" s="21" t="s">
        <v>71</v>
      </c>
      <c r="E1075" s="22" t="s">
        <v>4196</v>
      </c>
      <c r="F1075" s="22" t="s">
        <v>4197</v>
      </c>
      <c r="G1075" s="21" t="s">
        <v>4198</v>
      </c>
      <c r="H1075" s="21" t="s">
        <v>4199</v>
      </c>
      <c r="I1075" s="12" t="s">
        <v>6431</v>
      </c>
      <c r="J1075" s="12" t="s">
        <v>7228</v>
      </c>
      <c r="K1075" s="12"/>
      <c r="L1075" s="12" t="s">
        <v>4743</v>
      </c>
      <c r="M1075" s="12" t="s">
        <v>4744</v>
      </c>
    </row>
    <row r="1076" spans="1:13" ht="39.6">
      <c r="A1076" s="21" t="s">
        <v>4194</v>
      </c>
      <c r="B1076" s="21" t="s">
        <v>4197</v>
      </c>
      <c r="C1076" s="21" t="s">
        <v>4195</v>
      </c>
      <c r="D1076" s="21" t="s">
        <v>71</v>
      </c>
      <c r="E1076" s="22" t="s">
        <v>4196</v>
      </c>
      <c r="F1076" s="22" t="s">
        <v>4197</v>
      </c>
      <c r="G1076" s="21" t="s">
        <v>4198</v>
      </c>
      <c r="H1076" s="21" t="s">
        <v>4199</v>
      </c>
      <c r="I1076" s="12" t="s">
        <v>6432</v>
      </c>
      <c r="J1076" s="12" t="s">
        <v>7229</v>
      </c>
      <c r="K1076" s="12" t="s">
        <v>4745</v>
      </c>
      <c r="L1076" s="12" t="s">
        <v>4746</v>
      </c>
      <c r="M1076" s="12" t="s">
        <v>4747</v>
      </c>
    </row>
    <row r="1077" spans="1:13" ht="39.6">
      <c r="A1077" s="21" t="s">
        <v>4194</v>
      </c>
      <c r="B1077" s="21" t="s">
        <v>4197</v>
      </c>
      <c r="C1077" s="21" t="s">
        <v>4195</v>
      </c>
      <c r="D1077" s="21" t="s">
        <v>71</v>
      </c>
      <c r="E1077" s="22" t="s">
        <v>4196</v>
      </c>
      <c r="F1077" s="22" t="s">
        <v>4197</v>
      </c>
      <c r="G1077" s="21" t="s">
        <v>4198</v>
      </c>
      <c r="H1077" s="21" t="s">
        <v>4199</v>
      </c>
      <c r="I1077" s="12" t="s">
        <v>6433</v>
      </c>
      <c r="J1077" s="12" t="s">
        <v>7230</v>
      </c>
      <c r="K1077" s="12" t="s">
        <v>4748</v>
      </c>
      <c r="L1077" s="12" t="s">
        <v>4749</v>
      </c>
      <c r="M1077" s="12" t="s">
        <v>4748</v>
      </c>
    </row>
    <row r="1078" spans="1:13" ht="39.6">
      <c r="A1078" s="21" t="s">
        <v>4194</v>
      </c>
      <c r="B1078" s="21" t="s">
        <v>4197</v>
      </c>
      <c r="C1078" s="21" t="s">
        <v>4195</v>
      </c>
      <c r="D1078" s="21" t="s">
        <v>71</v>
      </c>
      <c r="E1078" s="22" t="s">
        <v>4196</v>
      </c>
      <c r="F1078" s="22" t="s">
        <v>4197</v>
      </c>
      <c r="G1078" s="21" t="s">
        <v>4198</v>
      </c>
      <c r="H1078" s="21" t="s">
        <v>4199</v>
      </c>
      <c r="I1078" s="12" t="s">
        <v>6434</v>
      </c>
      <c r="J1078" s="12" t="s">
        <v>7231</v>
      </c>
      <c r="K1078" s="12" t="s">
        <v>4750</v>
      </c>
      <c r="L1078" s="12" t="s">
        <v>4751</v>
      </c>
      <c r="M1078" s="12" t="s">
        <v>4752</v>
      </c>
    </row>
    <row r="1079" spans="1:13" ht="39.6">
      <c r="A1079" s="21" t="s">
        <v>4194</v>
      </c>
      <c r="B1079" s="21" t="s">
        <v>4197</v>
      </c>
      <c r="C1079" s="21" t="s">
        <v>4195</v>
      </c>
      <c r="D1079" s="21" t="s">
        <v>71</v>
      </c>
      <c r="E1079" s="22" t="s">
        <v>4196</v>
      </c>
      <c r="F1079" s="22" t="s">
        <v>4197</v>
      </c>
      <c r="G1079" s="21" t="s">
        <v>4198</v>
      </c>
      <c r="H1079" s="21" t="s">
        <v>4199</v>
      </c>
      <c r="I1079" s="12" t="s">
        <v>6435</v>
      </c>
      <c r="J1079" s="12" t="s">
        <v>7232</v>
      </c>
      <c r="K1079" s="12" t="s">
        <v>4753</v>
      </c>
      <c r="L1079" s="12" t="s">
        <v>4754</v>
      </c>
      <c r="M1079" s="12" t="s">
        <v>4753</v>
      </c>
    </row>
    <row r="1080" spans="1:13" ht="39.6">
      <c r="A1080" s="21" t="s">
        <v>4194</v>
      </c>
      <c r="B1080" s="21" t="s">
        <v>4197</v>
      </c>
      <c r="C1080" s="21" t="s">
        <v>4195</v>
      </c>
      <c r="D1080" s="21" t="s">
        <v>71</v>
      </c>
      <c r="E1080" s="22" t="s">
        <v>4196</v>
      </c>
      <c r="F1080" s="22" t="s">
        <v>4197</v>
      </c>
      <c r="G1080" s="21" t="s">
        <v>4198</v>
      </c>
      <c r="H1080" s="21" t="s">
        <v>4199</v>
      </c>
      <c r="I1080" s="12" t="s">
        <v>6436</v>
      </c>
      <c r="J1080" s="12" t="s">
        <v>7233</v>
      </c>
      <c r="K1080" s="12" t="s">
        <v>4755</v>
      </c>
      <c r="L1080" s="12" t="s">
        <v>4756</v>
      </c>
      <c r="M1080" s="12" t="s">
        <v>4755</v>
      </c>
    </row>
    <row r="1081" spans="1:13" ht="39.6">
      <c r="A1081" s="21" t="s">
        <v>4194</v>
      </c>
      <c r="B1081" s="21" t="s">
        <v>4197</v>
      </c>
      <c r="C1081" s="21" t="s">
        <v>4195</v>
      </c>
      <c r="D1081" s="21" t="s">
        <v>71</v>
      </c>
      <c r="E1081" s="22" t="s">
        <v>4196</v>
      </c>
      <c r="F1081" s="22" t="s">
        <v>4197</v>
      </c>
      <c r="G1081" s="21" t="s">
        <v>4198</v>
      </c>
      <c r="H1081" s="21" t="s">
        <v>4199</v>
      </c>
      <c r="I1081" s="12" t="s">
        <v>6437</v>
      </c>
      <c r="J1081" s="12" t="s">
        <v>7234</v>
      </c>
      <c r="K1081" s="12" t="s">
        <v>4757</v>
      </c>
      <c r="L1081" s="12" t="s">
        <v>4758</v>
      </c>
      <c r="M1081" s="12" t="s">
        <v>4757</v>
      </c>
    </row>
    <row r="1082" spans="1:13" ht="39.6">
      <c r="A1082" s="21" t="s">
        <v>4194</v>
      </c>
      <c r="B1082" s="21" t="s">
        <v>4197</v>
      </c>
      <c r="C1082" s="21" t="s">
        <v>4195</v>
      </c>
      <c r="D1082" s="21" t="s">
        <v>71</v>
      </c>
      <c r="E1082" s="22" t="s">
        <v>4196</v>
      </c>
      <c r="F1082" s="22" t="s">
        <v>4197</v>
      </c>
      <c r="G1082" s="21" t="s">
        <v>4198</v>
      </c>
      <c r="H1082" s="21" t="s">
        <v>4199</v>
      </c>
      <c r="I1082" s="12" t="s">
        <v>6438</v>
      </c>
      <c r="J1082" s="12" t="s">
        <v>7235</v>
      </c>
      <c r="K1082" s="12" t="s">
        <v>4759</v>
      </c>
      <c r="L1082" s="12" t="s">
        <v>4760</v>
      </c>
      <c r="M1082" s="12" t="s">
        <v>4759</v>
      </c>
    </row>
    <row r="1083" spans="1:13" ht="39.6">
      <c r="A1083" s="21" t="s">
        <v>4194</v>
      </c>
      <c r="B1083" s="21" t="s">
        <v>4197</v>
      </c>
      <c r="C1083" s="21" t="s">
        <v>4195</v>
      </c>
      <c r="D1083" s="21" t="s">
        <v>71</v>
      </c>
      <c r="E1083" s="22" t="s">
        <v>4196</v>
      </c>
      <c r="F1083" s="22" t="s">
        <v>4197</v>
      </c>
      <c r="G1083" s="21" t="s">
        <v>4198</v>
      </c>
      <c r="H1083" s="21" t="s">
        <v>4199</v>
      </c>
      <c r="I1083" s="12" t="s">
        <v>6439</v>
      </c>
      <c r="J1083" s="12" t="s">
        <v>7236</v>
      </c>
      <c r="K1083" s="12"/>
      <c r="L1083" s="12" t="s">
        <v>4761</v>
      </c>
      <c r="M1083" s="12" t="s">
        <v>4762</v>
      </c>
    </row>
    <row r="1084" spans="1:13" ht="39.6">
      <c r="A1084" s="21" t="s">
        <v>4194</v>
      </c>
      <c r="B1084" s="21" t="s">
        <v>4197</v>
      </c>
      <c r="C1084" s="21" t="s">
        <v>4195</v>
      </c>
      <c r="D1084" s="21" t="s">
        <v>71</v>
      </c>
      <c r="E1084" s="22" t="s">
        <v>4196</v>
      </c>
      <c r="F1084" s="22" t="s">
        <v>4197</v>
      </c>
      <c r="G1084" s="21" t="s">
        <v>4198</v>
      </c>
      <c r="H1084" s="21" t="s">
        <v>4199</v>
      </c>
      <c r="I1084" s="12" t="s">
        <v>6440</v>
      </c>
      <c r="J1084" s="12" t="s">
        <v>7237</v>
      </c>
      <c r="K1084" s="12" t="s">
        <v>4763</v>
      </c>
      <c r="L1084" s="12" t="s">
        <v>4764</v>
      </c>
      <c r="M1084" s="12" t="s">
        <v>4765</v>
      </c>
    </row>
    <row r="1085" spans="1:13" ht="39.6">
      <c r="A1085" s="21" t="s">
        <v>4194</v>
      </c>
      <c r="B1085" s="21" t="s">
        <v>4197</v>
      </c>
      <c r="C1085" s="21" t="s">
        <v>4195</v>
      </c>
      <c r="D1085" s="21" t="s">
        <v>71</v>
      </c>
      <c r="E1085" s="22" t="s">
        <v>4196</v>
      </c>
      <c r="F1085" s="22" t="s">
        <v>4197</v>
      </c>
      <c r="G1085" s="21" t="s">
        <v>4198</v>
      </c>
      <c r="H1085" s="21" t="s">
        <v>4199</v>
      </c>
      <c r="I1085" s="12" t="s">
        <v>6441</v>
      </c>
      <c r="J1085" s="12" t="s">
        <v>7238</v>
      </c>
      <c r="K1085" s="12" t="s">
        <v>4766</v>
      </c>
      <c r="L1085" s="12" t="s">
        <v>4767</v>
      </c>
      <c r="M1085" s="12" t="s">
        <v>4766</v>
      </c>
    </row>
    <row r="1086" spans="1:13" ht="52.8">
      <c r="A1086" s="21" t="s">
        <v>4194</v>
      </c>
      <c r="B1086" s="21" t="s">
        <v>4197</v>
      </c>
      <c r="C1086" s="21" t="s">
        <v>4195</v>
      </c>
      <c r="D1086" s="21" t="s">
        <v>71</v>
      </c>
      <c r="E1086" s="22" t="s">
        <v>4196</v>
      </c>
      <c r="F1086" s="22" t="s">
        <v>4197</v>
      </c>
      <c r="G1086" s="21" t="s">
        <v>4198</v>
      </c>
      <c r="H1086" s="21" t="s">
        <v>4199</v>
      </c>
      <c r="I1086" s="12" t="s">
        <v>6442</v>
      </c>
      <c r="J1086" s="12" t="s">
        <v>7239</v>
      </c>
      <c r="K1086" s="12" t="s">
        <v>4768</v>
      </c>
      <c r="L1086" s="12" t="s">
        <v>4769</v>
      </c>
      <c r="M1086" s="12" t="s">
        <v>4770</v>
      </c>
    </row>
    <row r="1087" spans="1:13" ht="39.6">
      <c r="A1087" s="21" t="s">
        <v>4194</v>
      </c>
      <c r="B1087" s="21" t="s">
        <v>4197</v>
      </c>
      <c r="C1087" s="21" t="s">
        <v>4195</v>
      </c>
      <c r="D1087" s="21" t="s">
        <v>71</v>
      </c>
      <c r="E1087" s="22" t="s">
        <v>4196</v>
      </c>
      <c r="F1087" s="22" t="s">
        <v>4197</v>
      </c>
      <c r="G1087" s="21" t="s">
        <v>4198</v>
      </c>
      <c r="H1087" s="21" t="s">
        <v>4199</v>
      </c>
      <c r="I1087" s="12" t="s">
        <v>6443</v>
      </c>
      <c r="J1087" s="12" t="s">
        <v>7240</v>
      </c>
      <c r="K1087" s="12" t="s">
        <v>4771</v>
      </c>
      <c r="L1087" s="12" t="s">
        <v>4772</v>
      </c>
      <c r="M1087" s="12" t="s">
        <v>4773</v>
      </c>
    </row>
    <row r="1088" spans="1:13" ht="39.6">
      <c r="A1088" s="21" t="s">
        <v>4194</v>
      </c>
      <c r="B1088" s="21" t="s">
        <v>4197</v>
      </c>
      <c r="C1088" s="21" t="s">
        <v>4195</v>
      </c>
      <c r="D1088" s="21" t="s">
        <v>71</v>
      </c>
      <c r="E1088" s="22" t="s">
        <v>4196</v>
      </c>
      <c r="F1088" s="22" t="s">
        <v>4197</v>
      </c>
      <c r="G1088" s="21" t="s">
        <v>4198</v>
      </c>
      <c r="H1088" s="21" t="s">
        <v>4199</v>
      </c>
      <c r="I1088" s="12" t="s">
        <v>6444</v>
      </c>
      <c r="J1088" s="12" t="s">
        <v>7241</v>
      </c>
      <c r="K1088" s="12" t="s">
        <v>4774</v>
      </c>
      <c r="L1088" s="12" t="s">
        <v>4775</v>
      </c>
      <c r="M1088" s="12" t="s">
        <v>4776</v>
      </c>
    </row>
    <row r="1089" spans="1:13" ht="39.6">
      <c r="A1089" s="21" t="s">
        <v>4194</v>
      </c>
      <c r="B1089" s="21" t="s">
        <v>4197</v>
      </c>
      <c r="C1089" s="21" t="s">
        <v>4195</v>
      </c>
      <c r="D1089" s="21" t="s">
        <v>71</v>
      </c>
      <c r="E1089" s="22" t="s">
        <v>4196</v>
      </c>
      <c r="F1089" s="22" t="s">
        <v>4197</v>
      </c>
      <c r="G1089" s="21" t="s">
        <v>4198</v>
      </c>
      <c r="H1089" s="21" t="s">
        <v>4199</v>
      </c>
      <c r="I1089" s="12" t="s">
        <v>6445</v>
      </c>
      <c r="J1089" s="12" t="s">
        <v>7242</v>
      </c>
      <c r="K1089" s="12" t="s">
        <v>4777</v>
      </c>
      <c r="L1089" s="12" t="s">
        <v>4778</v>
      </c>
      <c r="M1089" s="12" t="s">
        <v>4779</v>
      </c>
    </row>
    <row r="1090" spans="1:13" ht="39.6">
      <c r="A1090" s="21" t="s">
        <v>4194</v>
      </c>
      <c r="B1090" s="21" t="s">
        <v>4197</v>
      </c>
      <c r="C1090" s="21" t="s">
        <v>4195</v>
      </c>
      <c r="D1090" s="21" t="s">
        <v>71</v>
      </c>
      <c r="E1090" s="22" t="s">
        <v>4196</v>
      </c>
      <c r="F1090" s="22" t="s">
        <v>4197</v>
      </c>
      <c r="G1090" s="21" t="s">
        <v>4198</v>
      </c>
      <c r="H1090" s="21" t="s">
        <v>4199</v>
      </c>
      <c r="I1090" s="12" t="s">
        <v>6446</v>
      </c>
      <c r="J1090" s="12" t="s">
        <v>7243</v>
      </c>
      <c r="K1090" s="12" t="s">
        <v>4780</v>
      </c>
      <c r="L1090" s="12" t="s">
        <v>4781</v>
      </c>
      <c r="M1090" s="12" t="s">
        <v>4782</v>
      </c>
    </row>
    <row r="1091" spans="1:13" ht="39.6">
      <c r="A1091" s="21" t="s">
        <v>4194</v>
      </c>
      <c r="B1091" s="21" t="s">
        <v>4197</v>
      </c>
      <c r="C1091" s="21" t="s">
        <v>4195</v>
      </c>
      <c r="D1091" s="21" t="s">
        <v>71</v>
      </c>
      <c r="E1091" s="22" t="s">
        <v>4196</v>
      </c>
      <c r="F1091" s="22" t="s">
        <v>4197</v>
      </c>
      <c r="G1091" s="21" t="s">
        <v>4198</v>
      </c>
      <c r="H1091" s="21" t="s">
        <v>4199</v>
      </c>
      <c r="I1091" s="12" t="s">
        <v>6447</v>
      </c>
      <c r="J1091" s="12" t="s">
        <v>7244</v>
      </c>
      <c r="K1091" s="12" t="s">
        <v>4783</v>
      </c>
      <c r="L1091" s="12" t="s">
        <v>4784</v>
      </c>
      <c r="M1091" s="12" t="s">
        <v>4783</v>
      </c>
    </row>
    <row r="1092" spans="1:13" ht="66">
      <c r="A1092" s="21" t="s">
        <v>4194</v>
      </c>
      <c r="B1092" s="21" t="s">
        <v>4197</v>
      </c>
      <c r="C1092" s="21" t="s">
        <v>4195</v>
      </c>
      <c r="D1092" s="21" t="s">
        <v>71</v>
      </c>
      <c r="E1092" s="22" t="s">
        <v>4196</v>
      </c>
      <c r="F1092" s="22" t="s">
        <v>4197</v>
      </c>
      <c r="G1092" s="21" t="s">
        <v>4198</v>
      </c>
      <c r="H1092" s="21" t="s">
        <v>4199</v>
      </c>
      <c r="I1092" s="12" t="s">
        <v>6448</v>
      </c>
      <c r="J1092" s="12" t="s">
        <v>7245</v>
      </c>
      <c r="K1092" s="12" t="s">
        <v>4785</v>
      </c>
      <c r="L1092" s="12" t="s">
        <v>4786</v>
      </c>
      <c r="M1092" s="12" t="s">
        <v>4787</v>
      </c>
    </row>
    <row r="1093" spans="1:13" ht="39.6">
      <c r="A1093" s="21" t="s">
        <v>4194</v>
      </c>
      <c r="B1093" s="21" t="s">
        <v>4197</v>
      </c>
      <c r="C1093" s="21" t="s">
        <v>4195</v>
      </c>
      <c r="D1093" s="21" t="s">
        <v>71</v>
      </c>
      <c r="E1093" s="22" t="s">
        <v>4196</v>
      </c>
      <c r="F1093" s="22" t="s">
        <v>4197</v>
      </c>
      <c r="G1093" s="21" t="s">
        <v>4198</v>
      </c>
      <c r="H1093" s="21" t="s">
        <v>4199</v>
      </c>
      <c r="I1093" s="12" t="s">
        <v>6449</v>
      </c>
      <c r="J1093" s="12" t="s">
        <v>7246</v>
      </c>
      <c r="K1093" s="12" t="s">
        <v>4788</v>
      </c>
      <c r="L1093" s="12" t="s">
        <v>4789</v>
      </c>
      <c r="M1093" s="12" t="s">
        <v>4788</v>
      </c>
    </row>
    <row r="1094" spans="1:13" ht="52.8">
      <c r="A1094" s="21" t="s">
        <v>4194</v>
      </c>
      <c r="B1094" s="21" t="s">
        <v>4197</v>
      </c>
      <c r="C1094" s="21" t="s">
        <v>4195</v>
      </c>
      <c r="D1094" s="21" t="s">
        <v>71</v>
      </c>
      <c r="E1094" s="22" t="s">
        <v>4196</v>
      </c>
      <c r="F1094" s="22" t="s">
        <v>4197</v>
      </c>
      <c r="G1094" s="21" t="s">
        <v>4198</v>
      </c>
      <c r="H1094" s="21" t="s">
        <v>4199</v>
      </c>
      <c r="I1094" s="12" t="s">
        <v>6450</v>
      </c>
      <c r="J1094" s="12" t="s">
        <v>7247</v>
      </c>
      <c r="K1094" s="12" t="s">
        <v>4790</v>
      </c>
      <c r="L1094" s="12" t="s">
        <v>4791</v>
      </c>
      <c r="M1094" s="12" t="s">
        <v>4790</v>
      </c>
    </row>
    <row r="1095" spans="1:13" ht="52.8">
      <c r="A1095" s="21" t="s">
        <v>4194</v>
      </c>
      <c r="B1095" s="21" t="s">
        <v>4197</v>
      </c>
      <c r="C1095" s="21" t="s">
        <v>4195</v>
      </c>
      <c r="D1095" s="21" t="s">
        <v>71</v>
      </c>
      <c r="E1095" s="22" t="s">
        <v>4196</v>
      </c>
      <c r="F1095" s="22" t="s">
        <v>4197</v>
      </c>
      <c r="G1095" s="21" t="s">
        <v>4198</v>
      </c>
      <c r="H1095" s="21" t="s">
        <v>4199</v>
      </c>
      <c r="I1095" s="12" t="s">
        <v>6451</v>
      </c>
      <c r="J1095" s="12" t="s">
        <v>7248</v>
      </c>
      <c r="K1095" s="12" t="s">
        <v>4792</v>
      </c>
      <c r="L1095" s="12" t="s">
        <v>4793</v>
      </c>
      <c r="M1095" s="12" t="s">
        <v>4792</v>
      </c>
    </row>
    <row r="1096" spans="1:13" ht="52.8">
      <c r="A1096" s="21" t="s">
        <v>4194</v>
      </c>
      <c r="B1096" s="21" t="s">
        <v>4197</v>
      </c>
      <c r="C1096" s="21" t="s">
        <v>4195</v>
      </c>
      <c r="D1096" s="21" t="s">
        <v>71</v>
      </c>
      <c r="E1096" s="22" t="s">
        <v>4196</v>
      </c>
      <c r="F1096" s="22" t="s">
        <v>4197</v>
      </c>
      <c r="G1096" s="21" t="s">
        <v>4198</v>
      </c>
      <c r="H1096" s="21" t="s">
        <v>4199</v>
      </c>
      <c r="I1096" s="12" t="s">
        <v>6452</v>
      </c>
      <c r="J1096" s="12" t="s">
        <v>7249</v>
      </c>
      <c r="K1096" s="12" t="s">
        <v>4794</v>
      </c>
      <c r="L1096" s="12" t="s">
        <v>4795</v>
      </c>
      <c r="M1096" s="12" t="s">
        <v>4796</v>
      </c>
    </row>
    <row r="1097" spans="1:13" ht="52.8">
      <c r="A1097" s="21" t="s">
        <v>4194</v>
      </c>
      <c r="B1097" s="21" t="s">
        <v>4197</v>
      </c>
      <c r="C1097" s="21" t="s">
        <v>4195</v>
      </c>
      <c r="D1097" s="21" t="s">
        <v>71</v>
      </c>
      <c r="E1097" s="22" t="s">
        <v>4196</v>
      </c>
      <c r="F1097" s="22" t="s">
        <v>4197</v>
      </c>
      <c r="G1097" s="21" t="s">
        <v>4198</v>
      </c>
      <c r="H1097" s="21" t="s">
        <v>4199</v>
      </c>
      <c r="I1097" s="12" t="s">
        <v>6453</v>
      </c>
      <c r="J1097" s="12" t="s">
        <v>7250</v>
      </c>
      <c r="K1097" s="12" t="s">
        <v>4797</v>
      </c>
      <c r="L1097" s="12" t="s">
        <v>4798</v>
      </c>
      <c r="M1097" s="12" t="s">
        <v>4797</v>
      </c>
    </row>
    <row r="1098" spans="1:13" ht="39.6">
      <c r="A1098" s="21" t="s">
        <v>4194</v>
      </c>
      <c r="B1098" s="21" t="s">
        <v>4197</v>
      </c>
      <c r="C1098" s="21" t="s">
        <v>4195</v>
      </c>
      <c r="D1098" s="21" t="s">
        <v>71</v>
      </c>
      <c r="E1098" s="22" t="s">
        <v>4196</v>
      </c>
      <c r="F1098" s="22" t="s">
        <v>4197</v>
      </c>
      <c r="G1098" s="21" t="s">
        <v>4198</v>
      </c>
      <c r="H1098" s="21" t="s">
        <v>4199</v>
      </c>
      <c r="I1098" s="12" t="s">
        <v>6454</v>
      </c>
      <c r="J1098" s="12" t="s">
        <v>7251</v>
      </c>
      <c r="K1098" s="12" t="s">
        <v>4799</v>
      </c>
      <c r="L1098" s="12" t="s">
        <v>4800</v>
      </c>
      <c r="M1098" s="12" t="s">
        <v>4799</v>
      </c>
    </row>
    <row r="1099" spans="1:13" ht="39.6">
      <c r="A1099" s="21" t="s">
        <v>4194</v>
      </c>
      <c r="B1099" s="21" t="s">
        <v>4197</v>
      </c>
      <c r="C1099" s="21" t="s">
        <v>4195</v>
      </c>
      <c r="D1099" s="21" t="s">
        <v>71</v>
      </c>
      <c r="E1099" s="22" t="s">
        <v>4196</v>
      </c>
      <c r="F1099" s="22" t="s">
        <v>4197</v>
      </c>
      <c r="G1099" s="21" t="s">
        <v>4198</v>
      </c>
      <c r="H1099" s="21" t="s">
        <v>4199</v>
      </c>
      <c r="I1099" s="12" t="s">
        <v>6455</v>
      </c>
      <c r="J1099" s="12" t="s">
        <v>7252</v>
      </c>
      <c r="K1099" s="12"/>
      <c r="L1099" s="12" t="s">
        <v>4801</v>
      </c>
      <c r="M1099" s="12" t="s">
        <v>4802</v>
      </c>
    </row>
    <row r="1100" spans="1:13" ht="92.4">
      <c r="A1100" s="21" t="s">
        <v>4194</v>
      </c>
      <c r="B1100" s="21" t="s">
        <v>4197</v>
      </c>
      <c r="C1100" s="21" t="s">
        <v>4195</v>
      </c>
      <c r="D1100" s="21" t="s">
        <v>71</v>
      </c>
      <c r="E1100" s="22" t="s">
        <v>4196</v>
      </c>
      <c r="F1100" s="22" t="s">
        <v>4197</v>
      </c>
      <c r="G1100" s="21" t="s">
        <v>4198</v>
      </c>
      <c r="H1100" s="21" t="s">
        <v>4199</v>
      </c>
      <c r="I1100" s="12" t="s">
        <v>6456</v>
      </c>
      <c r="J1100" s="12" t="s">
        <v>7253</v>
      </c>
      <c r="K1100" s="12" t="s">
        <v>4803</v>
      </c>
      <c r="L1100" s="12" t="s">
        <v>4804</v>
      </c>
      <c r="M1100" s="12" t="s">
        <v>4803</v>
      </c>
    </row>
    <row r="1101" spans="1:13" ht="66">
      <c r="A1101" s="21" t="s">
        <v>4194</v>
      </c>
      <c r="B1101" s="21" t="s">
        <v>4197</v>
      </c>
      <c r="C1101" s="21" t="s">
        <v>4195</v>
      </c>
      <c r="D1101" s="21" t="s">
        <v>71</v>
      </c>
      <c r="E1101" s="22" t="s">
        <v>4196</v>
      </c>
      <c r="F1101" s="22" t="s">
        <v>4197</v>
      </c>
      <c r="G1101" s="21" t="s">
        <v>4198</v>
      </c>
      <c r="H1101" s="21" t="s">
        <v>4199</v>
      </c>
      <c r="I1101" s="12" t="s">
        <v>6457</v>
      </c>
      <c r="J1101" s="12" t="s">
        <v>7254</v>
      </c>
      <c r="K1101" s="12" t="s">
        <v>4805</v>
      </c>
      <c r="L1101" s="12" t="s">
        <v>4806</v>
      </c>
      <c r="M1101" s="12" t="s">
        <v>4805</v>
      </c>
    </row>
    <row r="1102" spans="1:13" ht="52.8">
      <c r="A1102" s="21" t="s">
        <v>4194</v>
      </c>
      <c r="B1102" s="21" t="s">
        <v>4197</v>
      </c>
      <c r="C1102" s="21" t="s">
        <v>4195</v>
      </c>
      <c r="D1102" s="21" t="s">
        <v>71</v>
      </c>
      <c r="E1102" s="22" t="s">
        <v>4196</v>
      </c>
      <c r="F1102" s="22" t="s">
        <v>4197</v>
      </c>
      <c r="G1102" s="21" t="s">
        <v>4198</v>
      </c>
      <c r="H1102" s="21" t="s">
        <v>4199</v>
      </c>
      <c r="I1102" s="12" t="s">
        <v>6458</v>
      </c>
      <c r="J1102" s="12" t="s">
        <v>7255</v>
      </c>
      <c r="K1102" s="12" t="s">
        <v>4807</v>
      </c>
      <c r="L1102" s="12" t="s">
        <v>4808</v>
      </c>
      <c r="M1102" s="12" t="s">
        <v>4807</v>
      </c>
    </row>
    <row r="1103" spans="1:13" ht="39.6">
      <c r="A1103" s="21" t="s">
        <v>4194</v>
      </c>
      <c r="B1103" s="21" t="s">
        <v>4197</v>
      </c>
      <c r="C1103" s="21" t="s">
        <v>4195</v>
      </c>
      <c r="D1103" s="21" t="s">
        <v>71</v>
      </c>
      <c r="E1103" s="22" t="s">
        <v>4196</v>
      </c>
      <c r="F1103" s="22" t="s">
        <v>4197</v>
      </c>
      <c r="G1103" s="21" t="s">
        <v>4198</v>
      </c>
      <c r="H1103" s="21" t="s">
        <v>4199</v>
      </c>
      <c r="I1103" s="12" t="s">
        <v>6459</v>
      </c>
      <c r="J1103" s="12" t="s">
        <v>7256</v>
      </c>
      <c r="K1103" s="12" t="s">
        <v>4809</v>
      </c>
      <c r="L1103" s="12" t="s">
        <v>4810</v>
      </c>
      <c r="M1103" s="12" t="s">
        <v>4809</v>
      </c>
    </row>
    <row r="1104" spans="1:13" ht="66">
      <c r="A1104" s="21" t="s">
        <v>4194</v>
      </c>
      <c r="B1104" s="21" t="s">
        <v>4197</v>
      </c>
      <c r="C1104" s="21" t="s">
        <v>4195</v>
      </c>
      <c r="D1104" s="21" t="s">
        <v>71</v>
      </c>
      <c r="E1104" s="22" t="s">
        <v>4196</v>
      </c>
      <c r="F1104" s="22" t="s">
        <v>4197</v>
      </c>
      <c r="G1104" s="21" t="s">
        <v>4198</v>
      </c>
      <c r="H1104" s="21" t="s">
        <v>4199</v>
      </c>
      <c r="I1104" s="12" t="s">
        <v>6460</v>
      </c>
      <c r="J1104" s="12" t="s">
        <v>7257</v>
      </c>
      <c r="K1104" s="12" t="s">
        <v>4811</v>
      </c>
      <c r="L1104" s="12" t="s">
        <v>4812</v>
      </c>
      <c r="M1104" s="12" t="s">
        <v>4811</v>
      </c>
    </row>
    <row r="1105" spans="1:13" ht="39.6">
      <c r="A1105" s="21" t="s">
        <v>4194</v>
      </c>
      <c r="B1105" s="21" t="s">
        <v>4197</v>
      </c>
      <c r="C1105" s="21" t="s">
        <v>4195</v>
      </c>
      <c r="D1105" s="21" t="s">
        <v>71</v>
      </c>
      <c r="E1105" s="22" t="s">
        <v>4196</v>
      </c>
      <c r="F1105" s="22" t="s">
        <v>4197</v>
      </c>
      <c r="G1105" s="21" t="s">
        <v>4198</v>
      </c>
      <c r="H1105" s="21" t="s">
        <v>4199</v>
      </c>
      <c r="I1105" s="12" t="s">
        <v>6461</v>
      </c>
      <c r="J1105" s="12" t="s">
        <v>7258</v>
      </c>
      <c r="K1105" s="12" t="s">
        <v>4813</v>
      </c>
      <c r="L1105" s="12" t="s">
        <v>4814</v>
      </c>
      <c r="M1105" s="12" t="s">
        <v>4815</v>
      </c>
    </row>
    <row r="1106" spans="1:13" ht="39.6">
      <c r="A1106" s="21" t="s">
        <v>4194</v>
      </c>
      <c r="B1106" s="21" t="s">
        <v>4197</v>
      </c>
      <c r="C1106" s="21" t="s">
        <v>4195</v>
      </c>
      <c r="D1106" s="21" t="s">
        <v>71</v>
      </c>
      <c r="E1106" s="22" t="s">
        <v>4196</v>
      </c>
      <c r="F1106" s="22" t="s">
        <v>4197</v>
      </c>
      <c r="G1106" s="21" t="s">
        <v>4198</v>
      </c>
      <c r="H1106" s="21" t="s">
        <v>4199</v>
      </c>
      <c r="I1106" s="12" t="s">
        <v>6462</v>
      </c>
      <c r="J1106" s="12" t="s">
        <v>7259</v>
      </c>
      <c r="K1106" s="12" t="s">
        <v>4816</v>
      </c>
      <c r="L1106" s="12" t="s">
        <v>4817</v>
      </c>
      <c r="M1106" s="12" t="s">
        <v>4818</v>
      </c>
    </row>
    <row r="1107" spans="1:13" ht="39.6">
      <c r="A1107" s="21" t="s">
        <v>4194</v>
      </c>
      <c r="B1107" s="21" t="s">
        <v>4197</v>
      </c>
      <c r="C1107" s="21" t="s">
        <v>4195</v>
      </c>
      <c r="D1107" s="21" t="s">
        <v>71</v>
      </c>
      <c r="E1107" s="22" t="s">
        <v>4196</v>
      </c>
      <c r="F1107" s="22" t="s">
        <v>4197</v>
      </c>
      <c r="G1107" s="21" t="s">
        <v>4198</v>
      </c>
      <c r="H1107" s="21" t="s">
        <v>4199</v>
      </c>
      <c r="I1107" s="12" t="s">
        <v>6463</v>
      </c>
      <c r="J1107" s="12" t="s">
        <v>7260</v>
      </c>
      <c r="K1107" s="12"/>
      <c r="L1107" s="12" t="s">
        <v>4819</v>
      </c>
      <c r="M1107" s="12" t="s">
        <v>4820</v>
      </c>
    </row>
    <row r="1108" spans="1:13" ht="39.6">
      <c r="A1108" s="21" t="s">
        <v>4194</v>
      </c>
      <c r="B1108" s="21" t="s">
        <v>4197</v>
      </c>
      <c r="C1108" s="21" t="s">
        <v>4195</v>
      </c>
      <c r="D1108" s="21" t="s">
        <v>71</v>
      </c>
      <c r="E1108" s="22" t="s">
        <v>4196</v>
      </c>
      <c r="F1108" s="22" t="s">
        <v>4197</v>
      </c>
      <c r="G1108" s="21" t="s">
        <v>4198</v>
      </c>
      <c r="H1108" s="21" t="s">
        <v>4199</v>
      </c>
      <c r="I1108" s="12" t="s">
        <v>6464</v>
      </c>
      <c r="J1108" s="12" t="s">
        <v>7261</v>
      </c>
      <c r="K1108" s="12" t="s">
        <v>4821</v>
      </c>
      <c r="L1108" s="12" t="s">
        <v>4822</v>
      </c>
      <c r="M1108" s="12" t="s">
        <v>4821</v>
      </c>
    </row>
    <row r="1109" spans="1:13" ht="132">
      <c r="A1109" s="21" t="s">
        <v>4194</v>
      </c>
      <c r="B1109" s="21" t="s">
        <v>4197</v>
      </c>
      <c r="C1109" s="21" t="s">
        <v>4195</v>
      </c>
      <c r="D1109" s="21" t="s">
        <v>71</v>
      </c>
      <c r="E1109" s="22" t="s">
        <v>4196</v>
      </c>
      <c r="F1109" s="22" t="s">
        <v>4197</v>
      </c>
      <c r="G1109" s="21" t="s">
        <v>4198</v>
      </c>
      <c r="H1109" s="21" t="s">
        <v>4199</v>
      </c>
      <c r="I1109" s="12" t="s">
        <v>6465</v>
      </c>
      <c r="J1109" s="12" t="s">
        <v>7262</v>
      </c>
      <c r="K1109" s="12" t="s">
        <v>4823</v>
      </c>
      <c r="L1109" s="12" t="s">
        <v>4824</v>
      </c>
      <c r="M1109" s="12" t="s">
        <v>4823</v>
      </c>
    </row>
    <row r="1110" spans="1:13" ht="39.6">
      <c r="A1110" s="21" t="s">
        <v>4194</v>
      </c>
      <c r="B1110" s="21" t="s">
        <v>4197</v>
      </c>
      <c r="C1110" s="21" t="s">
        <v>4195</v>
      </c>
      <c r="D1110" s="21" t="s">
        <v>71</v>
      </c>
      <c r="E1110" s="22" t="s">
        <v>4196</v>
      </c>
      <c r="F1110" s="22" t="s">
        <v>4197</v>
      </c>
      <c r="G1110" s="21" t="s">
        <v>4198</v>
      </c>
      <c r="H1110" s="21" t="s">
        <v>4199</v>
      </c>
      <c r="I1110" s="12" t="s">
        <v>6466</v>
      </c>
      <c r="J1110" s="12" t="s">
        <v>7263</v>
      </c>
      <c r="K1110" s="12" t="s">
        <v>4825</v>
      </c>
      <c r="L1110" s="12" t="s">
        <v>4826</v>
      </c>
      <c r="M1110" s="12" t="s">
        <v>4827</v>
      </c>
    </row>
    <row r="1111" spans="1:13" ht="39.6">
      <c r="A1111" s="21" t="s">
        <v>4194</v>
      </c>
      <c r="B1111" s="21" t="s">
        <v>4197</v>
      </c>
      <c r="C1111" s="21" t="s">
        <v>4195</v>
      </c>
      <c r="D1111" s="21" t="s">
        <v>71</v>
      </c>
      <c r="E1111" s="22" t="s">
        <v>4196</v>
      </c>
      <c r="F1111" s="22" t="s">
        <v>4197</v>
      </c>
      <c r="G1111" s="21" t="s">
        <v>4198</v>
      </c>
      <c r="H1111" s="21" t="s">
        <v>4199</v>
      </c>
      <c r="I1111" s="12" t="s">
        <v>6467</v>
      </c>
      <c r="J1111" s="12" t="s">
        <v>7264</v>
      </c>
      <c r="K1111" s="12"/>
      <c r="L1111" s="12" t="s">
        <v>4828</v>
      </c>
      <c r="M1111" s="12" t="s">
        <v>4829</v>
      </c>
    </row>
    <row r="1112" spans="1:13" ht="105.6">
      <c r="A1112" s="21" t="s">
        <v>4194</v>
      </c>
      <c r="B1112" s="21" t="s">
        <v>4197</v>
      </c>
      <c r="C1112" s="21" t="s">
        <v>4195</v>
      </c>
      <c r="D1112" s="21" t="s">
        <v>71</v>
      </c>
      <c r="E1112" s="22" t="s">
        <v>4196</v>
      </c>
      <c r="F1112" s="22" t="s">
        <v>4197</v>
      </c>
      <c r="G1112" s="21" t="s">
        <v>4198</v>
      </c>
      <c r="H1112" s="21" t="s">
        <v>4199</v>
      </c>
      <c r="I1112" s="12" t="s">
        <v>2053</v>
      </c>
      <c r="J1112" s="12" t="s">
        <v>7265</v>
      </c>
      <c r="K1112" s="12" t="s">
        <v>4830</v>
      </c>
      <c r="L1112" s="12" t="s">
        <v>4831</v>
      </c>
      <c r="M1112" s="12" t="s">
        <v>4830</v>
      </c>
    </row>
    <row r="1113" spans="1:13" ht="52.8">
      <c r="A1113" s="21" t="s">
        <v>4194</v>
      </c>
      <c r="B1113" s="21" t="s">
        <v>4197</v>
      </c>
      <c r="C1113" s="21" t="s">
        <v>4195</v>
      </c>
      <c r="D1113" s="21" t="s">
        <v>71</v>
      </c>
      <c r="E1113" s="22" t="s">
        <v>4196</v>
      </c>
      <c r="F1113" s="22" t="s">
        <v>4197</v>
      </c>
      <c r="G1113" s="21" t="s">
        <v>4198</v>
      </c>
      <c r="H1113" s="21" t="s">
        <v>4199</v>
      </c>
      <c r="I1113" s="12" t="s">
        <v>4832</v>
      </c>
      <c r="J1113" s="12" t="s">
        <v>7266</v>
      </c>
      <c r="K1113" s="12" t="s">
        <v>4832</v>
      </c>
      <c r="L1113" s="12" t="s">
        <v>4833</v>
      </c>
      <c r="M1113" s="12" t="s">
        <v>4832</v>
      </c>
    </row>
    <row r="1114" spans="1:13" ht="39.6">
      <c r="A1114" s="21" t="s">
        <v>4194</v>
      </c>
      <c r="B1114" s="21" t="s">
        <v>4197</v>
      </c>
      <c r="C1114" s="21" t="s">
        <v>4195</v>
      </c>
      <c r="D1114" s="21" t="s">
        <v>71</v>
      </c>
      <c r="E1114" s="22" t="s">
        <v>4196</v>
      </c>
      <c r="F1114" s="22" t="s">
        <v>4197</v>
      </c>
      <c r="G1114" s="21" t="s">
        <v>4198</v>
      </c>
      <c r="H1114" s="21" t="s">
        <v>4199</v>
      </c>
      <c r="I1114" s="12" t="s">
        <v>6468</v>
      </c>
      <c r="J1114" s="12" t="s">
        <v>7267</v>
      </c>
      <c r="K1114" s="12" t="s">
        <v>4834</v>
      </c>
      <c r="L1114" s="12" t="s">
        <v>4835</v>
      </c>
      <c r="M1114" s="12" t="s">
        <v>4836</v>
      </c>
    </row>
    <row r="1115" spans="1:13" ht="39.6">
      <c r="A1115" s="21" t="s">
        <v>4194</v>
      </c>
      <c r="B1115" s="21" t="s">
        <v>4197</v>
      </c>
      <c r="C1115" s="21" t="s">
        <v>4195</v>
      </c>
      <c r="D1115" s="21" t="s">
        <v>71</v>
      </c>
      <c r="E1115" s="22" t="s">
        <v>4196</v>
      </c>
      <c r="F1115" s="22" t="s">
        <v>4197</v>
      </c>
      <c r="G1115" s="21" t="s">
        <v>4198</v>
      </c>
      <c r="H1115" s="21" t="s">
        <v>4199</v>
      </c>
      <c r="I1115" s="12" t="s">
        <v>6469</v>
      </c>
      <c r="J1115" s="12" t="s">
        <v>7268</v>
      </c>
      <c r="K1115" s="12" t="s">
        <v>4837</v>
      </c>
      <c r="L1115" s="12" t="s">
        <v>4838</v>
      </c>
      <c r="M1115" s="12" t="s">
        <v>4839</v>
      </c>
    </row>
    <row r="1116" spans="1:13" ht="39.6">
      <c r="A1116" s="21" t="s">
        <v>4194</v>
      </c>
      <c r="B1116" s="21" t="s">
        <v>4197</v>
      </c>
      <c r="C1116" s="21" t="s">
        <v>4195</v>
      </c>
      <c r="D1116" s="21" t="s">
        <v>71</v>
      </c>
      <c r="E1116" s="22" t="s">
        <v>4196</v>
      </c>
      <c r="F1116" s="22" t="s">
        <v>4197</v>
      </c>
      <c r="G1116" s="21" t="s">
        <v>4198</v>
      </c>
      <c r="H1116" s="21" t="s">
        <v>4199</v>
      </c>
      <c r="I1116" s="12" t="s">
        <v>6470</v>
      </c>
      <c r="J1116" s="12" t="s">
        <v>7269</v>
      </c>
      <c r="K1116" s="12" t="s">
        <v>4840</v>
      </c>
      <c r="L1116" s="12" t="s">
        <v>4841</v>
      </c>
      <c r="M1116" s="12" t="s">
        <v>4842</v>
      </c>
    </row>
    <row r="1117" spans="1:13" ht="39.6">
      <c r="A1117" s="21" t="s">
        <v>4194</v>
      </c>
      <c r="B1117" s="21" t="s">
        <v>4197</v>
      </c>
      <c r="C1117" s="21" t="s">
        <v>4195</v>
      </c>
      <c r="D1117" s="21" t="s">
        <v>71</v>
      </c>
      <c r="E1117" s="22" t="s">
        <v>4196</v>
      </c>
      <c r="F1117" s="22" t="s">
        <v>4197</v>
      </c>
      <c r="G1117" s="21" t="s">
        <v>4198</v>
      </c>
      <c r="H1117" s="21" t="s">
        <v>4199</v>
      </c>
      <c r="I1117" s="12" t="s">
        <v>6471</v>
      </c>
      <c r="J1117" s="12" t="s">
        <v>7270</v>
      </c>
      <c r="K1117" s="12" t="s">
        <v>4843</v>
      </c>
      <c r="L1117" s="12" t="s">
        <v>4844</v>
      </c>
      <c r="M1117" s="12" t="s">
        <v>4843</v>
      </c>
    </row>
    <row r="1118" spans="1:13" ht="132">
      <c r="A1118" s="21" t="s">
        <v>4194</v>
      </c>
      <c r="B1118" s="21" t="s">
        <v>4197</v>
      </c>
      <c r="C1118" s="21" t="s">
        <v>4195</v>
      </c>
      <c r="D1118" s="21" t="s">
        <v>71</v>
      </c>
      <c r="E1118" s="22" t="s">
        <v>4196</v>
      </c>
      <c r="F1118" s="22" t="s">
        <v>4197</v>
      </c>
      <c r="G1118" s="21" t="s">
        <v>4198</v>
      </c>
      <c r="H1118" s="21" t="s">
        <v>4199</v>
      </c>
      <c r="I1118" s="12" t="s">
        <v>6472</v>
      </c>
      <c r="J1118" s="12" t="s">
        <v>7271</v>
      </c>
      <c r="K1118" s="12" t="s">
        <v>4845</v>
      </c>
      <c r="L1118" s="12" t="s">
        <v>4846</v>
      </c>
      <c r="M1118" s="12" t="s">
        <v>4845</v>
      </c>
    </row>
    <row r="1119" spans="1:13" ht="39.6">
      <c r="A1119" s="21" t="s">
        <v>4194</v>
      </c>
      <c r="B1119" s="21" t="s">
        <v>4197</v>
      </c>
      <c r="C1119" s="21" t="s">
        <v>4195</v>
      </c>
      <c r="D1119" s="21" t="s">
        <v>71</v>
      </c>
      <c r="E1119" s="22" t="s">
        <v>4196</v>
      </c>
      <c r="F1119" s="22" t="s">
        <v>4197</v>
      </c>
      <c r="G1119" s="21" t="s">
        <v>4198</v>
      </c>
      <c r="H1119" s="21" t="s">
        <v>4199</v>
      </c>
      <c r="I1119" s="12" t="s">
        <v>6473</v>
      </c>
      <c r="J1119" s="12" t="s">
        <v>7272</v>
      </c>
      <c r="K1119" s="12" t="s">
        <v>4847</v>
      </c>
      <c r="L1119" s="12" t="s">
        <v>4848</v>
      </c>
      <c r="M1119" s="12" t="s">
        <v>4849</v>
      </c>
    </row>
    <row r="1120" spans="1:13" ht="39.6">
      <c r="A1120" s="21" t="s">
        <v>4194</v>
      </c>
      <c r="B1120" s="21" t="s">
        <v>4197</v>
      </c>
      <c r="C1120" s="21" t="s">
        <v>4195</v>
      </c>
      <c r="D1120" s="21" t="s">
        <v>71</v>
      </c>
      <c r="E1120" s="22" t="s">
        <v>4196</v>
      </c>
      <c r="F1120" s="22" t="s">
        <v>4197</v>
      </c>
      <c r="G1120" s="21" t="s">
        <v>4198</v>
      </c>
      <c r="H1120" s="21" t="s">
        <v>4199</v>
      </c>
      <c r="I1120" s="12" t="s">
        <v>6474</v>
      </c>
      <c r="J1120" s="12" t="s">
        <v>7273</v>
      </c>
      <c r="K1120" s="12" t="s">
        <v>4850</v>
      </c>
      <c r="L1120" s="12" t="s">
        <v>4851</v>
      </c>
      <c r="M1120" s="12" t="s">
        <v>4852</v>
      </c>
    </row>
    <row r="1121" spans="1:13" ht="39.6">
      <c r="A1121" s="21" t="s">
        <v>4194</v>
      </c>
      <c r="B1121" s="21" t="s">
        <v>4197</v>
      </c>
      <c r="C1121" s="21" t="s">
        <v>4195</v>
      </c>
      <c r="D1121" s="21" t="s">
        <v>71</v>
      </c>
      <c r="E1121" s="22" t="s">
        <v>4196</v>
      </c>
      <c r="F1121" s="22" t="s">
        <v>4197</v>
      </c>
      <c r="G1121" s="21" t="s">
        <v>4198</v>
      </c>
      <c r="H1121" s="21" t="s">
        <v>4199</v>
      </c>
      <c r="I1121" s="12" t="s">
        <v>6475</v>
      </c>
      <c r="J1121" s="12" t="s">
        <v>7274</v>
      </c>
      <c r="K1121" s="12" t="s">
        <v>4853</v>
      </c>
      <c r="L1121" s="12" t="s">
        <v>4854</v>
      </c>
      <c r="M1121" s="12" t="s">
        <v>4853</v>
      </c>
    </row>
    <row r="1122" spans="1:13" ht="39.6">
      <c r="A1122" s="21" t="s">
        <v>4194</v>
      </c>
      <c r="B1122" s="21" t="s">
        <v>4197</v>
      </c>
      <c r="C1122" s="21" t="s">
        <v>4195</v>
      </c>
      <c r="D1122" s="21" t="s">
        <v>71</v>
      </c>
      <c r="E1122" s="22" t="s">
        <v>4196</v>
      </c>
      <c r="F1122" s="22" t="s">
        <v>4197</v>
      </c>
      <c r="G1122" s="21" t="s">
        <v>4198</v>
      </c>
      <c r="H1122" s="21" t="s">
        <v>4199</v>
      </c>
      <c r="I1122" s="12" t="s">
        <v>6476</v>
      </c>
      <c r="J1122" s="12" t="s">
        <v>7275</v>
      </c>
      <c r="K1122" s="12" t="s">
        <v>4855</v>
      </c>
      <c r="L1122" s="12" t="s">
        <v>4856</v>
      </c>
      <c r="M1122" s="12" t="s">
        <v>4855</v>
      </c>
    </row>
    <row r="1123" spans="1:13" ht="39.6">
      <c r="A1123" s="21" t="s">
        <v>4194</v>
      </c>
      <c r="B1123" s="21" t="s">
        <v>4197</v>
      </c>
      <c r="C1123" s="21" t="s">
        <v>4195</v>
      </c>
      <c r="D1123" s="21" t="s">
        <v>71</v>
      </c>
      <c r="E1123" s="22" t="s">
        <v>4196</v>
      </c>
      <c r="F1123" s="22" t="s">
        <v>4197</v>
      </c>
      <c r="G1123" s="21" t="s">
        <v>4198</v>
      </c>
      <c r="H1123" s="21" t="s">
        <v>4199</v>
      </c>
      <c r="I1123" s="12" t="s">
        <v>6477</v>
      </c>
      <c r="J1123" s="12" t="s">
        <v>7276</v>
      </c>
      <c r="K1123" s="12" t="s">
        <v>4857</v>
      </c>
      <c r="L1123" s="12" t="s">
        <v>4858</v>
      </c>
      <c r="M1123" s="12" t="s">
        <v>4857</v>
      </c>
    </row>
    <row r="1124" spans="1:13" ht="39.6">
      <c r="A1124" s="21" t="s">
        <v>4194</v>
      </c>
      <c r="B1124" s="21" t="s">
        <v>4197</v>
      </c>
      <c r="C1124" s="21" t="s">
        <v>4195</v>
      </c>
      <c r="D1124" s="21" t="s">
        <v>71</v>
      </c>
      <c r="E1124" s="22" t="s">
        <v>4196</v>
      </c>
      <c r="F1124" s="22" t="s">
        <v>4197</v>
      </c>
      <c r="G1124" s="21" t="s">
        <v>4198</v>
      </c>
      <c r="H1124" s="21" t="s">
        <v>4199</v>
      </c>
      <c r="I1124" s="12" t="s">
        <v>6478</v>
      </c>
      <c r="J1124" s="12" t="s">
        <v>7277</v>
      </c>
      <c r="K1124" s="12" t="s">
        <v>4859</v>
      </c>
      <c r="L1124" s="12" t="s">
        <v>4860</v>
      </c>
      <c r="M1124" s="12" t="s">
        <v>4861</v>
      </c>
    </row>
    <row r="1125" spans="1:13" ht="39.6">
      <c r="A1125" s="21" t="s">
        <v>4194</v>
      </c>
      <c r="B1125" s="21" t="s">
        <v>4197</v>
      </c>
      <c r="C1125" s="21" t="s">
        <v>4195</v>
      </c>
      <c r="D1125" s="21" t="s">
        <v>71</v>
      </c>
      <c r="E1125" s="22" t="s">
        <v>4196</v>
      </c>
      <c r="F1125" s="22" t="s">
        <v>4197</v>
      </c>
      <c r="G1125" s="21" t="s">
        <v>4198</v>
      </c>
      <c r="H1125" s="21" t="s">
        <v>4199</v>
      </c>
      <c r="I1125" s="12" t="s">
        <v>6479</v>
      </c>
      <c r="J1125" s="12" t="s">
        <v>7278</v>
      </c>
      <c r="K1125" s="12" t="s">
        <v>4862</v>
      </c>
      <c r="L1125" s="12" t="s">
        <v>4863</v>
      </c>
      <c r="M1125" s="12" t="s">
        <v>4864</v>
      </c>
    </row>
    <row r="1126" spans="1:13" ht="39.6">
      <c r="A1126" s="21" t="s">
        <v>4194</v>
      </c>
      <c r="B1126" s="21" t="s">
        <v>4197</v>
      </c>
      <c r="C1126" s="21" t="s">
        <v>4195</v>
      </c>
      <c r="D1126" s="21" t="s">
        <v>71</v>
      </c>
      <c r="E1126" s="22" t="s">
        <v>4196</v>
      </c>
      <c r="F1126" s="22" t="s">
        <v>4197</v>
      </c>
      <c r="G1126" s="21" t="s">
        <v>4198</v>
      </c>
      <c r="H1126" s="21" t="s">
        <v>4199</v>
      </c>
      <c r="I1126" s="12" t="s">
        <v>6480</v>
      </c>
      <c r="J1126" s="12" t="s">
        <v>7279</v>
      </c>
      <c r="K1126" s="12" t="s">
        <v>4865</v>
      </c>
      <c r="L1126" s="12" t="s">
        <v>4866</v>
      </c>
      <c r="M1126" s="12" t="s">
        <v>4865</v>
      </c>
    </row>
    <row r="1127" spans="1:13" ht="39.6">
      <c r="A1127" s="21" t="s">
        <v>4194</v>
      </c>
      <c r="B1127" s="21" t="s">
        <v>4197</v>
      </c>
      <c r="C1127" s="21" t="s">
        <v>4195</v>
      </c>
      <c r="D1127" s="21" t="s">
        <v>71</v>
      </c>
      <c r="E1127" s="22" t="s">
        <v>4196</v>
      </c>
      <c r="F1127" s="22" t="s">
        <v>4197</v>
      </c>
      <c r="G1127" s="21" t="s">
        <v>4198</v>
      </c>
      <c r="H1127" s="21" t="s">
        <v>4199</v>
      </c>
      <c r="I1127" s="12" t="s">
        <v>6481</v>
      </c>
      <c r="J1127" s="12" t="s">
        <v>7280</v>
      </c>
      <c r="K1127" s="12" t="s">
        <v>4867</v>
      </c>
      <c r="L1127" s="12" t="s">
        <v>4868</v>
      </c>
      <c r="M1127" s="12" t="s">
        <v>4869</v>
      </c>
    </row>
    <row r="1128" spans="1:13" ht="39.6">
      <c r="A1128" s="21" t="s">
        <v>4194</v>
      </c>
      <c r="B1128" s="21" t="s">
        <v>4197</v>
      </c>
      <c r="C1128" s="21" t="s">
        <v>4195</v>
      </c>
      <c r="D1128" s="21" t="s">
        <v>71</v>
      </c>
      <c r="E1128" s="22" t="s">
        <v>4196</v>
      </c>
      <c r="F1128" s="22" t="s">
        <v>4197</v>
      </c>
      <c r="G1128" s="21" t="s">
        <v>4198</v>
      </c>
      <c r="H1128" s="21" t="s">
        <v>4199</v>
      </c>
      <c r="I1128" s="12" t="s">
        <v>6482</v>
      </c>
      <c r="J1128" s="12" t="s">
        <v>7281</v>
      </c>
      <c r="K1128" s="12" t="s">
        <v>4870</v>
      </c>
      <c r="L1128" s="12" t="s">
        <v>4871</v>
      </c>
      <c r="M1128" s="12" t="s">
        <v>4872</v>
      </c>
    </row>
    <row r="1129" spans="1:13" ht="52.8">
      <c r="A1129" s="21" t="s">
        <v>4194</v>
      </c>
      <c r="B1129" s="21" t="s">
        <v>4197</v>
      </c>
      <c r="C1129" s="21" t="s">
        <v>4195</v>
      </c>
      <c r="D1129" s="21" t="s">
        <v>71</v>
      </c>
      <c r="E1129" s="22" t="s">
        <v>4196</v>
      </c>
      <c r="F1129" s="22" t="s">
        <v>4197</v>
      </c>
      <c r="G1129" s="21" t="s">
        <v>4198</v>
      </c>
      <c r="H1129" s="21" t="s">
        <v>4199</v>
      </c>
      <c r="I1129" s="12" t="s">
        <v>6483</v>
      </c>
      <c r="J1129" s="12" t="s">
        <v>7282</v>
      </c>
      <c r="K1129" s="12" t="s">
        <v>4873</v>
      </c>
      <c r="L1129" s="12" t="s">
        <v>4874</v>
      </c>
      <c r="M1129" s="12" t="s">
        <v>4875</v>
      </c>
    </row>
    <row r="1130" spans="1:13" ht="39.6">
      <c r="A1130" s="21" t="s">
        <v>4194</v>
      </c>
      <c r="B1130" s="21" t="s">
        <v>4197</v>
      </c>
      <c r="C1130" s="21" t="s">
        <v>4195</v>
      </c>
      <c r="D1130" s="21" t="s">
        <v>71</v>
      </c>
      <c r="E1130" s="22" t="s">
        <v>4196</v>
      </c>
      <c r="F1130" s="22" t="s">
        <v>4197</v>
      </c>
      <c r="G1130" s="21" t="s">
        <v>4198</v>
      </c>
      <c r="H1130" s="21" t="s">
        <v>4199</v>
      </c>
      <c r="I1130" s="12" t="s">
        <v>6484</v>
      </c>
      <c r="J1130" s="12" t="s">
        <v>7283</v>
      </c>
      <c r="K1130" s="12" t="s">
        <v>4876</v>
      </c>
      <c r="L1130" s="12" t="s">
        <v>4877</v>
      </c>
      <c r="M1130" s="12" t="s">
        <v>4876</v>
      </c>
    </row>
    <row r="1131" spans="1:13" ht="39.6">
      <c r="A1131" s="21" t="s">
        <v>4194</v>
      </c>
      <c r="B1131" s="21" t="s">
        <v>4197</v>
      </c>
      <c r="C1131" s="21" t="s">
        <v>4195</v>
      </c>
      <c r="D1131" s="21" t="s">
        <v>71</v>
      </c>
      <c r="E1131" s="22" t="s">
        <v>4196</v>
      </c>
      <c r="F1131" s="22" t="s">
        <v>4197</v>
      </c>
      <c r="G1131" s="21" t="s">
        <v>4198</v>
      </c>
      <c r="H1131" s="21" t="s">
        <v>4199</v>
      </c>
      <c r="I1131" s="12" t="s">
        <v>6485</v>
      </c>
      <c r="J1131" s="12" t="s">
        <v>7284</v>
      </c>
      <c r="K1131" s="12" t="s">
        <v>4878</v>
      </c>
      <c r="L1131" s="12" t="s">
        <v>4879</v>
      </c>
      <c r="M1131" s="12" t="s">
        <v>4878</v>
      </c>
    </row>
    <row r="1132" spans="1:13" ht="39.6">
      <c r="A1132" s="21" t="s">
        <v>4194</v>
      </c>
      <c r="B1132" s="21" t="s">
        <v>4197</v>
      </c>
      <c r="C1132" s="21" t="s">
        <v>4195</v>
      </c>
      <c r="D1132" s="21" t="s">
        <v>71</v>
      </c>
      <c r="E1132" s="22" t="s">
        <v>4196</v>
      </c>
      <c r="F1132" s="22" t="s">
        <v>4197</v>
      </c>
      <c r="G1132" s="21" t="s">
        <v>4198</v>
      </c>
      <c r="H1132" s="21" t="s">
        <v>4199</v>
      </c>
      <c r="I1132" s="12" t="s">
        <v>6486</v>
      </c>
      <c r="J1132" s="12" t="s">
        <v>7285</v>
      </c>
      <c r="K1132" s="12" t="s">
        <v>4880</v>
      </c>
      <c r="L1132" s="12" t="s">
        <v>4881</v>
      </c>
      <c r="M1132" s="12" t="s">
        <v>4880</v>
      </c>
    </row>
    <row r="1133" spans="1:13" ht="39.6">
      <c r="A1133" s="21" t="s">
        <v>4194</v>
      </c>
      <c r="B1133" s="21" t="s">
        <v>4197</v>
      </c>
      <c r="C1133" s="21" t="s">
        <v>4195</v>
      </c>
      <c r="D1133" s="21" t="s">
        <v>71</v>
      </c>
      <c r="E1133" s="22" t="s">
        <v>4196</v>
      </c>
      <c r="F1133" s="22" t="s">
        <v>4197</v>
      </c>
      <c r="G1133" s="21" t="s">
        <v>4198</v>
      </c>
      <c r="H1133" s="21" t="s">
        <v>4199</v>
      </c>
      <c r="I1133" s="12" t="s">
        <v>6487</v>
      </c>
      <c r="J1133" s="12" t="s">
        <v>7286</v>
      </c>
      <c r="K1133" s="12" t="s">
        <v>4882</v>
      </c>
      <c r="L1133" s="12" t="s">
        <v>4883</v>
      </c>
      <c r="M1133" s="12" t="s">
        <v>4882</v>
      </c>
    </row>
    <row r="1134" spans="1:13" ht="39.6">
      <c r="A1134" s="21" t="s">
        <v>4194</v>
      </c>
      <c r="B1134" s="21" t="s">
        <v>4197</v>
      </c>
      <c r="C1134" s="21" t="s">
        <v>4195</v>
      </c>
      <c r="D1134" s="21" t="s">
        <v>71</v>
      </c>
      <c r="E1134" s="22" t="s">
        <v>4196</v>
      </c>
      <c r="F1134" s="22" t="s">
        <v>4197</v>
      </c>
      <c r="G1134" s="21" t="s">
        <v>4198</v>
      </c>
      <c r="H1134" s="21" t="s">
        <v>4199</v>
      </c>
      <c r="I1134" s="12" t="s">
        <v>6488</v>
      </c>
      <c r="J1134" s="12" t="s">
        <v>7287</v>
      </c>
      <c r="K1134" s="12" t="s">
        <v>4884</v>
      </c>
      <c r="L1134" s="12" t="s">
        <v>4885</v>
      </c>
      <c r="M1134" s="12" t="s">
        <v>4884</v>
      </c>
    </row>
    <row r="1135" spans="1:13" ht="39.6">
      <c r="A1135" s="21" t="s">
        <v>4194</v>
      </c>
      <c r="B1135" s="21" t="s">
        <v>4197</v>
      </c>
      <c r="C1135" s="21" t="s">
        <v>4195</v>
      </c>
      <c r="D1135" s="21" t="s">
        <v>71</v>
      </c>
      <c r="E1135" s="22" t="s">
        <v>4196</v>
      </c>
      <c r="F1135" s="22" t="s">
        <v>4197</v>
      </c>
      <c r="G1135" s="21" t="s">
        <v>4198</v>
      </c>
      <c r="H1135" s="21" t="s">
        <v>4199</v>
      </c>
      <c r="I1135" s="12" t="s">
        <v>6489</v>
      </c>
      <c r="J1135" s="12" t="s">
        <v>7288</v>
      </c>
      <c r="K1135" s="12" t="s">
        <v>4886</v>
      </c>
      <c r="L1135" s="12" t="s">
        <v>4887</v>
      </c>
      <c r="M1135" s="12" t="s">
        <v>4886</v>
      </c>
    </row>
    <row r="1136" spans="1:13" ht="39.6">
      <c r="A1136" s="21" t="s">
        <v>4194</v>
      </c>
      <c r="B1136" s="21" t="s">
        <v>4197</v>
      </c>
      <c r="C1136" s="21" t="s">
        <v>4195</v>
      </c>
      <c r="D1136" s="21" t="s">
        <v>71</v>
      </c>
      <c r="E1136" s="22" t="s">
        <v>4196</v>
      </c>
      <c r="F1136" s="22" t="s">
        <v>4197</v>
      </c>
      <c r="G1136" s="21" t="s">
        <v>4198</v>
      </c>
      <c r="H1136" s="21" t="s">
        <v>4199</v>
      </c>
      <c r="I1136" s="12" t="s">
        <v>6490</v>
      </c>
      <c r="J1136" s="12" t="s">
        <v>7289</v>
      </c>
      <c r="K1136" s="12" t="s">
        <v>4888</v>
      </c>
      <c r="L1136" s="12" t="s">
        <v>4889</v>
      </c>
      <c r="M1136" s="12" t="s">
        <v>4888</v>
      </c>
    </row>
    <row r="1137" spans="1:13" ht="39.6">
      <c r="A1137" s="21" t="s">
        <v>4194</v>
      </c>
      <c r="B1137" s="21" t="s">
        <v>4197</v>
      </c>
      <c r="C1137" s="21" t="s">
        <v>4195</v>
      </c>
      <c r="D1137" s="21" t="s">
        <v>71</v>
      </c>
      <c r="E1137" s="22" t="s">
        <v>4196</v>
      </c>
      <c r="F1137" s="22" t="s">
        <v>4197</v>
      </c>
      <c r="G1137" s="21" t="s">
        <v>4198</v>
      </c>
      <c r="H1137" s="21" t="s">
        <v>4199</v>
      </c>
      <c r="I1137" s="12" t="s">
        <v>6491</v>
      </c>
      <c r="J1137" s="12" t="s">
        <v>7290</v>
      </c>
      <c r="K1137" s="12" t="s">
        <v>4890</v>
      </c>
      <c r="L1137" s="12" t="s">
        <v>4891</v>
      </c>
      <c r="M1137" s="12" t="s">
        <v>4890</v>
      </c>
    </row>
    <row r="1138" spans="1:13" ht="39.6">
      <c r="A1138" s="21" t="s">
        <v>4194</v>
      </c>
      <c r="B1138" s="21" t="s">
        <v>4197</v>
      </c>
      <c r="C1138" s="21" t="s">
        <v>4195</v>
      </c>
      <c r="D1138" s="21" t="s">
        <v>71</v>
      </c>
      <c r="E1138" s="22" t="s">
        <v>4196</v>
      </c>
      <c r="F1138" s="22" t="s">
        <v>4197</v>
      </c>
      <c r="G1138" s="21" t="s">
        <v>4198</v>
      </c>
      <c r="H1138" s="21" t="s">
        <v>4199</v>
      </c>
      <c r="I1138" s="12" t="s">
        <v>6492</v>
      </c>
      <c r="J1138" s="12" t="s">
        <v>7291</v>
      </c>
      <c r="K1138" s="12" t="s">
        <v>4892</v>
      </c>
      <c r="L1138" s="12" t="s">
        <v>4893</v>
      </c>
      <c r="M1138" s="12" t="s">
        <v>4892</v>
      </c>
    </row>
    <row r="1139" spans="1:13" ht="52.8">
      <c r="A1139" s="21" t="s">
        <v>4194</v>
      </c>
      <c r="B1139" s="21" t="s">
        <v>4197</v>
      </c>
      <c r="C1139" s="21" t="s">
        <v>4195</v>
      </c>
      <c r="D1139" s="21" t="s">
        <v>71</v>
      </c>
      <c r="E1139" s="22" t="s">
        <v>4196</v>
      </c>
      <c r="F1139" s="22" t="s">
        <v>4197</v>
      </c>
      <c r="G1139" s="21" t="s">
        <v>4198</v>
      </c>
      <c r="H1139" s="21" t="s">
        <v>4199</v>
      </c>
      <c r="I1139" s="12" t="s">
        <v>6493</v>
      </c>
      <c r="J1139" s="12" t="s">
        <v>7292</v>
      </c>
      <c r="K1139" s="12" t="s">
        <v>4894</v>
      </c>
      <c r="L1139" s="12" t="s">
        <v>4895</v>
      </c>
      <c r="M1139" s="12" t="s">
        <v>4894</v>
      </c>
    </row>
    <row r="1140" spans="1:13" ht="39.6">
      <c r="A1140" s="21" t="s">
        <v>4194</v>
      </c>
      <c r="B1140" s="21" t="s">
        <v>4197</v>
      </c>
      <c r="C1140" s="21" t="s">
        <v>4195</v>
      </c>
      <c r="D1140" s="21" t="s">
        <v>71</v>
      </c>
      <c r="E1140" s="22" t="s">
        <v>4196</v>
      </c>
      <c r="F1140" s="22" t="s">
        <v>4197</v>
      </c>
      <c r="G1140" s="21" t="s">
        <v>4198</v>
      </c>
      <c r="H1140" s="21" t="s">
        <v>4199</v>
      </c>
      <c r="I1140" s="12" t="s">
        <v>6494</v>
      </c>
      <c r="J1140" s="12" t="s">
        <v>7293</v>
      </c>
      <c r="K1140" s="12" t="s">
        <v>4896</v>
      </c>
      <c r="L1140" s="12" t="s">
        <v>4897</v>
      </c>
      <c r="M1140" s="12" t="s">
        <v>4898</v>
      </c>
    </row>
    <row r="1141" spans="1:13" ht="79.2">
      <c r="A1141" s="21" t="s">
        <v>4194</v>
      </c>
      <c r="B1141" s="21" t="s">
        <v>4197</v>
      </c>
      <c r="C1141" s="21" t="s">
        <v>4195</v>
      </c>
      <c r="D1141" s="21" t="s">
        <v>71</v>
      </c>
      <c r="E1141" s="22" t="s">
        <v>4196</v>
      </c>
      <c r="F1141" s="22" t="s">
        <v>4197</v>
      </c>
      <c r="G1141" s="21" t="s">
        <v>4198</v>
      </c>
      <c r="H1141" s="21" t="s">
        <v>4199</v>
      </c>
      <c r="I1141" s="12" t="s">
        <v>6495</v>
      </c>
      <c r="J1141" s="12" t="s">
        <v>7294</v>
      </c>
      <c r="K1141" s="12" t="s">
        <v>4899</v>
      </c>
      <c r="L1141" s="12" t="s">
        <v>4900</v>
      </c>
      <c r="M1141" s="12" t="s">
        <v>4901</v>
      </c>
    </row>
    <row r="1142" spans="1:13" ht="39.6">
      <c r="A1142" s="21" t="s">
        <v>4194</v>
      </c>
      <c r="B1142" s="21" t="s">
        <v>4197</v>
      </c>
      <c r="C1142" s="21" t="s">
        <v>4195</v>
      </c>
      <c r="D1142" s="21" t="s">
        <v>71</v>
      </c>
      <c r="E1142" s="22" t="s">
        <v>4196</v>
      </c>
      <c r="F1142" s="22" t="s">
        <v>4197</v>
      </c>
      <c r="G1142" s="21" t="s">
        <v>4198</v>
      </c>
      <c r="H1142" s="21" t="s">
        <v>4199</v>
      </c>
      <c r="I1142" s="12" t="s">
        <v>6496</v>
      </c>
      <c r="J1142" s="12" t="s">
        <v>7295</v>
      </c>
      <c r="K1142" s="12" t="s">
        <v>4902</v>
      </c>
      <c r="L1142" s="12" t="s">
        <v>4903</v>
      </c>
      <c r="M1142" s="12" t="s">
        <v>4904</v>
      </c>
    </row>
    <row r="1143" spans="1:13" ht="39.6">
      <c r="A1143" s="21" t="s">
        <v>4194</v>
      </c>
      <c r="B1143" s="21" t="s">
        <v>4197</v>
      </c>
      <c r="C1143" s="21" t="s">
        <v>4195</v>
      </c>
      <c r="D1143" s="21" t="s">
        <v>71</v>
      </c>
      <c r="E1143" s="22" t="s">
        <v>4196</v>
      </c>
      <c r="F1143" s="22" t="s">
        <v>4197</v>
      </c>
      <c r="G1143" s="21" t="s">
        <v>4198</v>
      </c>
      <c r="H1143" s="21" t="s">
        <v>4199</v>
      </c>
      <c r="I1143" s="12" t="s">
        <v>6497</v>
      </c>
      <c r="J1143" s="12" t="s">
        <v>7296</v>
      </c>
      <c r="K1143" s="12" t="s">
        <v>4905</v>
      </c>
      <c r="L1143" s="12" t="s">
        <v>4906</v>
      </c>
      <c r="M1143" s="12" t="s">
        <v>4905</v>
      </c>
    </row>
    <row r="1144" spans="1:13" ht="66">
      <c r="A1144" s="21" t="s">
        <v>4194</v>
      </c>
      <c r="B1144" s="21" t="s">
        <v>4197</v>
      </c>
      <c r="C1144" s="21" t="s">
        <v>4195</v>
      </c>
      <c r="D1144" s="21" t="s">
        <v>71</v>
      </c>
      <c r="E1144" s="22" t="s">
        <v>4196</v>
      </c>
      <c r="F1144" s="22" t="s">
        <v>4197</v>
      </c>
      <c r="G1144" s="21" t="s">
        <v>4198</v>
      </c>
      <c r="H1144" s="21" t="s">
        <v>4199</v>
      </c>
      <c r="I1144" s="12" t="s">
        <v>6498</v>
      </c>
      <c r="J1144" s="12" t="s">
        <v>7297</v>
      </c>
      <c r="K1144" s="12" t="s">
        <v>4907</v>
      </c>
      <c r="L1144" s="12" t="s">
        <v>4908</v>
      </c>
      <c r="M1144" s="12" t="s">
        <v>4909</v>
      </c>
    </row>
    <row r="1145" spans="1:13" ht="66">
      <c r="A1145" s="21" t="s">
        <v>4194</v>
      </c>
      <c r="B1145" s="21" t="s">
        <v>4197</v>
      </c>
      <c r="C1145" s="21" t="s">
        <v>4195</v>
      </c>
      <c r="D1145" s="21" t="s">
        <v>71</v>
      </c>
      <c r="E1145" s="22" t="s">
        <v>4196</v>
      </c>
      <c r="F1145" s="22" t="s">
        <v>4197</v>
      </c>
      <c r="G1145" s="21" t="s">
        <v>4198</v>
      </c>
      <c r="H1145" s="21" t="s">
        <v>4199</v>
      </c>
      <c r="I1145" s="12" t="s">
        <v>6499</v>
      </c>
      <c r="J1145" s="12" t="s">
        <v>7298</v>
      </c>
      <c r="K1145" s="12" t="s">
        <v>4910</v>
      </c>
      <c r="L1145" s="12" t="s">
        <v>4911</v>
      </c>
      <c r="M1145" s="12" t="s">
        <v>4912</v>
      </c>
    </row>
    <row r="1146" spans="1:13" ht="105.6">
      <c r="A1146" s="21" t="s">
        <v>4194</v>
      </c>
      <c r="B1146" s="21" t="s">
        <v>4197</v>
      </c>
      <c r="C1146" s="21" t="s">
        <v>4195</v>
      </c>
      <c r="D1146" s="21" t="s">
        <v>71</v>
      </c>
      <c r="E1146" s="22" t="s">
        <v>4196</v>
      </c>
      <c r="F1146" s="22" t="s">
        <v>4197</v>
      </c>
      <c r="G1146" s="21" t="s">
        <v>4198</v>
      </c>
      <c r="H1146" s="21" t="s">
        <v>4199</v>
      </c>
      <c r="I1146" s="12" t="s">
        <v>6500</v>
      </c>
      <c r="J1146" s="12" t="s">
        <v>7299</v>
      </c>
      <c r="K1146" s="12" t="s">
        <v>4913</v>
      </c>
      <c r="L1146" s="12" t="s">
        <v>4914</v>
      </c>
      <c r="M1146" s="12" t="s">
        <v>4915</v>
      </c>
    </row>
    <row r="1147" spans="1:13" ht="66">
      <c r="A1147" s="21" t="s">
        <v>4194</v>
      </c>
      <c r="B1147" s="21" t="s">
        <v>4197</v>
      </c>
      <c r="C1147" s="21" t="s">
        <v>4195</v>
      </c>
      <c r="D1147" s="21" t="s">
        <v>71</v>
      </c>
      <c r="E1147" s="22" t="s">
        <v>4196</v>
      </c>
      <c r="F1147" s="22" t="s">
        <v>4197</v>
      </c>
      <c r="G1147" s="21" t="s">
        <v>4198</v>
      </c>
      <c r="H1147" s="21" t="s">
        <v>4199</v>
      </c>
      <c r="I1147" s="12" t="s">
        <v>6501</v>
      </c>
      <c r="J1147" s="12" t="s">
        <v>7300</v>
      </c>
      <c r="K1147" s="12" t="s">
        <v>4916</v>
      </c>
      <c r="L1147" s="12" t="s">
        <v>4917</v>
      </c>
      <c r="M1147" s="12" t="s">
        <v>4916</v>
      </c>
    </row>
    <row r="1148" spans="1:13" ht="39.6">
      <c r="A1148" s="21" t="s">
        <v>4194</v>
      </c>
      <c r="B1148" s="21" t="s">
        <v>4197</v>
      </c>
      <c r="C1148" s="21" t="s">
        <v>4195</v>
      </c>
      <c r="D1148" s="21" t="s">
        <v>71</v>
      </c>
      <c r="E1148" s="22" t="s">
        <v>4196</v>
      </c>
      <c r="F1148" s="22" t="s">
        <v>4197</v>
      </c>
      <c r="G1148" s="21" t="s">
        <v>4198</v>
      </c>
      <c r="H1148" s="21" t="s">
        <v>4199</v>
      </c>
      <c r="I1148" s="12" t="s">
        <v>6502</v>
      </c>
      <c r="J1148" s="12" t="s">
        <v>7301</v>
      </c>
      <c r="K1148" s="12" t="s">
        <v>4918</v>
      </c>
      <c r="L1148" s="12" t="s">
        <v>4919</v>
      </c>
      <c r="M1148" s="12" t="s">
        <v>4920</v>
      </c>
    </row>
    <row r="1149" spans="1:13" ht="39.6">
      <c r="A1149" s="21" t="s">
        <v>4194</v>
      </c>
      <c r="B1149" s="21" t="s">
        <v>4197</v>
      </c>
      <c r="C1149" s="21" t="s">
        <v>4195</v>
      </c>
      <c r="D1149" s="21" t="s">
        <v>71</v>
      </c>
      <c r="E1149" s="22" t="s">
        <v>4196</v>
      </c>
      <c r="F1149" s="22" t="s">
        <v>4197</v>
      </c>
      <c r="G1149" s="21" t="s">
        <v>4198</v>
      </c>
      <c r="H1149" s="21" t="s">
        <v>4199</v>
      </c>
      <c r="I1149" s="12" t="s">
        <v>6503</v>
      </c>
      <c r="J1149" s="12" t="s">
        <v>7302</v>
      </c>
      <c r="K1149" s="12" t="s">
        <v>4921</v>
      </c>
      <c r="L1149" s="12" t="s">
        <v>4922</v>
      </c>
      <c r="M1149" s="12" t="s">
        <v>4921</v>
      </c>
    </row>
    <row r="1150" spans="1:13" ht="39.6">
      <c r="A1150" s="21" t="s">
        <v>4194</v>
      </c>
      <c r="B1150" s="21" t="s">
        <v>4197</v>
      </c>
      <c r="C1150" s="21" t="s">
        <v>4195</v>
      </c>
      <c r="D1150" s="21" t="s">
        <v>71</v>
      </c>
      <c r="E1150" s="22" t="s">
        <v>4196</v>
      </c>
      <c r="F1150" s="22" t="s">
        <v>4197</v>
      </c>
      <c r="G1150" s="21" t="s">
        <v>4198</v>
      </c>
      <c r="H1150" s="21" t="s">
        <v>4199</v>
      </c>
      <c r="I1150" s="12" t="s">
        <v>6504</v>
      </c>
      <c r="J1150" s="12" t="s">
        <v>7303</v>
      </c>
      <c r="K1150" s="12" t="s">
        <v>4923</v>
      </c>
      <c r="L1150" s="12" t="s">
        <v>4924</v>
      </c>
      <c r="M1150" s="12" t="s">
        <v>4925</v>
      </c>
    </row>
    <row r="1151" spans="1:13" ht="39.6">
      <c r="A1151" s="21" t="s">
        <v>4194</v>
      </c>
      <c r="B1151" s="21" t="s">
        <v>4197</v>
      </c>
      <c r="C1151" s="21" t="s">
        <v>4195</v>
      </c>
      <c r="D1151" s="21" t="s">
        <v>71</v>
      </c>
      <c r="E1151" s="22" t="s">
        <v>4196</v>
      </c>
      <c r="F1151" s="22" t="s">
        <v>4197</v>
      </c>
      <c r="G1151" s="21" t="s">
        <v>4198</v>
      </c>
      <c r="H1151" s="21" t="s">
        <v>4199</v>
      </c>
      <c r="I1151" s="12" t="s">
        <v>6505</v>
      </c>
      <c r="J1151" s="12" t="s">
        <v>7304</v>
      </c>
      <c r="K1151" s="12"/>
      <c r="L1151" s="12" t="s">
        <v>4926</v>
      </c>
      <c r="M1151" s="12" t="s">
        <v>4927</v>
      </c>
    </row>
    <row r="1152" spans="1:13" ht="52.8">
      <c r="A1152" s="21" t="s">
        <v>4194</v>
      </c>
      <c r="B1152" s="21" t="s">
        <v>4197</v>
      </c>
      <c r="C1152" s="21" t="s">
        <v>4195</v>
      </c>
      <c r="D1152" s="21" t="s">
        <v>71</v>
      </c>
      <c r="E1152" s="22" t="s">
        <v>4196</v>
      </c>
      <c r="F1152" s="22" t="s">
        <v>4197</v>
      </c>
      <c r="G1152" s="21" t="s">
        <v>4198</v>
      </c>
      <c r="H1152" s="21" t="s">
        <v>4199</v>
      </c>
      <c r="I1152" s="12" t="s">
        <v>6506</v>
      </c>
      <c r="J1152" s="12" t="s">
        <v>7305</v>
      </c>
      <c r="K1152" s="12" t="s">
        <v>4928</v>
      </c>
      <c r="L1152" s="12" t="s">
        <v>4929</v>
      </c>
      <c r="M1152" s="12" t="s">
        <v>4928</v>
      </c>
    </row>
    <row r="1153" spans="1:13" ht="79.2">
      <c r="A1153" s="21" t="s">
        <v>4194</v>
      </c>
      <c r="B1153" s="21" t="s">
        <v>4197</v>
      </c>
      <c r="C1153" s="21" t="s">
        <v>4195</v>
      </c>
      <c r="D1153" s="21" t="s">
        <v>71</v>
      </c>
      <c r="E1153" s="22" t="s">
        <v>4196</v>
      </c>
      <c r="F1153" s="22" t="s">
        <v>4197</v>
      </c>
      <c r="G1153" s="21" t="s">
        <v>4198</v>
      </c>
      <c r="H1153" s="21" t="s">
        <v>4199</v>
      </c>
      <c r="I1153" s="12" t="s">
        <v>4930</v>
      </c>
      <c r="J1153" s="12" t="s">
        <v>7306</v>
      </c>
      <c r="K1153" s="12" t="s">
        <v>4930</v>
      </c>
      <c r="L1153" s="12" t="s">
        <v>4931</v>
      </c>
      <c r="M1153" s="12" t="s">
        <v>4930</v>
      </c>
    </row>
    <row r="1154" spans="1:13" ht="39.6">
      <c r="A1154" s="21" t="s">
        <v>4194</v>
      </c>
      <c r="B1154" s="21" t="s">
        <v>4197</v>
      </c>
      <c r="C1154" s="21" t="s">
        <v>4195</v>
      </c>
      <c r="D1154" s="21" t="s">
        <v>71</v>
      </c>
      <c r="E1154" s="22" t="s">
        <v>4196</v>
      </c>
      <c r="F1154" s="22" t="s">
        <v>4197</v>
      </c>
      <c r="G1154" s="21" t="s">
        <v>4198</v>
      </c>
      <c r="H1154" s="21" t="s">
        <v>4199</v>
      </c>
      <c r="I1154" s="12" t="s">
        <v>6507</v>
      </c>
      <c r="J1154" s="12" t="s">
        <v>7307</v>
      </c>
      <c r="K1154" s="12" t="s">
        <v>4932</v>
      </c>
      <c r="L1154" s="12" t="s">
        <v>4933</v>
      </c>
      <c r="M1154" s="12" t="s">
        <v>4932</v>
      </c>
    </row>
    <row r="1155" spans="1:13" ht="105.6">
      <c r="A1155" s="21" t="s">
        <v>4194</v>
      </c>
      <c r="B1155" s="21" t="s">
        <v>4197</v>
      </c>
      <c r="C1155" s="21" t="s">
        <v>4195</v>
      </c>
      <c r="D1155" s="21" t="s">
        <v>71</v>
      </c>
      <c r="E1155" s="22" t="s">
        <v>4196</v>
      </c>
      <c r="F1155" s="22" t="s">
        <v>4197</v>
      </c>
      <c r="G1155" s="21" t="s">
        <v>4198</v>
      </c>
      <c r="H1155" s="21" t="s">
        <v>4199</v>
      </c>
      <c r="I1155" s="12" t="s">
        <v>6508</v>
      </c>
      <c r="J1155" s="12" t="s">
        <v>7308</v>
      </c>
      <c r="K1155" s="12" t="s">
        <v>4934</v>
      </c>
      <c r="L1155" s="12" t="s">
        <v>4935</v>
      </c>
      <c r="M1155" s="12" t="s">
        <v>4936</v>
      </c>
    </row>
    <row r="1156" spans="1:13" ht="66">
      <c r="A1156" s="21" t="s">
        <v>4194</v>
      </c>
      <c r="B1156" s="21" t="s">
        <v>4197</v>
      </c>
      <c r="C1156" s="21" t="s">
        <v>4195</v>
      </c>
      <c r="D1156" s="21" t="s">
        <v>71</v>
      </c>
      <c r="E1156" s="22" t="s">
        <v>4196</v>
      </c>
      <c r="F1156" s="22" t="s">
        <v>4197</v>
      </c>
      <c r="G1156" s="21" t="s">
        <v>4198</v>
      </c>
      <c r="H1156" s="21" t="s">
        <v>4199</v>
      </c>
      <c r="I1156" s="12" t="s">
        <v>6509</v>
      </c>
      <c r="J1156" s="12" t="s">
        <v>7309</v>
      </c>
      <c r="K1156" s="12" t="s">
        <v>4937</v>
      </c>
      <c r="L1156" s="12" t="s">
        <v>4938</v>
      </c>
      <c r="M1156" s="12" t="s">
        <v>4939</v>
      </c>
    </row>
    <row r="1157" spans="1:13" ht="79.2">
      <c r="A1157" s="21" t="s">
        <v>4194</v>
      </c>
      <c r="B1157" s="21" t="s">
        <v>4197</v>
      </c>
      <c r="C1157" s="21" t="s">
        <v>4195</v>
      </c>
      <c r="D1157" s="21" t="s">
        <v>71</v>
      </c>
      <c r="E1157" s="22" t="s">
        <v>4196</v>
      </c>
      <c r="F1157" s="22" t="s">
        <v>4197</v>
      </c>
      <c r="G1157" s="21" t="s">
        <v>4198</v>
      </c>
      <c r="H1157" s="21" t="s">
        <v>4199</v>
      </c>
      <c r="I1157" s="12" t="s">
        <v>6510</v>
      </c>
      <c r="J1157" s="12" t="s">
        <v>7310</v>
      </c>
      <c r="K1157" s="12" t="s">
        <v>4940</v>
      </c>
      <c r="L1157" s="12" t="s">
        <v>4941</v>
      </c>
      <c r="M1157" s="12" t="s">
        <v>4942</v>
      </c>
    </row>
    <row r="1158" spans="1:13" ht="39.6">
      <c r="A1158" s="21" t="s">
        <v>4194</v>
      </c>
      <c r="B1158" s="21" t="s">
        <v>4197</v>
      </c>
      <c r="C1158" s="21" t="s">
        <v>4195</v>
      </c>
      <c r="D1158" s="21" t="s">
        <v>71</v>
      </c>
      <c r="E1158" s="22" t="s">
        <v>4196</v>
      </c>
      <c r="F1158" s="22" t="s">
        <v>4197</v>
      </c>
      <c r="G1158" s="21" t="s">
        <v>4198</v>
      </c>
      <c r="H1158" s="21" t="s">
        <v>4199</v>
      </c>
      <c r="I1158" s="12" t="s">
        <v>6511</v>
      </c>
      <c r="J1158" s="12" t="s">
        <v>7311</v>
      </c>
      <c r="K1158" s="12" t="s">
        <v>4943</v>
      </c>
      <c r="L1158" s="12" t="s">
        <v>4944</v>
      </c>
      <c r="M1158" s="12" t="s">
        <v>4945</v>
      </c>
    </row>
    <row r="1159" spans="1:13" ht="39.6">
      <c r="A1159" s="21" t="s">
        <v>4194</v>
      </c>
      <c r="B1159" s="21" t="s">
        <v>4197</v>
      </c>
      <c r="C1159" s="21" t="s">
        <v>4195</v>
      </c>
      <c r="D1159" s="21" t="s">
        <v>71</v>
      </c>
      <c r="E1159" s="22" t="s">
        <v>4196</v>
      </c>
      <c r="F1159" s="22" t="s">
        <v>4197</v>
      </c>
      <c r="G1159" s="21" t="s">
        <v>4198</v>
      </c>
      <c r="H1159" s="21" t="s">
        <v>4199</v>
      </c>
      <c r="I1159" s="12" t="s">
        <v>6512</v>
      </c>
      <c r="J1159" s="12" t="s">
        <v>7312</v>
      </c>
      <c r="K1159" s="12" t="s">
        <v>4946</v>
      </c>
      <c r="L1159" s="12" t="s">
        <v>4947</v>
      </c>
      <c r="M1159" s="12" t="s">
        <v>4948</v>
      </c>
    </row>
    <row r="1160" spans="1:13" ht="39.6">
      <c r="A1160" s="21" t="s">
        <v>4194</v>
      </c>
      <c r="B1160" s="21" t="s">
        <v>4197</v>
      </c>
      <c r="C1160" s="21" t="s">
        <v>4195</v>
      </c>
      <c r="D1160" s="21" t="s">
        <v>71</v>
      </c>
      <c r="E1160" s="22" t="s">
        <v>4196</v>
      </c>
      <c r="F1160" s="22" t="s">
        <v>4197</v>
      </c>
      <c r="G1160" s="21" t="s">
        <v>4198</v>
      </c>
      <c r="H1160" s="21" t="s">
        <v>4199</v>
      </c>
      <c r="I1160" s="12" t="s">
        <v>3507</v>
      </c>
      <c r="J1160" s="12" t="s">
        <v>7313</v>
      </c>
      <c r="K1160" s="12"/>
      <c r="L1160" s="12" t="s">
        <v>4949</v>
      </c>
      <c r="M1160" s="12" t="s">
        <v>4950</v>
      </c>
    </row>
    <row r="1161" spans="1:13" ht="39.6">
      <c r="A1161" s="21" t="s">
        <v>4194</v>
      </c>
      <c r="B1161" s="21" t="s">
        <v>4197</v>
      </c>
      <c r="C1161" s="21" t="s">
        <v>4195</v>
      </c>
      <c r="D1161" s="21" t="s">
        <v>71</v>
      </c>
      <c r="E1161" s="22" t="s">
        <v>4196</v>
      </c>
      <c r="F1161" s="22" t="s">
        <v>4197</v>
      </c>
      <c r="G1161" s="21" t="s">
        <v>4198</v>
      </c>
      <c r="H1161" s="21" t="s">
        <v>4199</v>
      </c>
      <c r="I1161" s="12" t="s">
        <v>6513</v>
      </c>
      <c r="J1161" s="12" t="s">
        <v>7314</v>
      </c>
      <c r="K1161" s="12" t="s">
        <v>4951</v>
      </c>
      <c r="L1161" s="12" t="s">
        <v>4952</v>
      </c>
      <c r="M1161" s="12" t="s">
        <v>4951</v>
      </c>
    </row>
    <row r="1162" spans="1:13" ht="66">
      <c r="A1162" s="21" t="s">
        <v>4194</v>
      </c>
      <c r="B1162" s="21" t="s">
        <v>4197</v>
      </c>
      <c r="C1162" s="21" t="s">
        <v>4195</v>
      </c>
      <c r="D1162" s="21" t="s">
        <v>71</v>
      </c>
      <c r="E1162" s="22" t="s">
        <v>4196</v>
      </c>
      <c r="F1162" s="22" t="s">
        <v>4197</v>
      </c>
      <c r="G1162" s="21" t="s">
        <v>4198</v>
      </c>
      <c r="H1162" s="21" t="s">
        <v>4199</v>
      </c>
      <c r="I1162" s="12" t="s">
        <v>6514</v>
      </c>
      <c r="J1162" s="12" t="s">
        <v>7315</v>
      </c>
      <c r="K1162" s="12"/>
      <c r="L1162" s="12" t="s">
        <v>4953</v>
      </c>
      <c r="M1162" s="12" t="s">
        <v>4954</v>
      </c>
    </row>
    <row r="1163" spans="1:13" ht="52.8">
      <c r="A1163" s="21" t="s">
        <v>4194</v>
      </c>
      <c r="B1163" s="21" t="s">
        <v>4197</v>
      </c>
      <c r="C1163" s="21" t="s">
        <v>4195</v>
      </c>
      <c r="D1163" s="21" t="s">
        <v>71</v>
      </c>
      <c r="E1163" s="22" t="s">
        <v>4196</v>
      </c>
      <c r="F1163" s="22" t="s">
        <v>4197</v>
      </c>
      <c r="G1163" s="21" t="s">
        <v>4198</v>
      </c>
      <c r="H1163" s="21" t="s">
        <v>4199</v>
      </c>
      <c r="I1163" s="12" t="s">
        <v>6515</v>
      </c>
      <c r="J1163" s="12" t="s">
        <v>7316</v>
      </c>
      <c r="K1163" s="12" t="s">
        <v>4955</v>
      </c>
      <c r="L1163" s="12" t="s">
        <v>4956</v>
      </c>
      <c r="M1163" s="12" t="s">
        <v>4957</v>
      </c>
    </row>
    <row r="1164" spans="1:13" ht="66">
      <c r="A1164" s="21" t="s">
        <v>4194</v>
      </c>
      <c r="B1164" s="21" t="s">
        <v>4197</v>
      </c>
      <c r="C1164" s="21" t="s">
        <v>4195</v>
      </c>
      <c r="D1164" s="21" t="s">
        <v>71</v>
      </c>
      <c r="E1164" s="22" t="s">
        <v>4196</v>
      </c>
      <c r="F1164" s="22" t="s">
        <v>4197</v>
      </c>
      <c r="G1164" s="21" t="s">
        <v>4198</v>
      </c>
      <c r="H1164" s="21" t="s">
        <v>4199</v>
      </c>
      <c r="I1164" s="12" t="s">
        <v>6516</v>
      </c>
      <c r="J1164" s="12" t="s">
        <v>7317</v>
      </c>
      <c r="K1164" s="12" t="s">
        <v>4958</v>
      </c>
      <c r="L1164" s="12" t="s">
        <v>4959</v>
      </c>
      <c r="M1164" s="12" t="s">
        <v>4960</v>
      </c>
    </row>
    <row r="1165" spans="1:13" ht="66">
      <c r="A1165" s="21" t="s">
        <v>4194</v>
      </c>
      <c r="B1165" s="21" t="s">
        <v>4197</v>
      </c>
      <c r="C1165" s="21" t="s">
        <v>4195</v>
      </c>
      <c r="D1165" s="21" t="s">
        <v>71</v>
      </c>
      <c r="E1165" s="22" t="s">
        <v>4196</v>
      </c>
      <c r="F1165" s="22" t="s">
        <v>4197</v>
      </c>
      <c r="G1165" s="21" t="s">
        <v>4198</v>
      </c>
      <c r="H1165" s="21" t="s">
        <v>4199</v>
      </c>
      <c r="I1165" s="12" t="s">
        <v>6517</v>
      </c>
      <c r="J1165" s="12" t="s">
        <v>7318</v>
      </c>
      <c r="K1165" s="12" t="s">
        <v>4961</v>
      </c>
      <c r="L1165" s="12" t="s">
        <v>4962</v>
      </c>
      <c r="M1165" s="12" t="s">
        <v>4963</v>
      </c>
    </row>
    <row r="1166" spans="1:13" ht="79.2">
      <c r="A1166" s="21" t="s">
        <v>4194</v>
      </c>
      <c r="B1166" s="21" t="s">
        <v>4197</v>
      </c>
      <c r="C1166" s="21" t="s">
        <v>4195</v>
      </c>
      <c r="D1166" s="21" t="s">
        <v>71</v>
      </c>
      <c r="E1166" s="22" t="s">
        <v>4196</v>
      </c>
      <c r="F1166" s="22" t="s">
        <v>4197</v>
      </c>
      <c r="G1166" s="21" t="s">
        <v>4198</v>
      </c>
      <c r="H1166" s="21" t="s">
        <v>4199</v>
      </c>
      <c r="I1166" s="12" t="s">
        <v>6518</v>
      </c>
      <c r="J1166" s="12" t="s">
        <v>7319</v>
      </c>
      <c r="K1166" s="12" t="s">
        <v>4964</v>
      </c>
      <c r="L1166" s="12" t="s">
        <v>4965</v>
      </c>
      <c r="M1166" s="12" t="s">
        <v>4966</v>
      </c>
    </row>
    <row r="1167" spans="1:13" ht="92.4">
      <c r="A1167" s="21" t="s">
        <v>4194</v>
      </c>
      <c r="B1167" s="21" t="s">
        <v>4197</v>
      </c>
      <c r="C1167" s="21" t="s">
        <v>4195</v>
      </c>
      <c r="D1167" s="21" t="s">
        <v>71</v>
      </c>
      <c r="E1167" s="22" t="s">
        <v>4196</v>
      </c>
      <c r="F1167" s="22" t="s">
        <v>4197</v>
      </c>
      <c r="G1167" s="21" t="s">
        <v>4198</v>
      </c>
      <c r="H1167" s="21" t="s">
        <v>4199</v>
      </c>
      <c r="I1167" s="12" t="s">
        <v>6519</v>
      </c>
      <c r="J1167" s="12" t="s">
        <v>7320</v>
      </c>
      <c r="K1167" s="12" t="s">
        <v>4967</v>
      </c>
      <c r="L1167" s="12" t="s">
        <v>4968</v>
      </c>
      <c r="M1167" s="12" t="s">
        <v>4967</v>
      </c>
    </row>
    <row r="1168" spans="1:13" ht="39.6">
      <c r="A1168" s="21" t="s">
        <v>4194</v>
      </c>
      <c r="B1168" s="21" t="s">
        <v>4197</v>
      </c>
      <c r="C1168" s="21" t="s">
        <v>4195</v>
      </c>
      <c r="D1168" s="21" t="s">
        <v>71</v>
      </c>
      <c r="E1168" s="22" t="s">
        <v>4196</v>
      </c>
      <c r="F1168" s="22" t="s">
        <v>4197</v>
      </c>
      <c r="G1168" s="21" t="s">
        <v>4198</v>
      </c>
      <c r="H1168" s="21" t="s">
        <v>4199</v>
      </c>
      <c r="I1168" s="12" t="s">
        <v>6520</v>
      </c>
      <c r="J1168" s="12" t="s">
        <v>7321</v>
      </c>
      <c r="K1168" s="12"/>
      <c r="L1168" s="12" t="s">
        <v>4969</v>
      </c>
      <c r="M1168" s="12" t="s">
        <v>4970</v>
      </c>
    </row>
    <row r="1169" spans="1:13" ht="39.6">
      <c r="A1169" s="21" t="s">
        <v>4194</v>
      </c>
      <c r="B1169" s="21" t="s">
        <v>4197</v>
      </c>
      <c r="C1169" s="21" t="s">
        <v>4195</v>
      </c>
      <c r="D1169" s="21" t="s">
        <v>71</v>
      </c>
      <c r="E1169" s="22" t="s">
        <v>4196</v>
      </c>
      <c r="F1169" s="22" t="s">
        <v>4197</v>
      </c>
      <c r="G1169" s="21" t="s">
        <v>4198</v>
      </c>
      <c r="H1169" s="21" t="s">
        <v>4199</v>
      </c>
      <c r="I1169" s="12" t="s">
        <v>6521</v>
      </c>
      <c r="J1169" s="12" t="s">
        <v>7322</v>
      </c>
      <c r="K1169" s="12" t="s">
        <v>4971</v>
      </c>
      <c r="L1169" s="12" t="s">
        <v>4972</v>
      </c>
      <c r="M1169" s="12" t="s">
        <v>4971</v>
      </c>
    </row>
    <row r="1170" spans="1:13" ht="39.6">
      <c r="A1170" s="21" t="s">
        <v>4194</v>
      </c>
      <c r="B1170" s="21" t="s">
        <v>4197</v>
      </c>
      <c r="C1170" s="21" t="s">
        <v>4195</v>
      </c>
      <c r="D1170" s="21" t="s">
        <v>71</v>
      </c>
      <c r="E1170" s="22" t="s">
        <v>4196</v>
      </c>
      <c r="F1170" s="22" t="s">
        <v>4197</v>
      </c>
      <c r="G1170" s="21" t="s">
        <v>4198</v>
      </c>
      <c r="H1170" s="21" t="s">
        <v>4199</v>
      </c>
      <c r="I1170" s="12" t="s">
        <v>6522</v>
      </c>
      <c r="J1170" s="12" t="s">
        <v>7323</v>
      </c>
      <c r="K1170" s="12" t="s">
        <v>4973</v>
      </c>
      <c r="L1170" s="12" t="s">
        <v>4974</v>
      </c>
      <c r="M1170" s="12" t="s">
        <v>4975</v>
      </c>
    </row>
    <row r="1171" spans="1:13" ht="39.6">
      <c r="A1171" s="21" t="s">
        <v>4194</v>
      </c>
      <c r="B1171" s="21" t="s">
        <v>4197</v>
      </c>
      <c r="C1171" s="21" t="s">
        <v>4195</v>
      </c>
      <c r="D1171" s="21" t="s">
        <v>71</v>
      </c>
      <c r="E1171" s="22" t="s">
        <v>4196</v>
      </c>
      <c r="F1171" s="22" t="s">
        <v>4197</v>
      </c>
      <c r="G1171" s="21" t="s">
        <v>4198</v>
      </c>
      <c r="H1171" s="21" t="s">
        <v>4199</v>
      </c>
      <c r="I1171" s="12" t="s">
        <v>6523</v>
      </c>
      <c r="J1171" s="12" t="s">
        <v>7324</v>
      </c>
      <c r="K1171" s="12" t="s">
        <v>4976</v>
      </c>
      <c r="L1171" s="12" t="s">
        <v>4977</v>
      </c>
      <c r="M1171" s="12" t="s">
        <v>4976</v>
      </c>
    </row>
    <row r="1172" spans="1:13" ht="39.6">
      <c r="A1172" s="21" t="s">
        <v>4194</v>
      </c>
      <c r="B1172" s="21" t="s">
        <v>4197</v>
      </c>
      <c r="C1172" s="21" t="s">
        <v>4195</v>
      </c>
      <c r="D1172" s="21" t="s">
        <v>71</v>
      </c>
      <c r="E1172" s="22" t="s">
        <v>4196</v>
      </c>
      <c r="F1172" s="22" t="s">
        <v>4197</v>
      </c>
      <c r="G1172" s="21" t="s">
        <v>4198</v>
      </c>
      <c r="H1172" s="21" t="s">
        <v>4199</v>
      </c>
      <c r="I1172" s="12" t="s">
        <v>6524</v>
      </c>
      <c r="J1172" s="12" t="s">
        <v>7325</v>
      </c>
      <c r="K1172" s="12" t="s">
        <v>4978</v>
      </c>
      <c r="L1172" s="12" t="s">
        <v>4979</v>
      </c>
      <c r="M1172" s="12" t="s">
        <v>4980</v>
      </c>
    </row>
    <row r="1173" spans="1:13" ht="39.6">
      <c r="A1173" s="21" t="s">
        <v>4194</v>
      </c>
      <c r="B1173" s="21" t="s">
        <v>4197</v>
      </c>
      <c r="C1173" s="21" t="s">
        <v>4195</v>
      </c>
      <c r="D1173" s="21" t="s">
        <v>71</v>
      </c>
      <c r="E1173" s="22" t="s">
        <v>4196</v>
      </c>
      <c r="F1173" s="22" t="s">
        <v>4197</v>
      </c>
      <c r="G1173" s="21" t="s">
        <v>4198</v>
      </c>
      <c r="H1173" s="21" t="s">
        <v>4199</v>
      </c>
      <c r="I1173" s="12" t="s">
        <v>6525</v>
      </c>
      <c r="J1173" s="12" t="s">
        <v>7326</v>
      </c>
      <c r="K1173" s="12" t="s">
        <v>4981</v>
      </c>
      <c r="L1173" s="12" t="s">
        <v>4982</v>
      </c>
      <c r="M1173" s="12" t="s">
        <v>4983</v>
      </c>
    </row>
    <row r="1174" spans="1:13" ht="39.6">
      <c r="A1174" s="21" t="s">
        <v>4194</v>
      </c>
      <c r="B1174" s="21" t="s">
        <v>4197</v>
      </c>
      <c r="C1174" s="21" t="s">
        <v>4195</v>
      </c>
      <c r="D1174" s="21" t="s">
        <v>71</v>
      </c>
      <c r="E1174" s="22" t="s">
        <v>4196</v>
      </c>
      <c r="F1174" s="22" t="s">
        <v>4197</v>
      </c>
      <c r="G1174" s="21" t="s">
        <v>4198</v>
      </c>
      <c r="H1174" s="21" t="s">
        <v>4199</v>
      </c>
      <c r="I1174" s="12" t="s">
        <v>6526</v>
      </c>
      <c r="J1174" s="12" t="s">
        <v>7327</v>
      </c>
      <c r="K1174" s="12"/>
      <c r="L1174" s="12" t="s">
        <v>4984</v>
      </c>
      <c r="M1174" s="12" t="s">
        <v>4985</v>
      </c>
    </row>
    <row r="1175" spans="1:13" ht="39.6">
      <c r="A1175" s="21" t="s">
        <v>4194</v>
      </c>
      <c r="B1175" s="21" t="s">
        <v>4197</v>
      </c>
      <c r="C1175" s="21" t="s">
        <v>4195</v>
      </c>
      <c r="D1175" s="21" t="s">
        <v>71</v>
      </c>
      <c r="E1175" s="22" t="s">
        <v>4196</v>
      </c>
      <c r="F1175" s="22" t="s">
        <v>4197</v>
      </c>
      <c r="G1175" s="21" t="s">
        <v>4198</v>
      </c>
      <c r="H1175" s="21" t="s">
        <v>4199</v>
      </c>
      <c r="I1175" s="12" t="s">
        <v>6527</v>
      </c>
      <c r="J1175" s="12" t="s">
        <v>7328</v>
      </c>
      <c r="K1175" s="12" t="s">
        <v>4986</v>
      </c>
      <c r="L1175" s="12" t="s">
        <v>4987</v>
      </c>
      <c r="M1175" s="12" t="s">
        <v>4988</v>
      </c>
    </row>
    <row r="1176" spans="1:13" ht="105.6">
      <c r="A1176" s="21" t="s">
        <v>4194</v>
      </c>
      <c r="B1176" s="21" t="s">
        <v>4197</v>
      </c>
      <c r="C1176" s="21" t="s">
        <v>4195</v>
      </c>
      <c r="D1176" s="21" t="s">
        <v>71</v>
      </c>
      <c r="E1176" s="22" t="s">
        <v>4196</v>
      </c>
      <c r="F1176" s="22" t="s">
        <v>4197</v>
      </c>
      <c r="G1176" s="21" t="s">
        <v>4198</v>
      </c>
      <c r="H1176" s="21" t="s">
        <v>4199</v>
      </c>
      <c r="I1176" s="12" t="s">
        <v>4989</v>
      </c>
      <c r="J1176" s="12" t="s">
        <v>7329</v>
      </c>
      <c r="K1176" s="12" t="s">
        <v>4989</v>
      </c>
      <c r="L1176" s="12" t="s">
        <v>4990</v>
      </c>
      <c r="M1176" s="12" t="s">
        <v>4989</v>
      </c>
    </row>
    <row r="1177" spans="1:13" ht="39.6">
      <c r="A1177" s="21" t="s">
        <v>4194</v>
      </c>
      <c r="B1177" s="21" t="s">
        <v>4197</v>
      </c>
      <c r="C1177" s="21" t="s">
        <v>4195</v>
      </c>
      <c r="D1177" s="21" t="s">
        <v>71</v>
      </c>
      <c r="E1177" s="22" t="s">
        <v>4196</v>
      </c>
      <c r="F1177" s="22" t="s">
        <v>4197</v>
      </c>
      <c r="G1177" s="21" t="s">
        <v>4198</v>
      </c>
      <c r="H1177" s="21" t="s">
        <v>4199</v>
      </c>
      <c r="I1177" s="12" t="s">
        <v>6528</v>
      </c>
      <c r="J1177" s="12" t="s">
        <v>7330</v>
      </c>
      <c r="K1177" s="12" t="s">
        <v>4991</v>
      </c>
      <c r="L1177" s="12" t="s">
        <v>4992</v>
      </c>
      <c r="M1177" s="12" t="s">
        <v>4991</v>
      </c>
    </row>
    <row r="1178" spans="1:13" ht="39.6">
      <c r="A1178" s="21" t="s">
        <v>4194</v>
      </c>
      <c r="B1178" s="21" t="s">
        <v>4197</v>
      </c>
      <c r="C1178" s="21" t="s">
        <v>4195</v>
      </c>
      <c r="D1178" s="21" t="s">
        <v>71</v>
      </c>
      <c r="E1178" s="22" t="s">
        <v>4196</v>
      </c>
      <c r="F1178" s="22" t="s">
        <v>4197</v>
      </c>
      <c r="G1178" s="21" t="s">
        <v>4198</v>
      </c>
      <c r="H1178" s="21" t="s">
        <v>4199</v>
      </c>
      <c r="I1178" s="12" t="s">
        <v>6529</v>
      </c>
      <c r="J1178" s="12" t="s">
        <v>7331</v>
      </c>
      <c r="K1178" s="12" t="s">
        <v>4993</v>
      </c>
      <c r="L1178" s="12" t="s">
        <v>4994</v>
      </c>
      <c r="M1178" s="12" t="s">
        <v>4993</v>
      </c>
    </row>
    <row r="1179" spans="1:13" ht="39.6">
      <c r="A1179" s="21" t="s">
        <v>4194</v>
      </c>
      <c r="B1179" s="21" t="s">
        <v>4197</v>
      </c>
      <c r="C1179" s="21" t="s">
        <v>4195</v>
      </c>
      <c r="D1179" s="21" t="s">
        <v>71</v>
      </c>
      <c r="E1179" s="22" t="s">
        <v>4196</v>
      </c>
      <c r="F1179" s="22" t="s">
        <v>4197</v>
      </c>
      <c r="G1179" s="21" t="s">
        <v>4198</v>
      </c>
      <c r="H1179" s="21" t="s">
        <v>4199</v>
      </c>
      <c r="I1179" s="12" t="s">
        <v>4997</v>
      </c>
      <c r="J1179" s="12" t="s">
        <v>7332</v>
      </c>
      <c r="K1179" s="12" t="s">
        <v>4995</v>
      </c>
      <c r="L1179" s="12" t="s">
        <v>4996</v>
      </c>
      <c r="M1179" s="12" t="s">
        <v>4997</v>
      </c>
    </row>
    <row r="1180" spans="1:13" ht="39.6">
      <c r="A1180" s="21" t="s">
        <v>4194</v>
      </c>
      <c r="B1180" s="21" t="s">
        <v>4197</v>
      </c>
      <c r="C1180" s="21" t="s">
        <v>4195</v>
      </c>
      <c r="D1180" s="21" t="s">
        <v>71</v>
      </c>
      <c r="E1180" s="22" t="s">
        <v>4196</v>
      </c>
      <c r="F1180" s="22" t="s">
        <v>4197</v>
      </c>
      <c r="G1180" s="21" t="s">
        <v>4198</v>
      </c>
      <c r="H1180" s="21" t="s">
        <v>4199</v>
      </c>
      <c r="I1180" s="12" t="s">
        <v>2029</v>
      </c>
      <c r="J1180" s="12" t="s">
        <v>2034</v>
      </c>
      <c r="K1180" s="12" t="s">
        <v>2040</v>
      </c>
      <c r="L1180" s="12" t="s">
        <v>2041</v>
      </c>
      <c r="M1180" s="12" t="s">
        <v>2042</v>
      </c>
    </row>
    <row r="1181" spans="1:13" ht="39.6">
      <c r="A1181" s="21" t="s">
        <v>4194</v>
      </c>
      <c r="B1181" s="21" t="s">
        <v>4197</v>
      </c>
      <c r="C1181" s="21" t="s">
        <v>4195</v>
      </c>
      <c r="D1181" s="21" t="s">
        <v>71</v>
      </c>
      <c r="E1181" s="22" t="s">
        <v>4196</v>
      </c>
      <c r="F1181" s="22" t="s">
        <v>4197</v>
      </c>
      <c r="G1181" s="21" t="s">
        <v>4198</v>
      </c>
      <c r="H1181" s="21" t="s">
        <v>4199</v>
      </c>
      <c r="I1181" s="12" t="s">
        <v>6530</v>
      </c>
      <c r="J1181" s="12" t="s">
        <v>7333</v>
      </c>
      <c r="K1181" s="12" t="s">
        <v>4998</v>
      </c>
      <c r="L1181" s="12" t="s">
        <v>4999</v>
      </c>
      <c r="M1181" s="12" t="s">
        <v>4998</v>
      </c>
    </row>
    <row r="1182" spans="1:13" ht="39.6">
      <c r="A1182" s="21" t="s">
        <v>4194</v>
      </c>
      <c r="B1182" s="21" t="s">
        <v>4197</v>
      </c>
      <c r="C1182" s="21" t="s">
        <v>4195</v>
      </c>
      <c r="D1182" s="21" t="s">
        <v>71</v>
      </c>
      <c r="E1182" s="22" t="s">
        <v>4196</v>
      </c>
      <c r="F1182" s="22" t="s">
        <v>4197</v>
      </c>
      <c r="G1182" s="21" t="s">
        <v>4198</v>
      </c>
      <c r="H1182" s="21" t="s">
        <v>4199</v>
      </c>
      <c r="I1182" s="12" t="s">
        <v>6531</v>
      </c>
      <c r="J1182" s="12" t="s">
        <v>7334</v>
      </c>
      <c r="K1182" s="12" t="s">
        <v>5000</v>
      </c>
      <c r="L1182" s="12" t="s">
        <v>5001</v>
      </c>
      <c r="M1182" s="12" t="s">
        <v>5002</v>
      </c>
    </row>
    <row r="1183" spans="1:13" ht="39.6">
      <c r="A1183" s="21" t="s">
        <v>4194</v>
      </c>
      <c r="B1183" s="21" t="s">
        <v>4197</v>
      </c>
      <c r="C1183" s="21" t="s">
        <v>4195</v>
      </c>
      <c r="D1183" s="21" t="s">
        <v>71</v>
      </c>
      <c r="E1183" s="22" t="s">
        <v>4196</v>
      </c>
      <c r="F1183" s="22" t="s">
        <v>4197</v>
      </c>
      <c r="G1183" s="21" t="s">
        <v>4198</v>
      </c>
      <c r="H1183" s="21" t="s">
        <v>4199</v>
      </c>
      <c r="I1183" s="12" t="s">
        <v>6532</v>
      </c>
      <c r="J1183" s="12" t="s">
        <v>7335</v>
      </c>
      <c r="K1183" s="12" t="s">
        <v>5003</v>
      </c>
      <c r="L1183" s="12" t="s">
        <v>5004</v>
      </c>
      <c r="M1183" s="12" t="s">
        <v>5005</v>
      </c>
    </row>
    <row r="1184" spans="1:13" ht="39.6">
      <c r="A1184" s="21" t="s">
        <v>4194</v>
      </c>
      <c r="B1184" s="21" t="s">
        <v>4197</v>
      </c>
      <c r="C1184" s="21" t="s">
        <v>4195</v>
      </c>
      <c r="D1184" s="21" t="s">
        <v>71</v>
      </c>
      <c r="E1184" s="22" t="s">
        <v>4196</v>
      </c>
      <c r="F1184" s="22" t="s">
        <v>4197</v>
      </c>
      <c r="G1184" s="21" t="s">
        <v>4198</v>
      </c>
      <c r="H1184" s="21" t="s">
        <v>4199</v>
      </c>
      <c r="I1184" s="12" t="s">
        <v>6533</v>
      </c>
      <c r="J1184" s="12" t="s">
        <v>7336</v>
      </c>
      <c r="K1184" s="12" t="s">
        <v>5006</v>
      </c>
      <c r="L1184" s="12" t="s">
        <v>5007</v>
      </c>
      <c r="M1184" s="12" t="s">
        <v>5008</v>
      </c>
    </row>
    <row r="1185" spans="1:13" ht="39.6">
      <c r="A1185" s="21" t="s">
        <v>4194</v>
      </c>
      <c r="B1185" s="21" t="s">
        <v>4197</v>
      </c>
      <c r="C1185" s="21" t="s">
        <v>4195</v>
      </c>
      <c r="D1185" s="21" t="s">
        <v>71</v>
      </c>
      <c r="E1185" s="22" t="s">
        <v>4196</v>
      </c>
      <c r="F1185" s="22" t="s">
        <v>4197</v>
      </c>
      <c r="G1185" s="21" t="s">
        <v>4198</v>
      </c>
      <c r="H1185" s="21" t="s">
        <v>4199</v>
      </c>
      <c r="I1185" s="12" t="s">
        <v>3518</v>
      </c>
      <c r="J1185" s="12" t="s">
        <v>7337</v>
      </c>
      <c r="K1185" s="12" t="s">
        <v>5009</v>
      </c>
      <c r="L1185" s="12" t="s">
        <v>5010</v>
      </c>
      <c r="M1185" s="12" t="s">
        <v>5009</v>
      </c>
    </row>
    <row r="1186" spans="1:13" ht="39.6">
      <c r="A1186" s="21" t="s">
        <v>4194</v>
      </c>
      <c r="B1186" s="21" t="s">
        <v>4197</v>
      </c>
      <c r="C1186" s="21" t="s">
        <v>4195</v>
      </c>
      <c r="D1186" s="21" t="s">
        <v>71</v>
      </c>
      <c r="E1186" s="22" t="s">
        <v>4196</v>
      </c>
      <c r="F1186" s="22" t="s">
        <v>4197</v>
      </c>
      <c r="G1186" s="21" t="s">
        <v>4198</v>
      </c>
      <c r="H1186" s="21" t="s">
        <v>4199</v>
      </c>
      <c r="I1186" s="12" t="s">
        <v>6534</v>
      </c>
      <c r="J1186" s="12" t="s">
        <v>7338</v>
      </c>
      <c r="K1186" s="12" t="s">
        <v>5011</v>
      </c>
      <c r="L1186" s="12" t="s">
        <v>5012</v>
      </c>
      <c r="M1186" s="12" t="s">
        <v>5011</v>
      </c>
    </row>
    <row r="1187" spans="1:13" ht="39.6">
      <c r="A1187" s="21" t="s">
        <v>4194</v>
      </c>
      <c r="B1187" s="21" t="s">
        <v>4197</v>
      </c>
      <c r="C1187" s="21" t="s">
        <v>4195</v>
      </c>
      <c r="D1187" s="21" t="s">
        <v>71</v>
      </c>
      <c r="E1187" s="22" t="s">
        <v>4196</v>
      </c>
      <c r="F1187" s="22" t="s">
        <v>4197</v>
      </c>
      <c r="G1187" s="21" t="s">
        <v>4198</v>
      </c>
      <c r="H1187" s="21" t="s">
        <v>4199</v>
      </c>
      <c r="I1187" s="12" t="s">
        <v>6535</v>
      </c>
      <c r="J1187" s="12" t="s">
        <v>7339</v>
      </c>
      <c r="K1187" s="12" t="s">
        <v>5013</v>
      </c>
      <c r="L1187" s="12" t="s">
        <v>5014</v>
      </c>
      <c r="M1187" s="12" t="s">
        <v>5013</v>
      </c>
    </row>
    <row r="1188" spans="1:13" ht="39.6">
      <c r="A1188" s="21" t="s">
        <v>4194</v>
      </c>
      <c r="B1188" s="21" t="s">
        <v>4197</v>
      </c>
      <c r="C1188" s="21" t="s">
        <v>4195</v>
      </c>
      <c r="D1188" s="21" t="s">
        <v>71</v>
      </c>
      <c r="E1188" s="22" t="s">
        <v>4196</v>
      </c>
      <c r="F1188" s="22" t="s">
        <v>4197</v>
      </c>
      <c r="G1188" s="21" t="s">
        <v>4198</v>
      </c>
      <c r="H1188" s="21" t="s">
        <v>4199</v>
      </c>
      <c r="I1188" s="12" t="s">
        <v>6536</v>
      </c>
      <c r="J1188" s="12" t="s">
        <v>7340</v>
      </c>
      <c r="K1188" s="12" t="s">
        <v>5015</v>
      </c>
      <c r="L1188" s="12" t="s">
        <v>5016</v>
      </c>
      <c r="M1188" s="12" t="s">
        <v>5015</v>
      </c>
    </row>
    <row r="1189" spans="1:13" ht="132">
      <c r="A1189" s="21" t="s">
        <v>4194</v>
      </c>
      <c r="B1189" s="21" t="s">
        <v>4197</v>
      </c>
      <c r="C1189" s="21" t="s">
        <v>4195</v>
      </c>
      <c r="D1189" s="21" t="s">
        <v>71</v>
      </c>
      <c r="E1189" s="22" t="s">
        <v>4196</v>
      </c>
      <c r="F1189" s="22" t="s">
        <v>4197</v>
      </c>
      <c r="G1189" s="21" t="s">
        <v>4198</v>
      </c>
      <c r="H1189" s="21" t="s">
        <v>4199</v>
      </c>
      <c r="I1189" s="12" t="s">
        <v>6537</v>
      </c>
      <c r="J1189" s="12" t="s">
        <v>7341</v>
      </c>
      <c r="K1189" s="12" t="s">
        <v>5017</v>
      </c>
      <c r="L1189" s="12" t="s">
        <v>5018</v>
      </c>
      <c r="M1189" s="12" t="s">
        <v>5019</v>
      </c>
    </row>
    <row r="1190" spans="1:13" ht="39.6">
      <c r="A1190" s="21" t="s">
        <v>4194</v>
      </c>
      <c r="B1190" s="21" t="s">
        <v>4197</v>
      </c>
      <c r="C1190" s="21" t="s">
        <v>4195</v>
      </c>
      <c r="D1190" s="21" t="s">
        <v>71</v>
      </c>
      <c r="E1190" s="22" t="s">
        <v>4196</v>
      </c>
      <c r="F1190" s="22" t="s">
        <v>4197</v>
      </c>
      <c r="G1190" s="21" t="s">
        <v>4198</v>
      </c>
      <c r="H1190" s="21" t="s">
        <v>4199</v>
      </c>
      <c r="I1190" s="12" t="s">
        <v>6538</v>
      </c>
      <c r="J1190" s="12" t="s">
        <v>7342</v>
      </c>
      <c r="K1190" s="12"/>
      <c r="L1190" s="12" t="s">
        <v>5020</v>
      </c>
      <c r="M1190" s="12" t="s">
        <v>5021</v>
      </c>
    </row>
    <row r="1191" spans="1:13" ht="39.6">
      <c r="A1191" s="21" t="s">
        <v>4194</v>
      </c>
      <c r="B1191" s="21" t="s">
        <v>4197</v>
      </c>
      <c r="C1191" s="21" t="s">
        <v>4195</v>
      </c>
      <c r="D1191" s="21" t="s">
        <v>71</v>
      </c>
      <c r="E1191" s="22" t="s">
        <v>4196</v>
      </c>
      <c r="F1191" s="22" t="s">
        <v>4197</v>
      </c>
      <c r="G1191" s="21" t="s">
        <v>4198</v>
      </c>
      <c r="H1191" s="21" t="s">
        <v>4199</v>
      </c>
      <c r="I1191" s="12" t="s">
        <v>6539</v>
      </c>
      <c r="J1191" s="12" t="s">
        <v>7343</v>
      </c>
      <c r="K1191" s="12"/>
      <c r="L1191" s="12" t="s">
        <v>5022</v>
      </c>
      <c r="M1191" s="12" t="s">
        <v>5023</v>
      </c>
    </row>
    <row r="1192" spans="1:13" ht="39.6">
      <c r="A1192" s="21" t="s">
        <v>4194</v>
      </c>
      <c r="B1192" s="21" t="s">
        <v>4197</v>
      </c>
      <c r="C1192" s="21" t="s">
        <v>4195</v>
      </c>
      <c r="D1192" s="21" t="s">
        <v>71</v>
      </c>
      <c r="E1192" s="22" t="s">
        <v>4196</v>
      </c>
      <c r="F1192" s="22" t="s">
        <v>4197</v>
      </c>
      <c r="G1192" s="21" t="s">
        <v>4198</v>
      </c>
      <c r="H1192" s="21" t="s">
        <v>4199</v>
      </c>
      <c r="I1192" s="12" t="s">
        <v>6540</v>
      </c>
      <c r="J1192" s="12" t="s">
        <v>7344</v>
      </c>
      <c r="K1192" s="12"/>
      <c r="L1192" s="12" t="s">
        <v>5024</v>
      </c>
      <c r="M1192" s="12" t="s">
        <v>5025</v>
      </c>
    </row>
    <row r="1193" spans="1:13" ht="39.6">
      <c r="A1193" s="21" t="s">
        <v>4194</v>
      </c>
      <c r="B1193" s="21" t="s">
        <v>4197</v>
      </c>
      <c r="C1193" s="21" t="s">
        <v>4195</v>
      </c>
      <c r="D1193" s="21" t="s">
        <v>71</v>
      </c>
      <c r="E1193" s="22" t="s">
        <v>4196</v>
      </c>
      <c r="F1193" s="22" t="s">
        <v>4197</v>
      </c>
      <c r="G1193" s="21" t="s">
        <v>4198</v>
      </c>
      <c r="H1193" s="21" t="s">
        <v>4199</v>
      </c>
      <c r="I1193" s="12" t="s">
        <v>6541</v>
      </c>
      <c r="J1193" s="12" t="s">
        <v>7345</v>
      </c>
      <c r="K1193" s="12" t="s">
        <v>5026</v>
      </c>
      <c r="L1193" s="12" t="s">
        <v>5027</v>
      </c>
      <c r="M1193" s="12" t="s">
        <v>5026</v>
      </c>
    </row>
    <row r="1194" spans="1:13" ht="39.6">
      <c r="A1194" s="21" t="s">
        <v>4194</v>
      </c>
      <c r="B1194" s="21" t="s">
        <v>4197</v>
      </c>
      <c r="C1194" s="21" t="s">
        <v>4195</v>
      </c>
      <c r="D1194" s="21" t="s">
        <v>71</v>
      </c>
      <c r="E1194" s="22" t="s">
        <v>4196</v>
      </c>
      <c r="F1194" s="22" t="s">
        <v>4197</v>
      </c>
      <c r="G1194" s="21" t="s">
        <v>4198</v>
      </c>
      <c r="H1194" s="21" t="s">
        <v>4199</v>
      </c>
      <c r="I1194" s="12" t="s">
        <v>5028</v>
      </c>
      <c r="J1194" s="12" t="s">
        <v>7346</v>
      </c>
      <c r="K1194" s="12" t="s">
        <v>5028</v>
      </c>
      <c r="L1194" s="12" t="s">
        <v>5029</v>
      </c>
      <c r="M1194" s="12" t="s">
        <v>5030</v>
      </c>
    </row>
    <row r="1195" spans="1:13" ht="66">
      <c r="A1195" s="21" t="s">
        <v>4194</v>
      </c>
      <c r="B1195" s="21" t="s">
        <v>4197</v>
      </c>
      <c r="C1195" s="21" t="s">
        <v>4195</v>
      </c>
      <c r="D1195" s="21" t="s">
        <v>71</v>
      </c>
      <c r="E1195" s="22" t="s">
        <v>4196</v>
      </c>
      <c r="F1195" s="22" t="s">
        <v>4197</v>
      </c>
      <c r="G1195" s="21" t="s">
        <v>4198</v>
      </c>
      <c r="H1195" s="21" t="s">
        <v>4199</v>
      </c>
      <c r="I1195" s="12" t="s">
        <v>6542</v>
      </c>
      <c r="J1195" s="12" t="s">
        <v>7347</v>
      </c>
      <c r="K1195" s="12" t="s">
        <v>5031</v>
      </c>
      <c r="L1195" s="12" t="s">
        <v>5032</v>
      </c>
      <c r="M1195" s="12" t="s">
        <v>5031</v>
      </c>
    </row>
    <row r="1196" spans="1:13" ht="52.8">
      <c r="A1196" s="21" t="s">
        <v>4194</v>
      </c>
      <c r="B1196" s="21" t="s">
        <v>4197</v>
      </c>
      <c r="C1196" s="21" t="s">
        <v>4195</v>
      </c>
      <c r="D1196" s="21" t="s">
        <v>71</v>
      </c>
      <c r="E1196" s="22" t="s">
        <v>4196</v>
      </c>
      <c r="F1196" s="22" t="s">
        <v>4197</v>
      </c>
      <c r="G1196" s="21" t="s">
        <v>4198</v>
      </c>
      <c r="H1196" s="21" t="s">
        <v>4199</v>
      </c>
      <c r="I1196" s="12" t="s">
        <v>6543</v>
      </c>
      <c r="J1196" s="12" t="s">
        <v>7348</v>
      </c>
      <c r="K1196" s="12" t="s">
        <v>5033</v>
      </c>
      <c r="L1196" s="12" t="s">
        <v>5034</v>
      </c>
      <c r="M1196" s="12" t="s">
        <v>5035</v>
      </c>
    </row>
    <row r="1197" spans="1:13" ht="39.6">
      <c r="A1197" s="21" t="s">
        <v>4194</v>
      </c>
      <c r="B1197" s="21" t="s">
        <v>4197</v>
      </c>
      <c r="C1197" s="21" t="s">
        <v>4195</v>
      </c>
      <c r="D1197" s="21" t="s">
        <v>71</v>
      </c>
      <c r="E1197" s="22" t="s">
        <v>4196</v>
      </c>
      <c r="F1197" s="22" t="s">
        <v>4197</v>
      </c>
      <c r="G1197" s="21" t="s">
        <v>4198</v>
      </c>
      <c r="H1197" s="21" t="s">
        <v>4199</v>
      </c>
      <c r="I1197" s="12" t="s">
        <v>6544</v>
      </c>
      <c r="J1197" s="12" t="s">
        <v>7349</v>
      </c>
      <c r="K1197" s="12" t="s">
        <v>5036</v>
      </c>
      <c r="L1197" s="12" t="s">
        <v>5037</v>
      </c>
      <c r="M1197" s="12" t="s">
        <v>5038</v>
      </c>
    </row>
    <row r="1198" spans="1:13" ht="39.6">
      <c r="A1198" s="21" t="s">
        <v>4194</v>
      </c>
      <c r="B1198" s="21" t="s">
        <v>4197</v>
      </c>
      <c r="C1198" s="21" t="s">
        <v>4195</v>
      </c>
      <c r="D1198" s="21" t="s">
        <v>71</v>
      </c>
      <c r="E1198" s="22" t="s">
        <v>4196</v>
      </c>
      <c r="F1198" s="22" t="s">
        <v>4197</v>
      </c>
      <c r="G1198" s="21" t="s">
        <v>4198</v>
      </c>
      <c r="H1198" s="21" t="s">
        <v>4199</v>
      </c>
      <c r="I1198" s="12" t="s">
        <v>6545</v>
      </c>
      <c r="J1198" s="12" t="s">
        <v>7350</v>
      </c>
      <c r="K1198" s="12" t="s">
        <v>5039</v>
      </c>
      <c r="L1198" s="12" t="s">
        <v>5040</v>
      </c>
      <c r="M1198" s="12" t="s">
        <v>5039</v>
      </c>
    </row>
    <row r="1199" spans="1:13" ht="66">
      <c r="A1199" s="21" t="s">
        <v>4194</v>
      </c>
      <c r="B1199" s="21" t="s">
        <v>4197</v>
      </c>
      <c r="C1199" s="21" t="s">
        <v>4195</v>
      </c>
      <c r="D1199" s="21" t="s">
        <v>71</v>
      </c>
      <c r="E1199" s="22" t="s">
        <v>4196</v>
      </c>
      <c r="F1199" s="22" t="s">
        <v>4197</v>
      </c>
      <c r="G1199" s="21" t="s">
        <v>4198</v>
      </c>
      <c r="H1199" s="21" t="s">
        <v>4199</v>
      </c>
      <c r="I1199" s="12" t="s">
        <v>6546</v>
      </c>
      <c r="J1199" s="12" t="s">
        <v>7351</v>
      </c>
      <c r="K1199" s="12" t="s">
        <v>5041</v>
      </c>
      <c r="L1199" s="12" t="s">
        <v>5042</v>
      </c>
      <c r="M1199" s="12" t="s">
        <v>5043</v>
      </c>
    </row>
    <row r="1200" spans="1:13" ht="39.6">
      <c r="A1200" s="21" t="s">
        <v>4194</v>
      </c>
      <c r="B1200" s="21" t="s">
        <v>4197</v>
      </c>
      <c r="C1200" s="21" t="s">
        <v>4195</v>
      </c>
      <c r="D1200" s="21" t="s">
        <v>71</v>
      </c>
      <c r="E1200" s="22" t="s">
        <v>4196</v>
      </c>
      <c r="F1200" s="22" t="s">
        <v>4197</v>
      </c>
      <c r="G1200" s="21" t="s">
        <v>4198</v>
      </c>
      <c r="H1200" s="21" t="s">
        <v>4199</v>
      </c>
      <c r="I1200" s="12" t="s">
        <v>6547</v>
      </c>
      <c r="J1200" s="12" t="s">
        <v>7352</v>
      </c>
      <c r="K1200" s="12"/>
      <c r="L1200" s="12" t="s">
        <v>5044</v>
      </c>
      <c r="M1200" s="12" t="s">
        <v>5045</v>
      </c>
    </row>
    <row r="1201" spans="1:13" ht="39.6">
      <c r="A1201" s="21" t="s">
        <v>4194</v>
      </c>
      <c r="B1201" s="21" t="s">
        <v>4197</v>
      </c>
      <c r="C1201" s="21" t="s">
        <v>4195</v>
      </c>
      <c r="D1201" s="21" t="s">
        <v>71</v>
      </c>
      <c r="E1201" s="22" t="s">
        <v>4196</v>
      </c>
      <c r="F1201" s="22" t="s">
        <v>4197</v>
      </c>
      <c r="G1201" s="21" t="s">
        <v>4198</v>
      </c>
      <c r="H1201" s="21" t="s">
        <v>4199</v>
      </c>
      <c r="I1201" s="12" t="s">
        <v>6548</v>
      </c>
      <c r="J1201" s="12" t="s">
        <v>7353</v>
      </c>
      <c r="K1201" s="12"/>
      <c r="L1201" s="12" t="s">
        <v>5046</v>
      </c>
      <c r="M1201" s="12" t="s">
        <v>5047</v>
      </c>
    </row>
    <row r="1202" spans="1:13" ht="39.6">
      <c r="A1202" s="21" t="s">
        <v>4194</v>
      </c>
      <c r="B1202" s="21" t="s">
        <v>4197</v>
      </c>
      <c r="C1202" s="21" t="s">
        <v>4195</v>
      </c>
      <c r="D1202" s="21" t="s">
        <v>71</v>
      </c>
      <c r="E1202" s="22" t="s">
        <v>4196</v>
      </c>
      <c r="F1202" s="22" t="s">
        <v>4197</v>
      </c>
      <c r="G1202" s="21" t="s">
        <v>4198</v>
      </c>
      <c r="H1202" s="21" t="s">
        <v>4199</v>
      </c>
      <c r="I1202" s="12" t="s">
        <v>6549</v>
      </c>
      <c r="J1202" s="12" t="s">
        <v>7354</v>
      </c>
      <c r="K1202" s="12" t="s">
        <v>5048</v>
      </c>
      <c r="L1202" s="12" t="s">
        <v>5049</v>
      </c>
      <c r="M1202" s="12" t="s">
        <v>5048</v>
      </c>
    </row>
    <row r="1203" spans="1:13" ht="39.6">
      <c r="A1203" s="21" t="s">
        <v>4194</v>
      </c>
      <c r="B1203" s="21" t="s">
        <v>4197</v>
      </c>
      <c r="C1203" s="21" t="s">
        <v>4195</v>
      </c>
      <c r="D1203" s="21" t="s">
        <v>71</v>
      </c>
      <c r="E1203" s="22" t="s">
        <v>4196</v>
      </c>
      <c r="F1203" s="22" t="s">
        <v>4197</v>
      </c>
      <c r="G1203" s="21" t="s">
        <v>4198</v>
      </c>
      <c r="H1203" s="21" t="s">
        <v>4199</v>
      </c>
      <c r="I1203" s="12" t="s">
        <v>6550</v>
      </c>
      <c r="J1203" s="12" t="s">
        <v>7355</v>
      </c>
      <c r="K1203" s="12" t="s">
        <v>5050</v>
      </c>
      <c r="L1203" s="12" t="s">
        <v>5051</v>
      </c>
      <c r="M1203" s="12" t="s">
        <v>5052</v>
      </c>
    </row>
    <row r="1204" spans="1:13" ht="105.6">
      <c r="A1204" s="21" t="s">
        <v>4194</v>
      </c>
      <c r="B1204" s="21" t="s">
        <v>4197</v>
      </c>
      <c r="C1204" s="21" t="s">
        <v>4195</v>
      </c>
      <c r="D1204" s="21" t="s">
        <v>71</v>
      </c>
      <c r="E1204" s="22" t="s">
        <v>4196</v>
      </c>
      <c r="F1204" s="22" t="s">
        <v>4197</v>
      </c>
      <c r="G1204" s="21" t="s">
        <v>4198</v>
      </c>
      <c r="H1204" s="21" t="s">
        <v>4199</v>
      </c>
      <c r="I1204" s="12" t="s">
        <v>5053</v>
      </c>
      <c r="J1204" s="12" t="s">
        <v>7356</v>
      </c>
      <c r="K1204" s="12" t="s">
        <v>5053</v>
      </c>
      <c r="L1204" s="12" t="s">
        <v>5054</v>
      </c>
      <c r="M1204" s="12" t="s">
        <v>5053</v>
      </c>
    </row>
    <row r="1205" spans="1:13" ht="118.8">
      <c r="A1205" s="21" t="s">
        <v>4194</v>
      </c>
      <c r="B1205" s="21" t="s">
        <v>4197</v>
      </c>
      <c r="C1205" s="21" t="s">
        <v>4195</v>
      </c>
      <c r="D1205" s="21" t="s">
        <v>71</v>
      </c>
      <c r="E1205" s="22" t="s">
        <v>4196</v>
      </c>
      <c r="F1205" s="22" t="s">
        <v>4197</v>
      </c>
      <c r="G1205" s="21" t="s">
        <v>4198</v>
      </c>
      <c r="H1205" s="21" t="s">
        <v>4199</v>
      </c>
      <c r="I1205" s="12" t="s">
        <v>6551</v>
      </c>
      <c r="J1205" s="12" t="s">
        <v>7357</v>
      </c>
      <c r="K1205" s="12" t="s">
        <v>5055</v>
      </c>
      <c r="L1205" s="12" t="s">
        <v>5056</v>
      </c>
      <c r="M1205" s="12" t="s">
        <v>5055</v>
      </c>
    </row>
    <row r="1206" spans="1:13" ht="52.8">
      <c r="A1206" s="21" t="s">
        <v>4194</v>
      </c>
      <c r="B1206" s="21" t="s">
        <v>4197</v>
      </c>
      <c r="C1206" s="21" t="s">
        <v>4195</v>
      </c>
      <c r="D1206" s="21" t="s">
        <v>71</v>
      </c>
      <c r="E1206" s="22" t="s">
        <v>4196</v>
      </c>
      <c r="F1206" s="22" t="s">
        <v>4197</v>
      </c>
      <c r="G1206" s="21" t="s">
        <v>4198</v>
      </c>
      <c r="H1206" s="21" t="s">
        <v>4199</v>
      </c>
      <c r="I1206" s="12" t="s">
        <v>6552</v>
      </c>
      <c r="J1206" s="12" t="s">
        <v>7358</v>
      </c>
      <c r="K1206" s="12"/>
      <c r="L1206" s="12" t="s">
        <v>5057</v>
      </c>
      <c r="M1206" s="12" t="s">
        <v>5058</v>
      </c>
    </row>
    <row r="1207" spans="1:13" ht="39.6">
      <c r="A1207" s="21" t="s">
        <v>4194</v>
      </c>
      <c r="B1207" s="21" t="s">
        <v>4197</v>
      </c>
      <c r="C1207" s="21" t="s">
        <v>4195</v>
      </c>
      <c r="D1207" s="21" t="s">
        <v>71</v>
      </c>
      <c r="E1207" s="22" t="s">
        <v>4196</v>
      </c>
      <c r="F1207" s="22" t="s">
        <v>4197</v>
      </c>
      <c r="G1207" s="21" t="s">
        <v>4198</v>
      </c>
      <c r="H1207" s="21" t="s">
        <v>4199</v>
      </c>
      <c r="I1207" s="12" t="s">
        <v>6553</v>
      </c>
      <c r="J1207" s="12" t="s">
        <v>7359</v>
      </c>
      <c r="K1207" s="12" t="s">
        <v>5059</v>
      </c>
      <c r="L1207" s="12" t="s">
        <v>5060</v>
      </c>
      <c r="M1207" s="12" t="s">
        <v>5059</v>
      </c>
    </row>
    <row r="1208" spans="1:13" ht="145.19999999999999">
      <c r="A1208" s="21" t="s">
        <v>4194</v>
      </c>
      <c r="B1208" s="21" t="s">
        <v>4197</v>
      </c>
      <c r="C1208" s="21" t="s">
        <v>4195</v>
      </c>
      <c r="D1208" s="21" t="s">
        <v>71</v>
      </c>
      <c r="E1208" s="22" t="s">
        <v>4196</v>
      </c>
      <c r="F1208" s="22" t="s">
        <v>4197</v>
      </c>
      <c r="G1208" s="21" t="s">
        <v>4198</v>
      </c>
      <c r="H1208" s="21" t="s">
        <v>4199</v>
      </c>
      <c r="I1208" s="12" t="s">
        <v>6554</v>
      </c>
      <c r="J1208" s="12" t="s">
        <v>7360</v>
      </c>
      <c r="K1208" s="12" t="s">
        <v>5061</v>
      </c>
      <c r="L1208" s="12" t="s">
        <v>5062</v>
      </c>
      <c r="M1208" s="12" t="s">
        <v>5061</v>
      </c>
    </row>
    <row r="1209" spans="1:13" ht="39.6">
      <c r="A1209" s="21" t="s">
        <v>4194</v>
      </c>
      <c r="B1209" s="21" t="s">
        <v>4197</v>
      </c>
      <c r="C1209" s="21" t="s">
        <v>4195</v>
      </c>
      <c r="D1209" s="21" t="s">
        <v>71</v>
      </c>
      <c r="E1209" s="22" t="s">
        <v>4196</v>
      </c>
      <c r="F1209" s="22" t="s">
        <v>4197</v>
      </c>
      <c r="G1209" s="21" t="s">
        <v>4198</v>
      </c>
      <c r="H1209" s="21" t="s">
        <v>4199</v>
      </c>
      <c r="I1209" s="12" t="s">
        <v>6555</v>
      </c>
      <c r="J1209" s="12" t="s">
        <v>7361</v>
      </c>
      <c r="K1209" s="12" t="s">
        <v>5063</v>
      </c>
      <c r="L1209" s="12" t="s">
        <v>5064</v>
      </c>
      <c r="M1209" s="12" t="s">
        <v>5063</v>
      </c>
    </row>
    <row r="1210" spans="1:13" ht="105.6">
      <c r="A1210" s="21" t="s">
        <v>4194</v>
      </c>
      <c r="B1210" s="21" t="s">
        <v>4197</v>
      </c>
      <c r="C1210" s="21" t="s">
        <v>4195</v>
      </c>
      <c r="D1210" s="21" t="s">
        <v>71</v>
      </c>
      <c r="E1210" s="22" t="s">
        <v>4196</v>
      </c>
      <c r="F1210" s="22" t="s">
        <v>4197</v>
      </c>
      <c r="G1210" s="21" t="s">
        <v>4198</v>
      </c>
      <c r="H1210" s="21" t="s">
        <v>4199</v>
      </c>
      <c r="I1210" s="12" t="s">
        <v>6556</v>
      </c>
      <c r="J1210" s="12" t="s">
        <v>7362</v>
      </c>
      <c r="K1210" s="12" t="s">
        <v>5065</v>
      </c>
      <c r="L1210" s="12" t="s">
        <v>5066</v>
      </c>
      <c r="M1210" s="12" t="s">
        <v>5067</v>
      </c>
    </row>
    <row r="1211" spans="1:13" ht="145.19999999999999">
      <c r="A1211" s="21" t="s">
        <v>4194</v>
      </c>
      <c r="B1211" s="21" t="s">
        <v>4197</v>
      </c>
      <c r="C1211" s="21" t="s">
        <v>4195</v>
      </c>
      <c r="D1211" s="21" t="s">
        <v>71</v>
      </c>
      <c r="E1211" s="22" t="s">
        <v>4196</v>
      </c>
      <c r="F1211" s="22" t="s">
        <v>4197</v>
      </c>
      <c r="G1211" s="21" t="s">
        <v>4198</v>
      </c>
      <c r="H1211" s="21" t="s">
        <v>4199</v>
      </c>
      <c r="I1211" s="12" t="s">
        <v>6557</v>
      </c>
      <c r="J1211" s="12" t="s">
        <v>7363</v>
      </c>
      <c r="K1211" s="12" t="s">
        <v>5068</v>
      </c>
      <c r="L1211" s="12" t="s">
        <v>5069</v>
      </c>
      <c r="M1211" s="12" t="s">
        <v>4600</v>
      </c>
    </row>
    <row r="1212" spans="1:13" ht="39.6">
      <c r="A1212" s="21" t="s">
        <v>4194</v>
      </c>
      <c r="B1212" s="21" t="s">
        <v>4197</v>
      </c>
      <c r="C1212" s="21" t="s">
        <v>4195</v>
      </c>
      <c r="D1212" s="21" t="s">
        <v>71</v>
      </c>
      <c r="E1212" s="22" t="s">
        <v>4196</v>
      </c>
      <c r="F1212" s="22" t="s">
        <v>4197</v>
      </c>
      <c r="G1212" s="21" t="s">
        <v>4198</v>
      </c>
      <c r="H1212" s="21" t="s">
        <v>4199</v>
      </c>
      <c r="I1212" s="12" t="s">
        <v>6558</v>
      </c>
      <c r="J1212" s="12" t="s">
        <v>7364</v>
      </c>
      <c r="K1212" s="12"/>
      <c r="L1212" s="12" t="s">
        <v>5070</v>
      </c>
      <c r="M1212" s="12" t="s">
        <v>5071</v>
      </c>
    </row>
    <row r="1213" spans="1:13" ht="39.6">
      <c r="A1213" s="21" t="s">
        <v>4194</v>
      </c>
      <c r="B1213" s="21" t="s">
        <v>4197</v>
      </c>
      <c r="C1213" s="21" t="s">
        <v>4195</v>
      </c>
      <c r="D1213" s="21" t="s">
        <v>71</v>
      </c>
      <c r="E1213" s="22" t="s">
        <v>4196</v>
      </c>
      <c r="F1213" s="22" t="s">
        <v>4197</v>
      </c>
      <c r="G1213" s="21" t="s">
        <v>4198</v>
      </c>
      <c r="H1213" s="21" t="s">
        <v>4199</v>
      </c>
      <c r="I1213" s="12" t="s">
        <v>6559</v>
      </c>
      <c r="J1213" s="12" t="s">
        <v>7365</v>
      </c>
      <c r="K1213" s="12" t="s">
        <v>5072</v>
      </c>
      <c r="L1213" s="12" t="s">
        <v>5073</v>
      </c>
      <c r="M1213" s="12" t="s">
        <v>5074</v>
      </c>
    </row>
    <row r="1214" spans="1:13" ht="39.6">
      <c r="A1214" s="21" t="s">
        <v>4194</v>
      </c>
      <c r="B1214" s="21" t="s">
        <v>4197</v>
      </c>
      <c r="C1214" s="21" t="s">
        <v>4195</v>
      </c>
      <c r="D1214" s="21" t="s">
        <v>71</v>
      </c>
      <c r="E1214" s="22" t="s">
        <v>4196</v>
      </c>
      <c r="F1214" s="22" t="s">
        <v>4197</v>
      </c>
      <c r="G1214" s="21" t="s">
        <v>4198</v>
      </c>
      <c r="H1214" s="21" t="s">
        <v>4199</v>
      </c>
      <c r="I1214" s="12" t="s">
        <v>6560</v>
      </c>
      <c r="J1214" s="12" t="s">
        <v>7366</v>
      </c>
      <c r="K1214" s="12" t="s">
        <v>5075</v>
      </c>
      <c r="L1214" s="12" t="s">
        <v>5076</v>
      </c>
      <c r="M1214" s="12" t="s">
        <v>5077</v>
      </c>
    </row>
    <row r="1215" spans="1:13" ht="52.8">
      <c r="A1215" s="21" t="s">
        <v>4194</v>
      </c>
      <c r="B1215" s="21" t="s">
        <v>4197</v>
      </c>
      <c r="C1215" s="21" t="s">
        <v>4195</v>
      </c>
      <c r="D1215" s="21" t="s">
        <v>71</v>
      </c>
      <c r="E1215" s="22" t="s">
        <v>4196</v>
      </c>
      <c r="F1215" s="22" t="s">
        <v>4197</v>
      </c>
      <c r="G1215" s="21" t="s">
        <v>4198</v>
      </c>
      <c r="H1215" s="21" t="s">
        <v>4199</v>
      </c>
      <c r="I1215" s="12" t="s">
        <v>6561</v>
      </c>
      <c r="J1215" s="12" t="s">
        <v>7367</v>
      </c>
      <c r="K1215" s="12" t="s">
        <v>5078</v>
      </c>
      <c r="L1215" s="12" t="s">
        <v>5079</v>
      </c>
      <c r="M1215" s="12" t="s">
        <v>5078</v>
      </c>
    </row>
    <row r="1216" spans="1:13" ht="39.6">
      <c r="A1216" s="21" t="s">
        <v>4194</v>
      </c>
      <c r="B1216" s="21" t="s">
        <v>4197</v>
      </c>
      <c r="C1216" s="21" t="s">
        <v>4195</v>
      </c>
      <c r="D1216" s="21" t="s">
        <v>71</v>
      </c>
      <c r="E1216" s="22" t="s">
        <v>4196</v>
      </c>
      <c r="F1216" s="22" t="s">
        <v>4197</v>
      </c>
      <c r="G1216" s="21" t="s">
        <v>4198</v>
      </c>
      <c r="H1216" s="21" t="s">
        <v>4199</v>
      </c>
      <c r="I1216" s="12" t="s">
        <v>6562</v>
      </c>
      <c r="J1216" s="12" t="s">
        <v>7368</v>
      </c>
      <c r="K1216" s="12"/>
      <c r="L1216" s="12" t="s">
        <v>5080</v>
      </c>
      <c r="M1216" s="12" t="s">
        <v>5081</v>
      </c>
    </row>
    <row r="1217" spans="1:13" ht="52.8">
      <c r="A1217" s="21" t="s">
        <v>4194</v>
      </c>
      <c r="B1217" s="21" t="s">
        <v>4197</v>
      </c>
      <c r="C1217" s="21" t="s">
        <v>4195</v>
      </c>
      <c r="D1217" s="21" t="s">
        <v>71</v>
      </c>
      <c r="E1217" s="22" t="s">
        <v>4196</v>
      </c>
      <c r="F1217" s="22" t="s">
        <v>4197</v>
      </c>
      <c r="G1217" s="21" t="s">
        <v>4198</v>
      </c>
      <c r="H1217" s="21" t="s">
        <v>4199</v>
      </c>
      <c r="I1217" s="12" t="s">
        <v>6563</v>
      </c>
      <c r="J1217" s="12" t="s">
        <v>7369</v>
      </c>
      <c r="K1217" s="12" t="s">
        <v>5082</v>
      </c>
      <c r="L1217" s="12" t="s">
        <v>5083</v>
      </c>
      <c r="M1217" s="12" t="s">
        <v>5082</v>
      </c>
    </row>
    <row r="1218" spans="1:13" ht="52.8">
      <c r="A1218" s="21" t="s">
        <v>4194</v>
      </c>
      <c r="B1218" s="21" t="s">
        <v>4197</v>
      </c>
      <c r="C1218" s="21" t="s">
        <v>4195</v>
      </c>
      <c r="D1218" s="21" t="s">
        <v>71</v>
      </c>
      <c r="E1218" s="22" t="s">
        <v>4196</v>
      </c>
      <c r="F1218" s="22" t="s">
        <v>4197</v>
      </c>
      <c r="G1218" s="21" t="s">
        <v>4198</v>
      </c>
      <c r="H1218" s="21" t="s">
        <v>4199</v>
      </c>
      <c r="I1218" s="12" t="s">
        <v>6564</v>
      </c>
      <c r="J1218" s="12" t="s">
        <v>7370</v>
      </c>
      <c r="K1218" s="12" t="s">
        <v>5084</v>
      </c>
      <c r="L1218" s="12" t="s">
        <v>5085</v>
      </c>
      <c r="M1218" s="12" t="s">
        <v>5086</v>
      </c>
    </row>
    <row r="1219" spans="1:13" ht="39.6">
      <c r="A1219" s="21" t="s">
        <v>4194</v>
      </c>
      <c r="B1219" s="21" t="s">
        <v>4197</v>
      </c>
      <c r="C1219" s="21" t="s">
        <v>4195</v>
      </c>
      <c r="D1219" s="21" t="s">
        <v>71</v>
      </c>
      <c r="E1219" s="22" t="s">
        <v>4196</v>
      </c>
      <c r="F1219" s="22" t="s">
        <v>4197</v>
      </c>
      <c r="G1219" s="21" t="s">
        <v>4198</v>
      </c>
      <c r="H1219" s="21" t="s">
        <v>4199</v>
      </c>
      <c r="I1219" s="12" t="s">
        <v>6565</v>
      </c>
      <c r="J1219" s="12" t="s">
        <v>7371</v>
      </c>
      <c r="K1219" s="12" t="s">
        <v>5087</v>
      </c>
      <c r="L1219" s="12" t="s">
        <v>5088</v>
      </c>
      <c r="M1219" s="12" t="s">
        <v>5087</v>
      </c>
    </row>
    <row r="1220" spans="1:13" ht="39.6">
      <c r="A1220" s="21" t="s">
        <v>4194</v>
      </c>
      <c r="B1220" s="21" t="s">
        <v>4197</v>
      </c>
      <c r="C1220" s="21" t="s">
        <v>4195</v>
      </c>
      <c r="D1220" s="21" t="s">
        <v>71</v>
      </c>
      <c r="E1220" s="22" t="s">
        <v>4196</v>
      </c>
      <c r="F1220" s="22" t="s">
        <v>4197</v>
      </c>
      <c r="G1220" s="21" t="s">
        <v>4198</v>
      </c>
      <c r="H1220" s="21" t="s">
        <v>4199</v>
      </c>
      <c r="I1220" s="12" t="s">
        <v>6566</v>
      </c>
      <c r="J1220" s="12" t="s">
        <v>7372</v>
      </c>
      <c r="K1220" s="12" t="s">
        <v>5089</v>
      </c>
      <c r="L1220" s="12" t="s">
        <v>5090</v>
      </c>
      <c r="M1220" s="12" t="s">
        <v>5091</v>
      </c>
    </row>
    <row r="1221" spans="1:13" ht="52.8">
      <c r="A1221" s="21" t="s">
        <v>4194</v>
      </c>
      <c r="B1221" s="21" t="s">
        <v>4197</v>
      </c>
      <c r="C1221" s="21" t="s">
        <v>4195</v>
      </c>
      <c r="D1221" s="21" t="s">
        <v>71</v>
      </c>
      <c r="E1221" s="22" t="s">
        <v>4196</v>
      </c>
      <c r="F1221" s="22" t="s">
        <v>4197</v>
      </c>
      <c r="G1221" s="21" t="s">
        <v>4198</v>
      </c>
      <c r="H1221" s="21" t="s">
        <v>4199</v>
      </c>
      <c r="I1221" s="12" t="s">
        <v>6567</v>
      </c>
      <c r="J1221" s="12" t="s">
        <v>7373</v>
      </c>
      <c r="K1221" s="12" t="s">
        <v>5092</v>
      </c>
      <c r="L1221" s="12" t="s">
        <v>5093</v>
      </c>
      <c r="M1221" s="12" t="s">
        <v>5094</v>
      </c>
    </row>
    <row r="1222" spans="1:13" ht="39.6">
      <c r="A1222" s="21" t="s">
        <v>4194</v>
      </c>
      <c r="B1222" s="21" t="s">
        <v>4197</v>
      </c>
      <c r="C1222" s="21" t="s">
        <v>4195</v>
      </c>
      <c r="D1222" s="21" t="s">
        <v>71</v>
      </c>
      <c r="E1222" s="22" t="s">
        <v>4196</v>
      </c>
      <c r="F1222" s="22" t="s">
        <v>4197</v>
      </c>
      <c r="G1222" s="21" t="s">
        <v>4198</v>
      </c>
      <c r="H1222" s="21" t="s">
        <v>4199</v>
      </c>
      <c r="I1222" s="12" t="s">
        <v>3543</v>
      </c>
      <c r="J1222" s="12" t="s">
        <v>7374</v>
      </c>
      <c r="K1222" s="12" t="s">
        <v>5095</v>
      </c>
      <c r="L1222" s="12" t="s">
        <v>5096</v>
      </c>
      <c r="M1222" s="12" t="s">
        <v>5095</v>
      </c>
    </row>
    <row r="1223" spans="1:13" ht="39.6">
      <c r="A1223" s="21" t="s">
        <v>4194</v>
      </c>
      <c r="B1223" s="21" t="s">
        <v>4197</v>
      </c>
      <c r="C1223" s="21" t="s">
        <v>4195</v>
      </c>
      <c r="D1223" s="21" t="s">
        <v>71</v>
      </c>
      <c r="E1223" s="22" t="s">
        <v>4196</v>
      </c>
      <c r="F1223" s="22" t="s">
        <v>4197</v>
      </c>
      <c r="G1223" s="21" t="s">
        <v>4198</v>
      </c>
      <c r="H1223" s="21" t="s">
        <v>4199</v>
      </c>
      <c r="I1223" s="12" t="s">
        <v>6568</v>
      </c>
      <c r="J1223" s="12" t="s">
        <v>7375</v>
      </c>
      <c r="K1223" s="12" t="s">
        <v>5097</v>
      </c>
      <c r="L1223" s="12" t="s">
        <v>5098</v>
      </c>
      <c r="M1223" s="12" t="s">
        <v>5099</v>
      </c>
    </row>
    <row r="1224" spans="1:13" ht="39.6">
      <c r="A1224" s="21" t="s">
        <v>4194</v>
      </c>
      <c r="B1224" s="21" t="s">
        <v>4197</v>
      </c>
      <c r="C1224" s="21" t="s">
        <v>4195</v>
      </c>
      <c r="D1224" s="21" t="s">
        <v>71</v>
      </c>
      <c r="E1224" s="22" t="s">
        <v>4196</v>
      </c>
      <c r="F1224" s="22" t="s">
        <v>4197</v>
      </c>
      <c r="G1224" s="21" t="s">
        <v>4198</v>
      </c>
      <c r="H1224" s="21" t="s">
        <v>4199</v>
      </c>
      <c r="I1224" s="12" t="s">
        <v>6569</v>
      </c>
      <c r="J1224" s="12" t="s">
        <v>7376</v>
      </c>
      <c r="K1224" s="12" t="s">
        <v>5100</v>
      </c>
      <c r="L1224" s="12" t="s">
        <v>5101</v>
      </c>
      <c r="M1224" s="12" t="s">
        <v>5100</v>
      </c>
    </row>
    <row r="1225" spans="1:13" ht="39.6">
      <c r="A1225" s="21" t="s">
        <v>4194</v>
      </c>
      <c r="B1225" s="21" t="s">
        <v>4197</v>
      </c>
      <c r="C1225" s="21" t="s">
        <v>4195</v>
      </c>
      <c r="D1225" s="21" t="s">
        <v>71</v>
      </c>
      <c r="E1225" s="22" t="s">
        <v>4196</v>
      </c>
      <c r="F1225" s="22" t="s">
        <v>4197</v>
      </c>
      <c r="G1225" s="21" t="s">
        <v>4198</v>
      </c>
      <c r="H1225" s="21" t="s">
        <v>4199</v>
      </c>
      <c r="I1225" s="12" t="s">
        <v>6570</v>
      </c>
      <c r="J1225" s="12" t="s">
        <v>7377</v>
      </c>
      <c r="K1225" s="12" t="s">
        <v>5102</v>
      </c>
      <c r="L1225" s="12" t="s">
        <v>5103</v>
      </c>
      <c r="M1225" s="12" t="s">
        <v>5104</v>
      </c>
    </row>
    <row r="1226" spans="1:13" ht="105.6">
      <c r="A1226" s="21" t="s">
        <v>4194</v>
      </c>
      <c r="B1226" s="21" t="s">
        <v>4197</v>
      </c>
      <c r="C1226" s="21" t="s">
        <v>4195</v>
      </c>
      <c r="D1226" s="21" t="s">
        <v>71</v>
      </c>
      <c r="E1226" s="22" t="s">
        <v>4196</v>
      </c>
      <c r="F1226" s="22" t="s">
        <v>4197</v>
      </c>
      <c r="G1226" s="21" t="s">
        <v>4198</v>
      </c>
      <c r="H1226" s="21" t="s">
        <v>4199</v>
      </c>
      <c r="I1226" s="12" t="s">
        <v>6571</v>
      </c>
      <c r="J1226" s="12" t="s">
        <v>7378</v>
      </c>
      <c r="K1226" s="12" t="s">
        <v>5105</v>
      </c>
      <c r="L1226" s="12" t="s">
        <v>5106</v>
      </c>
      <c r="M1226" s="12" t="s">
        <v>5107</v>
      </c>
    </row>
    <row r="1227" spans="1:13" ht="39.6">
      <c r="A1227" s="21" t="s">
        <v>4194</v>
      </c>
      <c r="B1227" s="21" t="s">
        <v>4197</v>
      </c>
      <c r="C1227" s="21" t="s">
        <v>4195</v>
      </c>
      <c r="D1227" s="21" t="s">
        <v>71</v>
      </c>
      <c r="E1227" s="22" t="s">
        <v>4196</v>
      </c>
      <c r="F1227" s="22" t="s">
        <v>4197</v>
      </c>
      <c r="G1227" s="21" t="s">
        <v>4198</v>
      </c>
      <c r="H1227" s="21" t="s">
        <v>4199</v>
      </c>
      <c r="I1227" s="12" t="s">
        <v>6572</v>
      </c>
      <c r="J1227" s="12" t="s">
        <v>7379</v>
      </c>
      <c r="K1227" s="12" t="s">
        <v>5108</v>
      </c>
      <c r="L1227" s="12" t="s">
        <v>5109</v>
      </c>
      <c r="M1227" s="12" t="s">
        <v>5108</v>
      </c>
    </row>
    <row r="1228" spans="1:13" ht="39.6">
      <c r="A1228" s="21" t="s">
        <v>4194</v>
      </c>
      <c r="B1228" s="21" t="s">
        <v>4197</v>
      </c>
      <c r="C1228" s="21" t="s">
        <v>4195</v>
      </c>
      <c r="D1228" s="21" t="s">
        <v>71</v>
      </c>
      <c r="E1228" s="22" t="s">
        <v>4196</v>
      </c>
      <c r="F1228" s="22" t="s">
        <v>4197</v>
      </c>
      <c r="G1228" s="21" t="s">
        <v>4198</v>
      </c>
      <c r="H1228" s="21" t="s">
        <v>4199</v>
      </c>
      <c r="I1228" s="12" t="s">
        <v>6573</v>
      </c>
      <c r="J1228" s="12" t="s">
        <v>7380</v>
      </c>
      <c r="K1228" s="12" t="s">
        <v>5110</v>
      </c>
      <c r="L1228" s="12" t="s">
        <v>5111</v>
      </c>
      <c r="M1228" s="12" t="s">
        <v>5112</v>
      </c>
    </row>
    <row r="1229" spans="1:13" ht="39.6">
      <c r="A1229" s="21" t="s">
        <v>4194</v>
      </c>
      <c r="B1229" s="21" t="s">
        <v>4197</v>
      </c>
      <c r="C1229" s="21" t="s">
        <v>4195</v>
      </c>
      <c r="D1229" s="21" t="s">
        <v>71</v>
      </c>
      <c r="E1229" s="22" t="s">
        <v>4196</v>
      </c>
      <c r="F1229" s="22" t="s">
        <v>4197</v>
      </c>
      <c r="G1229" s="21" t="s">
        <v>4198</v>
      </c>
      <c r="H1229" s="21" t="s">
        <v>4199</v>
      </c>
      <c r="I1229" s="12" t="s">
        <v>6574</v>
      </c>
      <c r="J1229" s="12" t="s">
        <v>7381</v>
      </c>
      <c r="K1229" s="12" t="s">
        <v>5113</v>
      </c>
      <c r="L1229" s="12" t="s">
        <v>5114</v>
      </c>
      <c r="M1229" s="12" t="s">
        <v>5115</v>
      </c>
    </row>
    <row r="1230" spans="1:13" ht="39.6">
      <c r="A1230" s="21" t="s">
        <v>4194</v>
      </c>
      <c r="B1230" s="21" t="s">
        <v>4197</v>
      </c>
      <c r="C1230" s="21" t="s">
        <v>4195</v>
      </c>
      <c r="D1230" s="21" t="s">
        <v>71</v>
      </c>
      <c r="E1230" s="22" t="s">
        <v>4196</v>
      </c>
      <c r="F1230" s="22" t="s">
        <v>4197</v>
      </c>
      <c r="G1230" s="21" t="s">
        <v>4198</v>
      </c>
      <c r="H1230" s="21" t="s">
        <v>4199</v>
      </c>
      <c r="I1230" s="12" t="s">
        <v>6575</v>
      </c>
      <c r="J1230" s="12" t="s">
        <v>7382</v>
      </c>
      <c r="K1230" s="12" t="s">
        <v>5116</v>
      </c>
      <c r="L1230" s="12" t="s">
        <v>5117</v>
      </c>
      <c r="M1230" s="12" t="s">
        <v>5116</v>
      </c>
    </row>
    <row r="1231" spans="1:13" ht="39.6">
      <c r="A1231" s="21" t="s">
        <v>4194</v>
      </c>
      <c r="B1231" s="21" t="s">
        <v>4197</v>
      </c>
      <c r="C1231" s="21" t="s">
        <v>4195</v>
      </c>
      <c r="D1231" s="21" t="s">
        <v>71</v>
      </c>
      <c r="E1231" s="22" t="s">
        <v>4196</v>
      </c>
      <c r="F1231" s="22" t="s">
        <v>4197</v>
      </c>
      <c r="G1231" s="21" t="s">
        <v>4198</v>
      </c>
      <c r="H1231" s="21" t="s">
        <v>4199</v>
      </c>
      <c r="I1231" s="12" t="s">
        <v>6576</v>
      </c>
      <c r="J1231" s="12" t="s">
        <v>7383</v>
      </c>
      <c r="K1231" s="12" t="s">
        <v>5118</v>
      </c>
      <c r="L1231" s="12" t="s">
        <v>5119</v>
      </c>
      <c r="M1231" s="12" t="s">
        <v>5118</v>
      </c>
    </row>
    <row r="1232" spans="1:13" ht="39.6">
      <c r="A1232" s="21" t="s">
        <v>4194</v>
      </c>
      <c r="B1232" s="21" t="s">
        <v>4197</v>
      </c>
      <c r="C1232" s="21" t="s">
        <v>4195</v>
      </c>
      <c r="D1232" s="21" t="s">
        <v>71</v>
      </c>
      <c r="E1232" s="22" t="s">
        <v>4196</v>
      </c>
      <c r="F1232" s="22" t="s">
        <v>4197</v>
      </c>
      <c r="G1232" s="21" t="s">
        <v>4198</v>
      </c>
      <c r="H1232" s="21" t="s">
        <v>4199</v>
      </c>
      <c r="I1232" s="12" t="s">
        <v>6577</v>
      </c>
      <c r="J1232" s="12" t="s">
        <v>7384</v>
      </c>
      <c r="K1232" s="12" t="s">
        <v>5120</v>
      </c>
      <c r="L1232" s="12" t="s">
        <v>5121</v>
      </c>
      <c r="M1232" s="12" t="s">
        <v>5120</v>
      </c>
    </row>
    <row r="1233" spans="1:13" ht="39.6">
      <c r="A1233" s="21" t="s">
        <v>4194</v>
      </c>
      <c r="B1233" s="21" t="s">
        <v>4197</v>
      </c>
      <c r="C1233" s="21" t="s">
        <v>4195</v>
      </c>
      <c r="D1233" s="21" t="s">
        <v>71</v>
      </c>
      <c r="E1233" s="22" t="s">
        <v>4196</v>
      </c>
      <c r="F1233" s="22" t="s">
        <v>4197</v>
      </c>
      <c r="G1233" s="21" t="s">
        <v>4198</v>
      </c>
      <c r="H1233" s="21" t="s">
        <v>4199</v>
      </c>
      <c r="I1233" s="12" t="s">
        <v>6578</v>
      </c>
      <c r="J1233" s="12" t="s">
        <v>7385</v>
      </c>
      <c r="K1233" s="12"/>
      <c r="L1233" s="12" t="s">
        <v>5122</v>
      </c>
      <c r="M1233" s="12" t="s">
        <v>5123</v>
      </c>
    </row>
    <row r="1234" spans="1:13" ht="39.6">
      <c r="A1234" s="21" t="s">
        <v>4194</v>
      </c>
      <c r="B1234" s="21" t="s">
        <v>4197</v>
      </c>
      <c r="C1234" s="21" t="s">
        <v>4195</v>
      </c>
      <c r="D1234" s="21" t="s">
        <v>71</v>
      </c>
      <c r="E1234" s="22" t="s">
        <v>4196</v>
      </c>
      <c r="F1234" s="22" t="s">
        <v>4197</v>
      </c>
      <c r="G1234" s="21" t="s">
        <v>4198</v>
      </c>
      <c r="H1234" s="21" t="s">
        <v>4199</v>
      </c>
      <c r="I1234" s="12" t="s">
        <v>6579</v>
      </c>
      <c r="J1234" s="12" t="s">
        <v>7386</v>
      </c>
      <c r="K1234" s="12"/>
      <c r="L1234" s="12" t="s">
        <v>5124</v>
      </c>
      <c r="M1234" s="12" t="s">
        <v>5125</v>
      </c>
    </row>
    <row r="1235" spans="1:13" ht="39.6">
      <c r="A1235" s="21" t="s">
        <v>4194</v>
      </c>
      <c r="B1235" s="21" t="s">
        <v>4197</v>
      </c>
      <c r="C1235" s="21" t="s">
        <v>4195</v>
      </c>
      <c r="D1235" s="21" t="s">
        <v>71</v>
      </c>
      <c r="E1235" s="22" t="s">
        <v>4196</v>
      </c>
      <c r="F1235" s="22" t="s">
        <v>4197</v>
      </c>
      <c r="G1235" s="21" t="s">
        <v>4198</v>
      </c>
      <c r="H1235" s="21" t="s">
        <v>4199</v>
      </c>
      <c r="I1235" s="12" t="s">
        <v>6580</v>
      </c>
      <c r="J1235" s="12" t="s">
        <v>7387</v>
      </c>
      <c r="K1235" s="12" t="s">
        <v>5126</v>
      </c>
      <c r="L1235" s="12" t="s">
        <v>5127</v>
      </c>
      <c r="M1235" s="12" t="s">
        <v>5128</v>
      </c>
    </row>
    <row r="1236" spans="1:13" ht="39.6">
      <c r="A1236" s="21" t="s">
        <v>4194</v>
      </c>
      <c r="B1236" s="21" t="s">
        <v>4197</v>
      </c>
      <c r="C1236" s="21" t="s">
        <v>4195</v>
      </c>
      <c r="D1236" s="21" t="s">
        <v>71</v>
      </c>
      <c r="E1236" s="22" t="s">
        <v>4196</v>
      </c>
      <c r="F1236" s="22" t="s">
        <v>4197</v>
      </c>
      <c r="G1236" s="21" t="s">
        <v>4198</v>
      </c>
      <c r="H1236" s="21" t="s">
        <v>4199</v>
      </c>
      <c r="I1236" s="12" t="s">
        <v>6581</v>
      </c>
      <c r="J1236" s="12" t="s">
        <v>7388</v>
      </c>
      <c r="K1236" s="12" t="s">
        <v>5129</v>
      </c>
      <c r="L1236" s="12" t="s">
        <v>5130</v>
      </c>
      <c r="M1236" s="12" t="s">
        <v>5131</v>
      </c>
    </row>
    <row r="1237" spans="1:13" ht="39.6">
      <c r="A1237" s="21" t="s">
        <v>4194</v>
      </c>
      <c r="B1237" s="21" t="s">
        <v>4197</v>
      </c>
      <c r="C1237" s="21" t="s">
        <v>4195</v>
      </c>
      <c r="D1237" s="21" t="s">
        <v>71</v>
      </c>
      <c r="E1237" s="22" t="s">
        <v>4196</v>
      </c>
      <c r="F1237" s="22" t="s">
        <v>4197</v>
      </c>
      <c r="G1237" s="21" t="s">
        <v>4198</v>
      </c>
      <c r="H1237" s="21" t="s">
        <v>4199</v>
      </c>
      <c r="I1237" s="12" t="s">
        <v>6582</v>
      </c>
      <c r="J1237" s="12" t="s">
        <v>7389</v>
      </c>
      <c r="K1237" s="12" t="s">
        <v>5132</v>
      </c>
      <c r="L1237" s="12" t="s">
        <v>5133</v>
      </c>
      <c r="M1237" s="12" t="s">
        <v>5134</v>
      </c>
    </row>
    <row r="1238" spans="1:13" ht="39.6">
      <c r="A1238" s="21" t="s">
        <v>4194</v>
      </c>
      <c r="B1238" s="21" t="s">
        <v>4197</v>
      </c>
      <c r="C1238" s="21" t="s">
        <v>4195</v>
      </c>
      <c r="D1238" s="21" t="s">
        <v>71</v>
      </c>
      <c r="E1238" s="22" t="s">
        <v>4196</v>
      </c>
      <c r="F1238" s="22" t="s">
        <v>4197</v>
      </c>
      <c r="G1238" s="21" t="s">
        <v>4198</v>
      </c>
      <c r="H1238" s="21" t="s">
        <v>4199</v>
      </c>
      <c r="I1238" s="12" t="s">
        <v>6583</v>
      </c>
      <c r="J1238" s="12" t="s">
        <v>7390</v>
      </c>
      <c r="K1238" s="12"/>
      <c r="L1238" s="12" t="s">
        <v>5135</v>
      </c>
      <c r="M1238" s="12" t="s">
        <v>5136</v>
      </c>
    </row>
    <row r="1239" spans="1:13" ht="39.6">
      <c r="A1239" s="21" t="s">
        <v>4194</v>
      </c>
      <c r="B1239" s="21" t="s">
        <v>4197</v>
      </c>
      <c r="C1239" s="21" t="s">
        <v>4195</v>
      </c>
      <c r="D1239" s="21" t="s">
        <v>71</v>
      </c>
      <c r="E1239" s="22" t="s">
        <v>4196</v>
      </c>
      <c r="F1239" s="22" t="s">
        <v>4197</v>
      </c>
      <c r="G1239" s="21" t="s">
        <v>4198</v>
      </c>
      <c r="H1239" s="21" t="s">
        <v>4199</v>
      </c>
      <c r="I1239" s="12" t="s">
        <v>6584</v>
      </c>
      <c r="J1239" s="12" t="s">
        <v>7391</v>
      </c>
      <c r="K1239" s="12" t="s">
        <v>5137</v>
      </c>
      <c r="L1239" s="12" t="s">
        <v>5138</v>
      </c>
      <c r="M1239" s="12" t="s">
        <v>5139</v>
      </c>
    </row>
    <row r="1240" spans="1:13" ht="39.6">
      <c r="A1240" s="21" t="s">
        <v>4194</v>
      </c>
      <c r="B1240" s="21" t="s">
        <v>4197</v>
      </c>
      <c r="C1240" s="21" t="s">
        <v>4195</v>
      </c>
      <c r="D1240" s="21" t="s">
        <v>71</v>
      </c>
      <c r="E1240" s="22" t="s">
        <v>4196</v>
      </c>
      <c r="F1240" s="22" t="s">
        <v>4197</v>
      </c>
      <c r="G1240" s="21" t="s">
        <v>4198</v>
      </c>
      <c r="H1240" s="21" t="s">
        <v>4199</v>
      </c>
      <c r="I1240" s="12" t="s">
        <v>6585</v>
      </c>
      <c r="J1240" s="12" t="s">
        <v>7392</v>
      </c>
      <c r="K1240" s="12" t="s">
        <v>5140</v>
      </c>
      <c r="L1240" s="12" t="s">
        <v>5141</v>
      </c>
      <c r="M1240" s="12" t="s">
        <v>5142</v>
      </c>
    </row>
    <row r="1241" spans="1:13" ht="39.6">
      <c r="A1241" s="21" t="s">
        <v>4194</v>
      </c>
      <c r="B1241" s="21" t="s">
        <v>4197</v>
      </c>
      <c r="C1241" s="21" t="s">
        <v>4195</v>
      </c>
      <c r="D1241" s="21" t="s">
        <v>71</v>
      </c>
      <c r="E1241" s="22" t="s">
        <v>4196</v>
      </c>
      <c r="F1241" s="22" t="s">
        <v>4197</v>
      </c>
      <c r="G1241" s="21" t="s">
        <v>4198</v>
      </c>
      <c r="H1241" s="21" t="s">
        <v>4199</v>
      </c>
      <c r="I1241" s="12" t="s">
        <v>6586</v>
      </c>
      <c r="J1241" s="12" t="s">
        <v>7393</v>
      </c>
      <c r="K1241" s="12"/>
      <c r="L1241" s="12" t="s">
        <v>5143</v>
      </c>
      <c r="M1241" s="12" t="s">
        <v>5144</v>
      </c>
    </row>
    <row r="1242" spans="1:13" ht="39.6">
      <c r="A1242" s="21" t="s">
        <v>4194</v>
      </c>
      <c r="B1242" s="21" t="s">
        <v>4197</v>
      </c>
      <c r="C1242" s="21" t="s">
        <v>4195</v>
      </c>
      <c r="D1242" s="21" t="s">
        <v>71</v>
      </c>
      <c r="E1242" s="22" t="s">
        <v>4196</v>
      </c>
      <c r="F1242" s="22" t="s">
        <v>4197</v>
      </c>
      <c r="G1242" s="21" t="s">
        <v>4198</v>
      </c>
      <c r="H1242" s="21" t="s">
        <v>4199</v>
      </c>
      <c r="I1242" s="12" t="s">
        <v>1130</v>
      </c>
      <c r="J1242" s="12" t="s">
        <v>7394</v>
      </c>
      <c r="K1242" s="12" t="s">
        <v>5145</v>
      </c>
      <c r="L1242" s="12" t="s">
        <v>5146</v>
      </c>
      <c r="M1242" s="12" t="s">
        <v>5147</v>
      </c>
    </row>
    <row r="1243" spans="1:13" ht="39.6">
      <c r="A1243" s="21" t="s">
        <v>4194</v>
      </c>
      <c r="B1243" s="21" t="s">
        <v>4197</v>
      </c>
      <c r="C1243" s="21" t="s">
        <v>4195</v>
      </c>
      <c r="D1243" s="21" t="s">
        <v>71</v>
      </c>
      <c r="E1243" s="22" t="s">
        <v>4196</v>
      </c>
      <c r="F1243" s="22" t="s">
        <v>4197</v>
      </c>
      <c r="G1243" s="21" t="s">
        <v>4198</v>
      </c>
      <c r="H1243" s="21" t="s">
        <v>4199</v>
      </c>
      <c r="I1243" s="12" t="s">
        <v>6587</v>
      </c>
      <c r="J1243" s="12" t="s">
        <v>7395</v>
      </c>
      <c r="K1243" s="12" t="s">
        <v>5148</v>
      </c>
      <c r="L1243" s="12" t="s">
        <v>5149</v>
      </c>
      <c r="M1243" s="12" t="s">
        <v>5148</v>
      </c>
    </row>
    <row r="1244" spans="1:13" ht="39.6">
      <c r="A1244" s="21" t="s">
        <v>4194</v>
      </c>
      <c r="B1244" s="21" t="s">
        <v>4197</v>
      </c>
      <c r="C1244" s="21" t="s">
        <v>4195</v>
      </c>
      <c r="D1244" s="21" t="s">
        <v>71</v>
      </c>
      <c r="E1244" s="22" t="s">
        <v>4196</v>
      </c>
      <c r="F1244" s="22" t="s">
        <v>4197</v>
      </c>
      <c r="G1244" s="21" t="s">
        <v>4198</v>
      </c>
      <c r="H1244" s="21" t="s">
        <v>4199</v>
      </c>
      <c r="I1244" s="12" t="s">
        <v>6588</v>
      </c>
      <c r="J1244" s="12" t="s">
        <v>7396</v>
      </c>
      <c r="K1244" s="12" t="s">
        <v>5150</v>
      </c>
      <c r="L1244" s="12" t="s">
        <v>5151</v>
      </c>
      <c r="M1244" s="12" t="s">
        <v>5152</v>
      </c>
    </row>
    <row r="1245" spans="1:13" ht="39.6">
      <c r="A1245" s="21" t="s">
        <v>4194</v>
      </c>
      <c r="B1245" s="21" t="s">
        <v>4197</v>
      </c>
      <c r="C1245" s="21" t="s">
        <v>4195</v>
      </c>
      <c r="D1245" s="21" t="s">
        <v>71</v>
      </c>
      <c r="E1245" s="22" t="s">
        <v>4196</v>
      </c>
      <c r="F1245" s="22" t="s">
        <v>4197</v>
      </c>
      <c r="G1245" s="21" t="s">
        <v>4198</v>
      </c>
      <c r="H1245" s="21" t="s">
        <v>4199</v>
      </c>
      <c r="I1245" s="12" t="s">
        <v>6589</v>
      </c>
      <c r="J1245" s="12" t="s">
        <v>7397</v>
      </c>
      <c r="K1245" s="12"/>
      <c r="L1245" s="12" t="s">
        <v>5153</v>
      </c>
      <c r="M1245" s="12" t="s">
        <v>5154</v>
      </c>
    </row>
    <row r="1246" spans="1:13" ht="39.6">
      <c r="A1246" s="21" t="s">
        <v>4194</v>
      </c>
      <c r="B1246" s="21" t="s">
        <v>4197</v>
      </c>
      <c r="C1246" s="21" t="s">
        <v>4195</v>
      </c>
      <c r="D1246" s="21" t="s">
        <v>71</v>
      </c>
      <c r="E1246" s="22" t="s">
        <v>4196</v>
      </c>
      <c r="F1246" s="22" t="s">
        <v>4197</v>
      </c>
      <c r="G1246" s="21" t="s">
        <v>4198</v>
      </c>
      <c r="H1246" s="21" t="s">
        <v>4199</v>
      </c>
      <c r="I1246" s="12" t="s">
        <v>6590</v>
      </c>
      <c r="J1246" s="12" t="s">
        <v>7398</v>
      </c>
      <c r="K1246" s="12"/>
      <c r="L1246" s="12" t="s">
        <v>5155</v>
      </c>
      <c r="M1246" s="12" t="s">
        <v>5156</v>
      </c>
    </row>
    <row r="1247" spans="1:13" ht="39.6">
      <c r="A1247" s="21" t="s">
        <v>4194</v>
      </c>
      <c r="B1247" s="21" t="s">
        <v>4197</v>
      </c>
      <c r="C1247" s="21" t="s">
        <v>4195</v>
      </c>
      <c r="D1247" s="21" t="s">
        <v>71</v>
      </c>
      <c r="E1247" s="22" t="s">
        <v>4196</v>
      </c>
      <c r="F1247" s="22" t="s">
        <v>4197</v>
      </c>
      <c r="G1247" s="21" t="s">
        <v>4198</v>
      </c>
      <c r="H1247" s="21" t="s">
        <v>4199</v>
      </c>
      <c r="I1247" s="12" t="s">
        <v>6591</v>
      </c>
      <c r="J1247" s="12" t="s">
        <v>7399</v>
      </c>
      <c r="K1247" s="12" t="s">
        <v>5157</v>
      </c>
      <c r="L1247" s="12" t="s">
        <v>5158</v>
      </c>
      <c r="M1247" s="12" t="s">
        <v>5157</v>
      </c>
    </row>
    <row r="1248" spans="1:13" ht="66">
      <c r="A1248" s="21" t="s">
        <v>4194</v>
      </c>
      <c r="B1248" s="21" t="s">
        <v>4197</v>
      </c>
      <c r="C1248" s="21" t="s">
        <v>4195</v>
      </c>
      <c r="D1248" s="21" t="s">
        <v>71</v>
      </c>
      <c r="E1248" s="22" t="s">
        <v>4196</v>
      </c>
      <c r="F1248" s="22" t="s">
        <v>4197</v>
      </c>
      <c r="G1248" s="21" t="s">
        <v>4198</v>
      </c>
      <c r="H1248" s="21" t="s">
        <v>4199</v>
      </c>
      <c r="I1248" s="12" t="s">
        <v>6592</v>
      </c>
      <c r="J1248" s="12" t="s">
        <v>7400</v>
      </c>
      <c r="K1248" s="12" t="s">
        <v>5159</v>
      </c>
      <c r="L1248" s="12" t="s">
        <v>5160</v>
      </c>
      <c r="M1248" s="12" t="s">
        <v>5159</v>
      </c>
    </row>
    <row r="1249" spans="1:13" ht="66">
      <c r="A1249" s="21" t="s">
        <v>4194</v>
      </c>
      <c r="B1249" s="21" t="s">
        <v>4197</v>
      </c>
      <c r="C1249" s="21" t="s">
        <v>4195</v>
      </c>
      <c r="D1249" s="21" t="s">
        <v>71</v>
      </c>
      <c r="E1249" s="22" t="s">
        <v>4196</v>
      </c>
      <c r="F1249" s="22" t="s">
        <v>4197</v>
      </c>
      <c r="G1249" s="21" t="s">
        <v>4198</v>
      </c>
      <c r="H1249" s="21" t="s">
        <v>4199</v>
      </c>
      <c r="I1249" s="12" t="s">
        <v>6593</v>
      </c>
      <c r="J1249" s="12" t="s">
        <v>7401</v>
      </c>
      <c r="K1249" s="12" t="s">
        <v>5161</v>
      </c>
      <c r="L1249" s="12" t="s">
        <v>5162</v>
      </c>
      <c r="M1249" s="12" t="s">
        <v>5161</v>
      </c>
    </row>
    <row r="1250" spans="1:13" ht="39.6">
      <c r="A1250" s="21" t="s">
        <v>4194</v>
      </c>
      <c r="B1250" s="21" t="s">
        <v>4197</v>
      </c>
      <c r="C1250" s="21" t="s">
        <v>4195</v>
      </c>
      <c r="D1250" s="21" t="s">
        <v>71</v>
      </c>
      <c r="E1250" s="22" t="s">
        <v>4196</v>
      </c>
      <c r="F1250" s="22" t="s">
        <v>4197</v>
      </c>
      <c r="G1250" s="21" t="s">
        <v>4198</v>
      </c>
      <c r="H1250" s="21" t="s">
        <v>4199</v>
      </c>
      <c r="I1250" s="12" t="s">
        <v>6594</v>
      </c>
      <c r="J1250" s="12" t="s">
        <v>7402</v>
      </c>
      <c r="K1250" s="12"/>
      <c r="L1250" s="12" t="s">
        <v>5163</v>
      </c>
      <c r="M1250" s="12" t="s">
        <v>5164</v>
      </c>
    </row>
    <row r="1251" spans="1:13" ht="39.6">
      <c r="A1251" s="21" t="s">
        <v>4194</v>
      </c>
      <c r="B1251" s="21" t="s">
        <v>4197</v>
      </c>
      <c r="C1251" s="21" t="s">
        <v>4195</v>
      </c>
      <c r="D1251" s="21" t="s">
        <v>71</v>
      </c>
      <c r="E1251" s="22" t="s">
        <v>4196</v>
      </c>
      <c r="F1251" s="22" t="s">
        <v>4197</v>
      </c>
      <c r="G1251" s="21" t="s">
        <v>4198</v>
      </c>
      <c r="H1251" s="21" t="s">
        <v>4199</v>
      </c>
      <c r="I1251" s="12" t="s">
        <v>6595</v>
      </c>
      <c r="J1251" s="12" t="s">
        <v>7403</v>
      </c>
      <c r="K1251" s="12"/>
      <c r="L1251" s="12" t="s">
        <v>5165</v>
      </c>
      <c r="M1251" s="12" t="s">
        <v>5166</v>
      </c>
    </row>
    <row r="1252" spans="1:13" ht="39.6">
      <c r="A1252" s="21" t="s">
        <v>4194</v>
      </c>
      <c r="B1252" s="21" t="s">
        <v>4197</v>
      </c>
      <c r="C1252" s="21" t="s">
        <v>4195</v>
      </c>
      <c r="D1252" s="21" t="s">
        <v>71</v>
      </c>
      <c r="E1252" s="22" t="s">
        <v>4196</v>
      </c>
      <c r="F1252" s="22" t="s">
        <v>4197</v>
      </c>
      <c r="G1252" s="21" t="s">
        <v>4198</v>
      </c>
      <c r="H1252" s="21" t="s">
        <v>4199</v>
      </c>
      <c r="I1252" s="12" t="s">
        <v>6596</v>
      </c>
      <c r="J1252" s="12" t="s">
        <v>7404</v>
      </c>
      <c r="K1252" s="12"/>
      <c r="L1252" s="12" t="s">
        <v>5167</v>
      </c>
      <c r="M1252" s="12" t="s">
        <v>5168</v>
      </c>
    </row>
    <row r="1253" spans="1:13" ht="66">
      <c r="A1253" s="21" t="s">
        <v>4194</v>
      </c>
      <c r="B1253" s="21" t="s">
        <v>4197</v>
      </c>
      <c r="C1253" s="21" t="s">
        <v>4195</v>
      </c>
      <c r="D1253" s="21" t="s">
        <v>71</v>
      </c>
      <c r="E1253" s="22" t="s">
        <v>4196</v>
      </c>
      <c r="F1253" s="22" t="s">
        <v>4197</v>
      </c>
      <c r="G1253" s="21" t="s">
        <v>4198</v>
      </c>
      <c r="H1253" s="21" t="s">
        <v>4199</v>
      </c>
      <c r="I1253" s="12" t="s">
        <v>6597</v>
      </c>
      <c r="J1253" s="12" t="s">
        <v>7405</v>
      </c>
      <c r="K1253" s="12" t="s">
        <v>5169</v>
      </c>
      <c r="L1253" s="12" t="s">
        <v>5170</v>
      </c>
      <c r="M1253" s="12" t="s">
        <v>5169</v>
      </c>
    </row>
    <row r="1254" spans="1:13" ht="66">
      <c r="A1254" s="21" t="s">
        <v>4194</v>
      </c>
      <c r="B1254" s="21" t="s">
        <v>4197</v>
      </c>
      <c r="C1254" s="21" t="s">
        <v>4195</v>
      </c>
      <c r="D1254" s="21" t="s">
        <v>71</v>
      </c>
      <c r="E1254" s="22" t="s">
        <v>4196</v>
      </c>
      <c r="F1254" s="22" t="s">
        <v>4197</v>
      </c>
      <c r="G1254" s="21" t="s">
        <v>4198</v>
      </c>
      <c r="H1254" s="21" t="s">
        <v>4199</v>
      </c>
      <c r="I1254" s="12" t="s">
        <v>6598</v>
      </c>
      <c r="J1254" s="12" t="s">
        <v>7406</v>
      </c>
      <c r="K1254" s="12" t="s">
        <v>5171</v>
      </c>
      <c r="L1254" s="12" t="s">
        <v>5172</v>
      </c>
      <c r="M1254" s="12" t="s">
        <v>5171</v>
      </c>
    </row>
    <row r="1255" spans="1:13" ht="39.6">
      <c r="A1255" s="21" t="s">
        <v>4194</v>
      </c>
      <c r="B1255" s="21" t="s">
        <v>4197</v>
      </c>
      <c r="C1255" s="21" t="s">
        <v>4195</v>
      </c>
      <c r="D1255" s="21" t="s">
        <v>71</v>
      </c>
      <c r="E1255" s="22" t="s">
        <v>4196</v>
      </c>
      <c r="F1255" s="22" t="s">
        <v>4197</v>
      </c>
      <c r="G1255" s="21" t="s">
        <v>4198</v>
      </c>
      <c r="H1255" s="21" t="s">
        <v>4199</v>
      </c>
      <c r="I1255" s="12" t="s">
        <v>6599</v>
      </c>
      <c r="J1255" s="12" t="s">
        <v>7407</v>
      </c>
      <c r="K1255" s="12"/>
      <c r="L1255" s="12" t="s">
        <v>5173</v>
      </c>
      <c r="M1255" s="12" t="s">
        <v>5174</v>
      </c>
    </row>
    <row r="1256" spans="1:13" ht="39.6">
      <c r="A1256" s="21" t="s">
        <v>4194</v>
      </c>
      <c r="B1256" s="21" t="s">
        <v>4197</v>
      </c>
      <c r="C1256" s="21" t="s">
        <v>4195</v>
      </c>
      <c r="D1256" s="21" t="s">
        <v>71</v>
      </c>
      <c r="E1256" s="22" t="s">
        <v>4196</v>
      </c>
      <c r="F1256" s="22" t="s">
        <v>4197</v>
      </c>
      <c r="G1256" s="21" t="s">
        <v>4198</v>
      </c>
      <c r="H1256" s="21" t="s">
        <v>4199</v>
      </c>
      <c r="I1256" s="12" t="s">
        <v>6600</v>
      </c>
      <c r="J1256" s="12" t="s">
        <v>7408</v>
      </c>
      <c r="K1256" s="12"/>
      <c r="L1256" s="12" t="s">
        <v>5175</v>
      </c>
      <c r="M1256" s="12" t="s">
        <v>5176</v>
      </c>
    </row>
    <row r="1257" spans="1:13" ht="39.6">
      <c r="A1257" s="21" t="s">
        <v>4194</v>
      </c>
      <c r="B1257" s="21" t="s">
        <v>4197</v>
      </c>
      <c r="C1257" s="21" t="s">
        <v>4195</v>
      </c>
      <c r="D1257" s="21" t="s">
        <v>71</v>
      </c>
      <c r="E1257" s="22" t="s">
        <v>4196</v>
      </c>
      <c r="F1257" s="22" t="s">
        <v>4197</v>
      </c>
      <c r="G1257" s="21" t="s">
        <v>4198</v>
      </c>
      <c r="H1257" s="21" t="s">
        <v>4199</v>
      </c>
      <c r="I1257" s="12" t="s">
        <v>6601</v>
      </c>
      <c r="J1257" s="12" t="s">
        <v>7409</v>
      </c>
      <c r="K1257" s="12"/>
      <c r="L1257" s="12" t="s">
        <v>5177</v>
      </c>
      <c r="M1257" s="12" t="s">
        <v>5178</v>
      </c>
    </row>
    <row r="1258" spans="1:13" ht="66">
      <c r="A1258" s="21" t="s">
        <v>4194</v>
      </c>
      <c r="B1258" s="21" t="s">
        <v>4197</v>
      </c>
      <c r="C1258" s="21" t="s">
        <v>4195</v>
      </c>
      <c r="D1258" s="21" t="s">
        <v>71</v>
      </c>
      <c r="E1258" s="22" t="s">
        <v>4196</v>
      </c>
      <c r="F1258" s="22" t="s">
        <v>4197</v>
      </c>
      <c r="G1258" s="21" t="s">
        <v>4198</v>
      </c>
      <c r="H1258" s="21" t="s">
        <v>4199</v>
      </c>
      <c r="I1258" s="12" t="s">
        <v>6602</v>
      </c>
      <c r="J1258" s="12" t="s">
        <v>7410</v>
      </c>
      <c r="K1258" s="12" t="s">
        <v>5179</v>
      </c>
      <c r="L1258" s="12" t="s">
        <v>5180</v>
      </c>
      <c r="M1258" s="12" t="s">
        <v>5179</v>
      </c>
    </row>
    <row r="1259" spans="1:13" ht="66">
      <c r="A1259" s="21" t="s">
        <v>4194</v>
      </c>
      <c r="B1259" s="21" t="s">
        <v>4197</v>
      </c>
      <c r="C1259" s="21" t="s">
        <v>4195</v>
      </c>
      <c r="D1259" s="21" t="s">
        <v>71</v>
      </c>
      <c r="E1259" s="22" t="s">
        <v>4196</v>
      </c>
      <c r="F1259" s="22" t="s">
        <v>4197</v>
      </c>
      <c r="G1259" s="21" t="s">
        <v>4198</v>
      </c>
      <c r="H1259" s="21" t="s">
        <v>4199</v>
      </c>
      <c r="I1259" s="12" t="s">
        <v>6603</v>
      </c>
      <c r="J1259" s="12" t="s">
        <v>7411</v>
      </c>
      <c r="K1259" s="12" t="s">
        <v>5181</v>
      </c>
      <c r="L1259" s="12" t="s">
        <v>5182</v>
      </c>
      <c r="M1259" s="12" t="s">
        <v>5181</v>
      </c>
    </row>
    <row r="1260" spans="1:13" ht="66">
      <c r="A1260" s="21" t="s">
        <v>4194</v>
      </c>
      <c r="B1260" s="21" t="s">
        <v>4197</v>
      </c>
      <c r="C1260" s="21" t="s">
        <v>4195</v>
      </c>
      <c r="D1260" s="21" t="s">
        <v>71</v>
      </c>
      <c r="E1260" s="22" t="s">
        <v>4196</v>
      </c>
      <c r="F1260" s="22" t="s">
        <v>4197</v>
      </c>
      <c r="G1260" s="21" t="s">
        <v>4198</v>
      </c>
      <c r="H1260" s="21" t="s">
        <v>4199</v>
      </c>
      <c r="I1260" s="12" t="s">
        <v>6604</v>
      </c>
      <c r="J1260" s="12" t="s">
        <v>7412</v>
      </c>
      <c r="K1260" s="12" t="s">
        <v>5183</v>
      </c>
      <c r="L1260" s="12" t="s">
        <v>5184</v>
      </c>
      <c r="M1260" s="12" t="s">
        <v>5183</v>
      </c>
    </row>
    <row r="1261" spans="1:13" ht="39.6">
      <c r="A1261" s="21" t="s">
        <v>4194</v>
      </c>
      <c r="B1261" s="21" t="s">
        <v>4197</v>
      </c>
      <c r="C1261" s="21" t="s">
        <v>4195</v>
      </c>
      <c r="D1261" s="21" t="s">
        <v>71</v>
      </c>
      <c r="E1261" s="22" t="s">
        <v>4196</v>
      </c>
      <c r="F1261" s="22" t="s">
        <v>4197</v>
      </c>
      <c r="G1261" s="21" t="s">
        <v>4198</v>
      </c>
      <c r="H1261" s="21" t="s">
        <v>4199</v>
      </c>
      <c r="I1261" s="12" t="s">
        <v>3552</v>
      </c>
      <c r="J1261" s="12" t="s">
        <v>7413</v>
      </c>
      <c r="K1261" s="12" t="s">
        <v>5185</v>
      </c>
      <c r="L1261" s="12" t="s">
        <v>5186</v>
      </c>
      <c r="M1261" s="12" t="s">
        <v>5185</v>
      </c>
    </row>
    <row r="1262" spans="1:13" ht="52.8">
      <c r="A1262" s="21" t="s">
        <v>4194</v>
      </c>
      <c r="B1262" s="21" t="s">
        <v>4197</v>
      </c>
      <c r="C1262" s="21" t="s">
        <v>4195</v>
      </c>
      <c r="D1262" s="21" t="s">
        <v>71</v>
      </c>
      <c r="E1262" s="22" t="s">
        <v>4196</v>
      </c>
      <c r="F1262" s="22" t="s">
        <v>4197</v>
      </c>
      <c r="G1262" s="21" t="s">
        <v>4198</v>
      </c>
      <c r="H1262" s="21" t="s">
        <v>4199</v>
      </c>
      <c r="I1262" s="12" t="s">
        <v>6605</v>
      </c>
      <c r="J1262" s="12" t="s">
        <v>7414</v>
      </c>
      <c r="K1262" s="12" t="s">
        <v>5187</v>
      </c>
      <c r="L1262" s="12" t="s">
        <v>5188</v>
      </c>
      <c r="M1262" s="12" t="s">
        <v>5187</v>
      </c>
    </row>
    <row r="1263" spans="1:13" ht="39.6">
      <c r="A1263" s="21" t="s">
        <v>4194</v>
      </c>
      <c r="B1263" s="21" t="s">
        <v>4197</v>
      </c>
      <c r="C1263" s="21" t="s">
        <v>4195</v>
      </c>
      <c r="D1263" s="21" t="s">
        <v>71</v>
      </c>
      <c r="E1263" s="22" t="s">
        <v>4196</v>
      </c>
      <c r="F1263" s="22" t="s">
        <v>4197</v>
      </c>
      <c r="G1263" s="21" t="s">
        <v>4198</v>
      </c>
      <c r="H1263" s="21" t="s">
        <v>4199</v>
      </c>
      <c r="I1263" s="12" t="s">
        <v>6606</v>
      </c>
      <c r="J1263" s="12" t="s">
        <v>7415</v>
      </c>
      <c r="K1263" s="12" t="s">
        <v>5189</v>
      </c>
      <c r="L1263" s="12" t="s">
        <v>5190</v>
      </c>
      <c r="M1263" s="12" t="s">
        <v>5189</v>
      </c>
    </row>
    <row r="1264" spans="1:13" ht="39.6">
      <c r="A1264" s="21" t="s">
        <v>4194</v>
      </c>
      <c r="B1264" s="21" t="s">
        <v>4197</v>
      </c>
      <c r="C1264" s="21" t="s">
        <v>4195</v>
      </c>
      <c r="D1264" s="21" t="s">
        <v>71</v>
      </c>
      <c r="E1264" s="22" t="s">
        <v>4196</v>
      </c>
      <c r="F1264" s="22" t="s">
        <v>4197</v>
      </c>
      <c r="G1264" s="21" t="s">
        <v>4198</v>
      </c>
      <c r="H1264" s="21" t="s">
        <v>4199</v>
      </c>
      <c r="I1264" s="12" t="s">
        <v>6607</v>
      </c>
      <c r="J1264" s="12" t="s">
        <v>7416</v>
      </c>
      <c r="K1264" s="12" t="s">
        <v>5191</v>
      </c>
      <c r="L1264" s="12" t="s">
        <v>5192</v>
      </c>
      <c r="M1264" s="12" t="s">
        <v>5193</v>
      </c>
    </row>
    <row r="1265" spans="1:13" ht="39.6">
      <c r="A1265" s="21" t="s">
        <v>4194</v>
      </c>
      <c r="B1265" s="21" t="s">
        <v>4197</v>
      </c>
      <c r="C1265" s="21" t="s">
        <v>4195</v>
      </c>
      <c r="D1265" s="21" t="s">
        <v>71</v>
      </c>
      <c r="E1265" s="22" t="s">
        <v>4196</v>
      </c>
      <c r="F1265" s="22" t="s">
        <v>4197</v>
      </c>
      <c r="G1265" s="21" t="s">
        <v>4198</v>
      </c>
      <c r="H1265" s="21" t="s">
        <v>4199</v>
      </c>
      <c r="I1265" s="12" t="s">
        <v>6608</v>
      </c>
      <c r="J1265" s="12" t="s">
        <v>7417</v>
      </c>
      <c r="K1265" s="12" t="s">
        <v>5194</v>
      </c>
      <c r="L1265" s="12" t="s">
        <v>5195</v>
      </c>
      <c r="M1265" s="12" t="s">
        <v>5196</v>
      </c>
    </row>
    <row r="1266" spans="1:13" ht="39.6">
      <c r="A1266" s="21" t="s">
        <v>4194</v>
      </c>
      <c r="B1266" s="21" t="s">
        <v>4197</v>
      </c>
      <c r="C1266" s="21" t="s">
        <v>4195</v>
      </c>
      <c r="D1266" s="21" t="s">
        <v>71</v>
      </c>
      <c r="E1266" s="22" t="s">
        <v>4196</v>
      </c>
      <c r="F1266" s="22" t="s">
        <v>4197</v>
      </c>
      <c r="G1266" s="21" t="s">
        <v>4198</v>
      </c>
      <c r="H1266" s="21" t="s">
        <v>4199</v>
      </c>
      <c r="I1266" s="12" t="s">
        <v>6609</v>
      </c>
      <c r="J1266" s="12" t="s">
        <v>7418</v>
      </c>
      <c r="K1266" s="12" t="s">
        <v>5197</v>
      </c>
      <c r="L1266" s="12" t="s">
        <v>5198</v>
      </c>
      <c r="M1266" s="12" t="s">
        <v>5199</v>
      </c>
    </row>
    <row r="1267" spans="1:13" ht="39.6">
      <c r="A1267" s="21" t="s">
        <v>4194</v>
      </c>
      <c r="B1267" s="21" t="s">
        <v>4197</v>
      </c>
      <c r="C1267" s="21" t="s">
        <v>4195</v>
      </c>
      <c r="D1267" s="21" t="s">
        <v>71</v>
      </c>
      <c r="E1267" s="22" t="s">
        <v>4196</v>
      </c>
      <c r="F1267" s="22" t="s">
        <v>4197</v>
      </c>
      <c r="G1267" s="21" t="s">
        <v>4198</v>
      </c>
      <c r="H1267" s="21" t="s">
        <v>4199</v>
      </c>
      <c r="I1267" s="12" t="s">
        <v>6610</v>
      </c>
      <c r="J1267" s="12" t="s">
        <v>7419</v>
      </c>
      <c r="K1267" s="12" t="s">
        <v>5200</v>
      </c>
      <c r="L1267" s="12" t="s">
        <v>5201</v>
      </c>
      <c r="M1267" s="12" t="s">
        <v>5200</v>
      </c>
    </row>
    <row r="1268" spans="1:13" ht="52.8">
      <c r="A1268" s="21" t="s">
        <v>4194</v>
      </c>
      <c r="B1268" s="21" t="s">
        <v>4197</v>
      </c>
      <c r="C1268" s="21" t="s">
        <v>4195</v>
      </c>
      <c r="D1268" s="21" t="s">
        <v>71</v>
      </c>
      <c r="E1268" s="22" t="s">
        <v>4196</v>
      </c>
      <c r="F1268" s="22" t="s">
        <v>4197</v>
      </c>
      <c r="G1268" s="21" t="s">
        <v>4198</v>
      </c>
      <c r="H1268" s="21" t="s">
        <v>4199</v>
      </c>
      <c r="I1268" s="12" t="s">
        <v>6611</v>
      </c>
      <c r="J1268" s="12" t="s">
        <v>7420</v>
      </c>
      <c r="K1268" s="12" t="s">
        <v>5202</v>
      </c>
      <c r="L1268" s="12" t="s">
        <v>5203</v>
      </c>
      <c r="M1268" s="12" t="s">
        <v>5202</v>
      </c>
    </row>
    <row r="1269" spans="1:13" ht="52.8">
      <c r="A1269" s="21" t="s">
        <v>4194</v>
      </c>
      <c r="B1269" s="21" t="s">
        <v>4197</v>
      </c>
      <c r="C1269" s="21" t="s">
        <v>4195</v>
      </c>
      <c r="D1269" s="21" t="s">
        <v>71</v>
      </c>
      <c r="E1269" s="22" t="s">
        <v>4196</v>
      </c>
      <c r="F1269" s="22" t="s">
        <v>4197</v>
      </c>
      <c r="G1269" s="21" t="s">
        <v>4198</v>
      </c>
      <c r="H1269" s="21" t="s">
        <v>4199</v>
      </c>
      <c r="I1269" s="12" t="s">
        <v>6612</v>
      </c>
      <c r="J1269" s="12" t="s">
        <v>7421</v>
      </c>
      <c r="K1269" s="12" t="s">
        <v>5204</v>
      </c>
      <c r="L1269" s="12" t="s">
        <v>5205</v>
      </c>
      <c r="M1269" s="12" t="s">
        <v>5206</v>
      </c>
    </row>
    <row r="1270" spans="1:13" ht="39.6">
      <c r="A1270" s="21" t="s">
        <v>4194</v>
      </c>
      <c r="B1270" s="21" t="s">
        <v>4197</v>
      </c>
      <c r="C1270" s="21" t="s">
        <v>4195</v>
      </c>
      <c r="D1270" s="21" t="s">
        <v>71</v>
      </c>
      <c r="E1270" s="22" t="s">
        <v>4196</v>
      </c>
      <c r="F1270" s="22" t="s">
        <v>4197</v>
      </c>
      <c r="G1270" s="21" t="s">
        <v>4198</v>
      </c>
      <c r="H1270" s="21" t="s">
        <v>4199</v>
      </c>
      <c r="I1270" s="12" t="s">
        <v>6613</v>
      </c>
      <c r="J1270" s="12" t="s">
        <v>7422</v>
      </c>
      <c r="K1270" s="12" t="s">
        <v>5207</v>
      </c>
      <c r="L1270" s="12" t="s">
        <v>5208</v>
      </c>
      <c r="M1270" s="12" t="s">
        <v>5207</v>
      </c>
    </row>
    <row r="1271" spans="1:13" ht="39.6">
      <c r="A1271" s="21" t="s">
        <v>4194</v>
      </c>
      <c r="B1271" s="21" t="s">
        <v>4197</v>
      </c>
      <c r="C1271" s="21" t="s">
        <v>4195</v>
      </c>
      <c r="D1271" s="21" t="s">
        <v>71</v>
      </c>
      <c r="E1271" s="22" t="s">
        <v>4196</v>
      </c>
      <c r="F1271" s="22" t="s">
        <v>4197</v>
      </c>
      <c r="G1271" s="21" t="s">
        <v>4198</v>
      </c>
      <c r="H1271" s="21" t="s">
        <v>4199</v>
      </c>
      <c r="I1271" s="12" t="s">
        <v>6614</v>
      </c>
      <c r="J1271" s="12" t="s">
        <v>7423</v>
      </c>
      <c r="K1271" s="12"/>
      <c r="L1271" s="12" t="s">
        <v>5209</v>
      </c>
      <c r="M1271" s="12" t="s">
        <v>5210</v>
      </c>
    </row>
    <row r="1272" spans="1:13" ht="39.6">
      <c r="A1272" s="21" t="s">
        <v>4194</v>
      </c>
      <c r="B1272" s="21" t="s">
        <v>4197</v>
      </c>
      <c r="C1272" s="21" t="s">
        <v>4195</v>
      </c>
      <c r="D1272" s="21" t="s">
        <v>71</v>
      </c>
      <c r="E1272" s="22" t="s">
        <v>4196</v>
      </c>
      <c r="F1272" s="22" t="s">
        <v>4197</v>
      </c>
      <c r="G1272" s="21" t="s">
        <v>4198</v>
      </c>
      <c r="H1272" s="21" t="s">
        <v>4199</v>
      </c>
      <c r="I1272" s="12" t="s">
        <v>6615</v>
      </c>
      <c r="J1272" s="12" t="s">
        <v>7424</v>
      </c>
      <c r="K1272" s="12" t="s">
        <v>5211</v>
      </c>
      <c r="L1272" s="12" t="s">
        <v>5212</v>
      </c>
      <c r="M1272" s="12" t="s">
        <v>5211</v>
      </c>
    </row>
    <row r="1273" spans="1:13" ht="39.6">
      <c r="A1273" s="21" t="s">
        <v>4194</v>
      </c>
      <c r="B1273" s="21" t="s">
        <v>4197</v>
      </c>
      <c r="C1273" s="21" t="s">
        <v>4195</v>
      </c>
      <c r="D1273" s="21" t="s">
        <v>71</v>
      </c>
      <c r="E1273" s="22" t="s">
        <v>4196</v>
      </c>
      <c r="F1273" s="22" t="s">
        <v>4197</v>
      </c>
      <c r="G1273" s="21" t="s">
        <v>4198</v>
      </c>
      <c r="H1273" s="21" t="s">
        <v>4199</v>
      </c>
      <c r="I1273" s="12" t="s">
        <v>6616</v>
      </c>
      <c r="J1273" s="12" t="s">
        <v>7425</v>
      </c>
      <c r="K1273" s="12" t="s">
        <v>5213</v>
      </c>
      <c r="L1273" s="12" t="s">
        <v>5214</v>
      </c>
      <c r="M1273" s="12" t="s">
        <v>5215</v>
      </c>
    </row>
    <row r="1274" spans="1:13" ht="39.6">
      <c r="A1274" s="21" t="s">
        <v>4194</v>
      </c>
      <c r="B1274" s="21" t="s">
        <v>4197</v>
      </c>
      <c r="C1274" s="21" t="s">
        <v>4195</v>
      </c>
      <c r="D1274" s="21" t="s">
        <v>71</v>
      </c>
      <c r="E1274" s="22" t="s">
        <v>4196</v>
      </c>
      <c r="F1274" s="22" t="s">
        <v>4197</v>
      </c>
      <c r="G1274" s="21" t="s">
        <v>4198</v>
      </c>
      <c r="H1274" s="21" t="s">
        <v>4199</v>
      </c>
      <c r="I1274" s="12" t="s">
        <v>6617</v>
      </c>
      <c r="J1274" s="12" t="s">
        <v>7426</v>
      </c>
      <c r="K1274" s="12" t="s">
        <v>5216</v>
      </c>
      <c r="L1274" s="12" t="s">
        <v>5217</v>
      </c>
      <c r="M1274" s="12" t="s">
        <v>5216</v>
      </c>
    </row>
    <row r="1275" spans="1:13" ht="79.2">
      <c r="A1275" s="21" t="s">
        <v>4194</v>
      </c>
      <c r="B1275" s="21" t="s">
        <v>4197</v>
      </c>
      <c r="C1275" s="21" t="s">
        <v>4195</v>
      </c>
      <c r="D1275" s="21" t="s">
        <v>71</v>
      </c>
      <c r="E1275" s="22" t="s">
        <v>4196</v>
      </c>
      <c r="F1275" s="22" t="s">
        <v>4197</v>
      </c>
      <c r="G1275" s="21" t="s">
        <v>4198</v>
      </c>
      <c r="H1275" s="21" t="s">
        <v>4199</v>
      </c>
      <c r="I1275" s="12" t="s">
        <v>6618</v>
      </c>
      <c r="J1275" s="12" t="s">
        <v>7427</v>
      </c>
      <c r="K1275" s="12" t="s">
        <v>5218</v>
      </c>
      <c r="L1275" s="12" t="s">
        <v>5219</v>
      </c>
      <c r="M1275" s="12" t="s">
        <v>5220</v>
      </c>
    </row>
    <row r="1276" spans="1:13" ht="39.6">
      <c r="A1276" s="21" t="s">
        <v>4194</v>
      </c>
      <c r="B1276" s="21" t="s">
        <v>4197</v>
      </c>
      <c r="C1276" s="21" t="s">
        <v>4195</v>
      </c>
      <c r="D1276" s="21" t="s">
        <v>71</v>
      </c>
      <c r="E1276" s="22" t="s">
        <v>4196</v>
      </c>
      <c r="F1276" s="22" t="s">
        <v>4197</v>
      </c>
      <c r="G1276" s="21" t="s">
        <v>4198</v>
      </c>
      <c r="H1276" s="21" t="s">
        <v>4199</v>
      </c>
      <c r="I1276" s="12" t="s">
        <v>6619</v>
      </c>
      <c r="J1276" s="12" t="s">
        <v>7428</v>
      </c>
      <c r="K1276" s="12" t="s">
        <v>5221</v>
      </c>
      <c r="L1276" s="12" t="s">
        <v>5222</v>
      </c>
      <c r="M1276" s="12" t="s">
        <v>5221</v>
      </c>
    </row>
    <row r="1277" spans="1:13" ht="52.8">
      <c r="A1277" s="21" t="s">
        <v>4194</v>
      </c>
      <c r="B1277" s="21" t="s">
        <v>4197</v>
      </c>
      <c r="C1277" s="21" t="s">
        <v>4195</v>
      </c>
      <c r="D1277" s="21" t="s">
        <v>71</v>
      </c>
      <c r="E1277" s="22" t="s">
        <v>4196</v>
      </c>
      <c r="F1277" s="22" t="s">
        <v>4197</v>
      </c>
      <c r="G1277" s="21" t="s">
        <v>4198</v>
      </c>
      <c r="H1277" s="21" t="s">
        <v>4199</v>
      </c>
      <c r="I1277" s="12" t="s">
        <v>6620</v>
      </c>
      <c r="J1277" s="12" t="s">
        <v>7429</v>
      </c>
      <c r="K1277" s="12" t="s">
        <v>5223</v>
      </c>
      <c r="L1277" s="12" t="s">
        <v>5224</v>
      </c>
      <c r="M1277" s="12" t="s">
        <v>5225</v>
      </c>
    </row>
    <row r="1278" spans="1:13" ht="52.8">
      <c r="A1278" s="21" t="s">
        <v>4194</v>
      </c>
      <c r="B1278" s="21" t="s">
        <v>4197</v>
      </c>
      <c r="C1278" s="21" t="s">
        <v>4195</v>
      </c>
      <c r="D1278" s="21" t="s">
        <v>71</v>
      </c>
      <c r="E1278" s="22" t="s">
        <v>4196</v>
      </c>
      <c r="F1278" s="22" t="s">
        <v>4197</v>
      </c>
      <c r="G1278" s="21" t="s">
        <v>4198</v>
      </c>
      <c r="H1278" s="21" t="s">
        <v>4199</v>
      </c>
      <c r="I1278" s="12" t="s">
        <v>6621</v>
      </c>
      <c r="J1278" s="12" t="s">
        <v>7430</v>
      </c>
      <c r="K1278" s="12" t="s">
        <v>5226</v>
      </c>
      <c r="L1278" s="12" t="s">
        <v>5227</v>
      </c>
      <c r="M1278" s="12" t="s">
        <v>5228</v>
      </c>
    </row>
    <row r="1279" spans="1:13" ht="39.6">
      <c r="A1279" s="21" t="s">
        <v>4194</v>
      </c>
      <c r="B1279" s="21" t="s">
        <v>4197</v>
      </c>
      <c r="C1279" s="21" t="s">
        <v>4195</v>
      </c>
      <c r="D1279" s="21" t="s">
        <v>71</v>
      </c>
      <c r="E1279" s="22" t="s">
        <v>4196</v>
      </c>
      <c r="F1279" s="22" t="s">
        <v>4197</v>
      </c>
      <c r="G1279" s="21" t="s">
        <v>4198</v>
      </c>
      <c r="H1279" s="21" t="s">
        <v>4199</v>
      </c>
      <c r="I1279" s="12" t="s">
        <v>6622</v>
      </c>
      <c r="J1279" s="12" t="s">
        <v>7431</v>
      </c>
      <c r="K1279" s="12" t="s">
        <v>5229</v>
      </c>
      <c r="L1279" s="12" t="s">
        <v>5230</v>
      </c>
      <c r="M1279" s="12" t="s">
        <v>5231</v>
      </c>
    </row>
    <row r="1280" spans="1:13" ht="39.6">
      <c r="A1280" s="21" t="s">
        <v>4194</v>
      </c>
      <c r="B1280" s="21" t="s">
        <v>4197</v>
      </c>
      <c r="C1280" s="21" t="s">
        <v>4195</v>
      </c>
      <c r="D1280" s="21" t="s">
        <v>71</v>
      </c>
      <c r="E1280" s="22" t="s">
        <v>4196</v>
      </c>
      <c r="F1280" s="22" t="s">
        <v>4197</v>
      </c>
      <c r="G1280" s="21" t="s">
        <v>4198</v>
      </c>
      <c r="H1280" s="21" t="s">
        <v>4199</v>
      </c>
      <c r="I1280" s="12" t="s">
        <v>6623</v>
      </c>
      <c r="J1280" s="12" t="s">
        <v>7432</v>
      </c>
      <c r="K1280" s="12" t="s">
        <v>5232</v>
      </c>
      <c r="L1280" s="12" t="s">
        <v>5233</v>
      </c>
      <c r="M1280" s="12" t="s">
        <v>5232</v>
      </c>
    </row>
    <row r="1281" spans="1:13" ht="52.8">
      <c r="A1281" s="21" t="s">
        <v>4194</v>
      </c>
      <c r="B1281" s="21" t="s">
        <v>4197</v>
      </c>
      <c r="C1281" s="21" t="s">
        <v>4195</v>
      </c>
      <c r="D1281" s="21" t="s">
        <v>71</v>
      </c>
      <c r="E1281" s="22" t="s">
        <v>4196</v>
      </c>
      <c r="F1281" s="22" t="s">
        <v>4197</v>
      </c>
      <c r="G1281" s="21" t="s">
        <v>4198</v>
      </c>
      <c r="H1281" s="21" t="s">
        <v>4199</v>
      </c>
      <c r="I1281" s="12" t="s">
        <v>6624</v>
      </c>
      <c r="J1281" s="12" t="s">
        <v>7433</v>
      </c>
      <c r="K1281" s="12" t="s">
        <v>5234</v>
      </c>
      <c r="L1281" s="12" t="s">
        <v>5235</v>
      </c>
      <c r="M1281" s="12" t="s">
        <v>5236</v>
      </c>
    </row>
    <row r="1282" spans="1:13" ht="39.6">
      <c r="A1282" s="21" t="s">
        <v>4194</v>
      </c>
      <c r="B1282" s="21" t="s">
        <v>4197</v>
      </c>
      <c r="C1282" s="21" t="s">
        <v>4195</v>
      </c>
      <c r="D1282" s="21" t="s">
        <v>71</v>
      </c>
      <c r="E1282" s="22" t="s">
        <v>4196</v>
      </c>
      <c r="F1282" s="22" t="s">
        <v>4197</v>
      </c>
      <c r="G1282" s="21" t="s">
        <v>4198</v>
      </c>
      <c r="H1282" s="21" t="s">
        <v>4199</v>
      </c>
      <c r="I1282" s="12" t="s">
        <v>6625</v>
      </c>
      <c r="J1282" s="12" t="s">
        <v>7434</v>
      </c>
      <c r="K1282" s="12" t="s">
        <v>5237</v>
      </c>
      <c r="L1282" s="12" t="s">
        <v>5238</v>
      </c>
      <c r="M1282" s="12" t="s">
        <v>5237</v>
      </c>
    </row>
    <row r="1283" spans="1:13" ht="52.8">
      <c r="A1283" s="21" t="s">
        <v>4194</v>
      </c>
      <c r="B1283" s="21" t="s">
        <v>4197</v>
      </c>
      <c r="C1283" s="21" t="s">
        <v>4195</v>
      </c>
      <c r="D1283" s="21" t="s">
        <v>71</v>
      </c>
      <c r="E1283" s="22" t="s">
        <v>4196</v>
      </c>
      <c r="F1283" s="22" t="s">
        <v>4197</v>
      </c>
      <c r="G1283" s="21" t="s">
        <v>4198</v>
      </c>
      <c r="H1283" s="21" t="s">
        <v>4199</v>
      </c>
      <c r="I1283" s="12" t="s">
        <v>6626</v>
      </c>
      <c r="J1283" s="12" t="s">
        <v>7435</v>
      </c>
      <c r="K1283" s="12" t="s">
        <v>5239</v>
      </c>
      <c r="L1283" s="12" t="s">
        <v>5240</v>
      </c>
      <c r="M1283" s="12" t="s">
        <v>5241</v>
      </c>
    </row>
    <row r="1284" spans="1:13" ht="52.8">
      <c r="A1284" s="21" t="s">
        <v>4194</v>
      </c>
      <c r="B1284" s="21" t="s">
        <v>4197</v>
      </c>
      <c r="C1284" s="21" t="s">
        <v>4195</v>
      </c>
      <c r="D1284" s="21" t="s">
        <v>71</v>
      </c>
      <c r="E1284" s="22" t="s">
        <v>4196</v>
      </c>
      <c r="F1284" s="22" t="s">
        <v>4197</v>
      </c>
      <c r="G1284" s="21" t="s">
        <v>4198</v>
      </c>
      <c r="H1284" s="21" t="s">
        <v>4199</v>
      </c>
      <c r="I1284" s="12" t="s">
        <v>6627</v>
      </c>
      <c r="J1284" s="12" t="s">
        <v>7436</v>
      </c>
      <c r="K1284" s="12" t="s">
        <v>5242</v>
      </c>
      <c r="L1284" s="12" t="s">
        <v>5243</v>
      </c>
      <c r="M1284" s="12" t="s">
        <v>5244</v>
      </c>
    </row>
    <row r="1285" spans="1:13" ht="52.8">
      <c r="A1285" s="21" t="s">
        <v>4194</v>
      </c>
      <c r="B1285" s="21" t="s">
        <v>4197</v>
      </c>
      <c r="C1285" s="21" t="s">
        <v>4195</v>
      </c>
      <c r="D1285" s="21" t="s">
        <v>71</v>
      </c>
      <c r="E1285" s="22" t="s">
        <v>4196</v>
      </c>
      <c r="F1285" s="22" t="s">
        <v>4197</v>
      </c>
      <c r="G1285" s="21" t="s">
        <v>4198</v>
      </c>
      <c r="H1285" s="21" t="s">
        <v>4199</v>
      </c>
      <c r="I1285" s="12" t="s">
        <v>6628</v>
      </c>
      <c r="J1285" s="12" t="s">
        <v>7437</v>
      </c>
      <c r="K1285" s="12" t="s">
        <v>5245</v>
      </c>
      <c r="L1285" s="12" t="s">
        <v>5246</v>
      </c>
      <c r="M1285" s="12" t="s">
        <v>5247</v>
      </c>
    </row>
    <row r="1286" spans="1:13" ht="39.6">
      <c r="A1286" s="21" t="s">
        <v>4194</v>
      </c>
      <c r="B1286" s="21" t="s">
        <v>4197</v>
      </c>
      <c r="C1286" s="21" t="s">
        <v>4195</v>
      </c>
      <c r="D1286" s="21" t="s">
        <v>71</v>
      </c>
      <c r="E1286" s="22" t="s">
        <v>4196</v>
      </c>
      <c r="F1286" s="22" t="s">
        <v>4197</v>
      </c>
      <c r="G1286" s="21" t="s">
        <v>4198</v>
      </c>
      <c r="H1286" s="21" t="s">
        <v>4199</v>
      </c>
      <c r="I1286" s="12" t="s">
        <v>6629</v>
      </c>
      <c r="J1286" s="12" t="s">
        <v>7438</v>
      </c>
      <c r="K1286" s="12" t="s">
        <v>5248</v>
      </c>
      <c r="L1286" s="12" t="s">
        <v>5249</v>
      </c>
      <c r="M1286" s="12" t="s">
        <v>5250</v>
      </c>
    </row>
    <row r="1287" spans="1:13" ht="39.6">
      <c r="A1287" s="21" t="s">
        <v>4194</v>
      </c>
      <c r="B1287" s="21" t="s">
        <v>4197</v>
      </c>
      <c r="C1287" s="21" t="s">
        <v>4195</v>
      </c>
      <c r="D1287" s="21" t="s">
        <v>71</v>
      </c>
      <c r="E1287" s="22" t="s">
        <v>4196</v>
      </c>
      <c r="F1287" s="22" t="s">
        <v>4197</v>
      </c>
      <c r="G1287" s="21" t="s">
        <v>4198</v>
      </c>
      <c r="H1287" s="21" t="s">
        <v>4199</v>
      </c>
      <c r="I1287" s="12" t="s">
        <v>6630</v>
      </c>
      <c r="J1287" s="12" t="s">
        <v>7439</v>
      </c>
      <c r="K1287" s="12" t="s">
        <v>5251</v>
      </c>
      <c r="L1287" s="12" t="s">
        <v>5252</v>
      </c>
      <c r="M1287" s="12" t="s">
        <v>5251</v>
      </c>
    </row>
    <row r="1288" spans="1:13" ht="39.6">
      <c r="A1288" s="21" t="s">
        <v>4194</v>
      </c>
      <c r="B1288" s="21" t="s">
        <v>4197</v>
      </c>
      <c r="C1288" s="21" t="s">
        <v>4195</v>
      </c>
      <c r="D1288" s="21" t="s">
        <v>71</v>
      </c>
      <c r="E1288" s="22" t="s">
        <v>4196</v>
      </c>
      <c r="F1288" s="22" t="s">
        <v>4197</v>
      </c>
      <c r="G1288" s="21" t="s">
        <v>4198</v>
      </c>
      <c r="H1288" s="21" t="s">
        <v>4199</v>
      </c>
      <c r="I1288" s="12" t="s">
        <v>6631</v>
      </c>
      <c r="J1288" s="12" t="s">
        <v>7440</v>
      </c>
      <c r="K1288" s="12" t="s">
        <v>5253</v>
      </c>
      <c r="L1288" s="12" t="s">
        <v>5254</v>
      </c>
      <c r="M1288" s="12" t="s">
        <v>5253</v>
      </c>
    </row>
    <row r="1289" spans="1:13" ht="52.8">
      <c r="A1289" s="21" t="s">
        <v>4194</v>
      </c>
      <c r="B1289" s="21" t="s">
        <v>4197</v>
      </c>
      <c r="C1289" s="21" t="s">
        <v>4195</v>
      </c>
      <c r="D1289" s="21" t="s">
        <v>71</v>
      </c>
      <c r="E1289" s="22" t="s">
        <v>4196</v>
      </c>
      <c r="F1289" s="22" t="s">
        <v>4197</v>
      </c>
      <c r="G1289" s="21" t="s">
        <v>4198</v>
      </c>
      <c r="H1289" s="21" t="s">
        <v>4199</v>
      </c>
      <c r="I1289" s="12" t="s">
        <v>6632</v>
      </c>
      <c r="J1289" s="12" t="s">
        <v>7441</v>
      </c>
      <c r="K1289" s="12" t="s">
        <v>5255</v>
      </c>
      <c r="L1289" s="12" t="s">
        <v>5256</v>
      </c>
      <c r="M1289" s="12" t="s">
        <v>5257</v>
      </c>
    </row>
    <row r="1290" spans="1:13" ht="39.6">
      <c r="A1290" s="21" t="s">
        <v>4194</v>
      </c>
      <c r="B1290" s="21" t="s">
        <v>4197</v>
      </c>
      <c r="C1290" s="21" t="s">
        <v>4195</v>
      </c>
      <c r="D1290" s="21" t="s">
        <v>71</v>
      </c>
      <c r="E1290" s="22" t="s">
        <v>4196</v>
      </c>
      <c r="F1290" s="22" t="s">
        <v>4197</v>
      </c>
      <c r="G1290" s="21" t="s">
        <v>4198</v>
      </c>
      <c r="H1290" s="21" t="s">
        <v>4199</v>
      </c>
      <c r="I1290" s="12" t="s">
        <v>6633</v>
      </c>
      <c r="J1290" s="12" t="s">
        <v>7442</v>
      </c>
      <c r="K1290" s="12" t="s">
        <v>5258</v>
      </c>
      <c r="L1290" s="12" t="s">
        <v>5259</v>
      </c>
      <c r="M1290" s="12" t="s">
        <v>5260</v>
      </c>
    </row>
    <row r="1291" spans="1:13" ht="66">
      <c r="A1291" s="21" t="s">
        <v>4194</v>
      </c>
      <c r="B1291" s="21" t="s">
        <v>4197</v>
      </c>
      <c r="C1291" s="21" t="s">
        <v>4195</v>
      </c>
      <c r="D1291" s="21" t="s">
        <v>71</v>
      </c>
      <c r="E1291" s="22" t="s">
        <v>4196</v>
      </c>
      <c r="F1291" s="22" t="s">
        <v>4197</v>
      </c>
      <c r="G1291" s="21" t="s">
        <v>4198</v>
      </c>
      <c r="H1291" s="21" t="s">
        <v>4199</v>
      </c>
      <c r="I1291" s="12" t="s">
        <v>6634</v>
      </c>
      <c r="J1291" s="12" t="s">
        <v>7443</v>
      </c>
      <c r="K1291" s="12" t="s">
        <v>5261</v>
      </c>
      <c r="L1291" s="12" t="s">
        <v>5262</v>
      </c>
      <c r="M1291" s="12" t="s">
        <v>5263</v>
      </c>
    </row>
    <row r="1292" spans="1:13" ht="39.6">
      <c r="A1292" s="21" t="s">
        <v>4194</v>
      </c>
      <c r="B1292" s="21" t="s">
        <v>4197</v>
      </c>
      <c r="C1292" s="21" t="s">
        <v>4195</v>
      </c>
      <c r="D1292" s="21" t="s">
        <v>71</v>
      </c>
      <c r="E1292" s="22" t="s">
        <v>4196</v>
      </c>
      <c r="F1292" s="22" t="s">
        <v>4197</v>
      </c>
      <c r="G1292" s="21" t="s">
        <v>4198</v>
      </c>
      <c r="H1292" s="21" t="s">
        <v>4199</v>
      </c>
      <c r="I1292" s="12" t="s">
        <v>6635</v>
      </c>
      <c r="J1292" s="12" t="s">
        <v>7444</v>
      </c>
      <c r="K1292" s="12" t="s">
        <v>5264</v>
      </c>
      <c r="L1292" s="12" t="s">
        <v>5265</v>
      </c>
      <c r="M1292" s="12" t="s">
        <v>5266</v>
      </c>
    </row>
    <row r="1293" spans="1:13" ht="39.6">
      <c r="A1293" s="21" t="s">
        <v>4194</v>
      </c>
      <c r="B1293" s="21" t="s">
        <v>4197</v>
      </c>
      <c r="C1293" s="21" t="s">
        <v>4195</v>
      </c>
      <c r="D1293" s="21" t="s">
        <v>71</v>
      </c>
      <c r="E1293" s="22" t="s">
        <v>4196</v>
      </c>
      <c r="F1293" s="22" t="s">
        <v>4197</v>
      </c>
      <c r="G1293" s="21" t="s">
        <v>4198</v>
      </c>
      <c r="H1293" s="21" t="s">
        <v>4199</v>
      </c>
      <c r="I1293" s="12" t="s">
        <v>6636</v>
      </c>
      <c r="J1293" s="12" t="s">
        <v>7445</v>
      </c>
      <c r="K1293" s="12"/>
      <c r="L1293" s="12" t="s">
        <v>5267</v>
      </c>
      <c r="M1293" s="12" t="s">
        <v>5268</v>
      </c>
    </row>
    <row r="1294" spans="1:13" ht="39.6">
      <c r="A1294" s="21" t="s">
        <v>4194</v>
      </c>
      <c r="B1294" s="21" t="s">
        <v>4197</v>
      </c>
      <c r="C1294" s="21" t="s">
        <v>4195</v>
      </c>
      <c r="D1294" s="21" t="s">
        <v>71</v>
      </c>
      <c r="E1294" s="22" t="s">
        <v>4196</v>
      </c>
      <c r="F1294" s="22" t="s">
        <v>4197</v>
      </c>
      <c r="G1294" s="21" t="s">
        <v>4198</v>
      </c>
      <c r="H1294" s="21" t="s">
        <v>4199</v>
      </c>
      <c r="I1294" s="12" t="s">
        <v>6637</v>
      </c>
      <c r="J1294" s="12" t="s">
        <v>7446</v>
      </c>
      <c r="K1294" s="12"/>
      <c r="L1294" s="12" t="s">
        <v>5269</v>
      </c>
      <c r="M1294" s="12" t="s">
        <v>5270</v>
      </c>
    </row>
    <row r="1295" spans="1:13" ht="39.6">
      <c r="A1295" s="21" t="s">
        <v>4194</v>
      </c>
      <c r="B1295" s="21" t="s">
        <v>4197</v>
      </c>
      <c r="C1295" s="21" t="s">
        <v>4195</v>
      </c>
      <c r="D1295" s="21" t="s">
        <v>71</v>
      </c>
      <c r="E1295" s="22" t="s">
        <v>4196</v>
      </c>
      <c r="F1295" s="22" t="s">
        <v>4197</v>
      </c>
      <c r="G1295" s="21" t="s">
        <v>4198</v>
      </c>
      <c r="H1295" s="21" t="s">
        <v>4199</v>
      </c>
      <c r="I1295" s="12" t="s">
        <v>6638</v>
      </c>
      <c r="J1295" s="12" t="s">
        <v>7447</v>
      </c>
      <c r="K1295" s="12" t="s">
        <v>5271</v>
      </c>
      <c r="L1295" s="12" t="s">
        <v>5272</v>
      </c>
      <c r="M1295" s="12" t="s">
        <v>5273</v>
      </c>
    </row>
    <row r="1296" spans="1:13" ht="39.6">
      <c r="A1296" s="21" t="s">
        <v>4194</v>
      </c>
      <c r="B1296" s="21" t="s">
        <v>4197</v>
      </c>
      <c r="C1296" s="21" t="s">
        <v>4195</v>
      </c>
      <c r="D1296" s="21" t="s">
        <v>71</v>
      </c>
      <c r="E1296" s="22" t="s">
        <v>4196</v>
      </c>
      <c r="F1296" s="22" t="s">
        <v>4197</v>
      </c>
      <c r="G1296" s="21" t="s">
        <v>4198</v>
      </c>
      <c r="H1296" s="21" t="s">
        <v>4199</v>
      </c>
      <c r="I1296" s="12" t="s">
        <v>6639</v>
      </c>
      <c r="J1296" s="12" t="s">
        <v>7448</v>
      </c>
      <c r="K1296" s="12" t="s">
        <v>5274</v>
      </c>
      <c r="L1296" s="12" t="s">
        <v>5275</v>
      </c>
      <c r="M1296" s="12" t="s">
        <v>5274</v>
      </c>
    </row>
    <row r="1297" spans="1:13" ht="39.6">
      <c r="A1297" s="21" t="s">
        <v>4194</v>
      </c>
      <c r="B1297" s="21" t="s">
        <v>4197</v>
      </c>
      <c r="C1297" s="21" t="s">
        <v>4195</v>
      </c>
      <c r="D1297" s="21" t="s">
        <v>71</v>
      </c>
      <c r="E1297" s="22" t="s">
        <v>4196</v>
      </c>
      <c r="F1297" s="22" t="s">
        <v>4197</v>
      </c>
      <c r="G1297" s="21" t="s">
        <v>4198</v>
      </c>
      <c r="H1297" s="21" t="s">
        <v>4199</v>
      </c>
      <c r="I1297" s="12" t="s">
        <v>6640</v>
      </c>
      <c r="J1297" s="12" t="s">
        <v>7449</v>
      </c>
      <c r="K1297" s="12" t="s">
        <v>5276</v>
      </c>
      <c r="L1297" s="12" t="s">
        <v>5277</v>
      </c>
      <c r="M1297" s="12" t="s">
        <v>5276</v>
      </c>
    </row>
    <row r="1298" spans="1:13" ht="39.6">
      <c r="A1298" s="21" t="s">
        <v>4194</v>
      </c>
      <c r="B1298" s="21" t="s">
        <v>4197</v>
      </c>
      <c r="C1298" s="21" t="s">
        <v>4195</v>
      </c>
      <c r="D1298" s="21" t="s">
        <v>71</v>
      </c>
      <c r="E1298" s="22" t="s">
        <v>4196</v>
      </c>
      <c r="F1298" s="22" t="s">
        <v>4197</v>
      </c>
      <c r="G1298" s="21" t="s">
        <v>4198</v>
      </c>
      <c r="H1298" s="21" t="s">
        <v>4199</v>
      </c>
      <c r="I1298" s="12" t="s">
        <v>6641</v>
      </c>
      <c r="J1298" s="12" t="s">
        <v>7450</v>
      </c>
      <c r="K1298" s="12"/>
      <c r="L1298" s="12" t="s">
        <v>5278</v>
      </c>
      <c r="M1298" s="12" t="s">
        <v>5279</v>
      </c>
    </row>
    <row r="1299" spans="1:13" ht="39.6">
      <c r="A1299" s="21" t="s">
        <v>4194</v>
      </c>
      <c r="B1299" s="21" t="s">
        <v>4197</v>
      </c>
      <c r="C1299" s="21" t="s">
        <v>4195</v>
      </c>
      <c r="D1299" s="21" t="s">
        <v>71</v>
      </c>
      <c r="E1299" s="22" t="s">
        <v>4196</v>
      </c>
      <c r="F1299" s="22" t="s">
        <v>4197</v>
      </c>
      <c r="G1299" s="21" t="s">
        <v>4198</v>
      </c>
      <c r="H1299" s="21" t="s">
        <v>4199</v>
      </c>
      <c r="I1299" s="12" t="s">
        <v>6642</v>
      </c>
      <c r="J1299" s="12" t="s">
        <v>7451</v>
      </c>
      <c r="K1299" s="12"/>
      <c r="L1299" s="12" t="s">
        <v>5280</v>
      </c>
      <c r="M1299" s="12" t="s">
        <v>5281</v>
      </c>
    </row>
    <row r="1300" spans="1:13" ht="52.8">
      <c r="A1300" s="21" t="s">
        <v>4194</v>
      </c>
      <c r="B1300" s="21" t="s">
        <v>4197</v>
      </c>
      <c r="C1300" s="21" t="s">
        <v>4195</v>
      </c>
      <c r="D1300" s="21" t="s">
        <v>71</v>
      </c>
      <c r="E1300" s="22" t="s">
        <v>4196</v>
      </c>
      <c r="F1300" s="22" t="s">
        <v>4197</v>
      </c>
      <c r="G1300" s="21" t="s">
        <v>4198</v>
      </c>
      <c r="H1300" s="21" t="s">
        <v>4199</v>
      </c>
      <c r="I1300" s="12" t="s">
        <v>6643</v>
      </c>
      <c r="J1300" s="12" t="s">
        <v>7452</v>
      </c>
      <c r="K1300" s="12"/>
      <c r="L1300" s="12" t="s">
        <v>5282</v>
      </c>
      <c r="M1300" s="12" t="s">
        <v>5283</v>
      </c>
    </row>
    <row r="1301" spans="1:13" ht="39.6">
      <c r="A1301" s="21" t="s">
        <v>4194</v>
      </c>
      <c r="B1301" s="21" t="s">
        <v>4197</v>
      </c>
      <c r="C1301" s="21" t="s">
        <v>4195</v>
      </c>
      <c r="D1301" s="21" t="s">
        <v>71</v>
      </c>
      <c r="E1301" s="22" t="s">
        <v>4196</v>
      </c>
      <c r="F1301" s="22" t="s">
        <v>4197</v>
      </c>
      <c r="G1301" s="21" t="s">
        <v>4198</v>
      </c>
      <c r="H1301" s="21" t="s">
        <v>4199</v>
      </c>
      <c r="I1301" s="12" t="s">
        <v>6644</v>
      </c>
      <c r="J1301" s="12" t="s">
        <v>7453</v>
      </c>
      <c r="K1301" s="12"/>
      <c r="L1301" s="12" t="s">
        <v>5284</v>
      </c>
      <c r="M1301" s="12" t="s">
        <v>5285</v>
      </c>
    </row>
    <row r="1302" spans="1:13" ht="92.4">
      <c r="A1302" s="21" t="s">
        <v>4194</v>
      </c>
      <c r="B1302" s="21" t="s">
        <v>4197</v>
      </c>
      <c r="C1302" s="21" t="s">
        <v>4195</v>
      </c>
      <c r="D1302" s="21" t="s">
        <v>71</v>
      </c>
      <c r="E1302" s="22" t="s">
        <v>4196</v>
      </c>
      <c r="F1302" s="22" t="s">
        <v>4197</v>
      </c>
      <c r="G1302" s="21" t="s">
        <v>4198</v>
      </c>
      <c r="H1302" s="21" t="s">
        <v>4199</v>
      </c>
      <c r="I1302" s="12" t="s">
        <v>6645</v>
      </c>
      <c r="J1302" s="12" t="s">
        <v>7454</v>
      </c>
      <c r="K1302" s="12" t="s">
        <v>5286</v>
      </c>
      <c r="L1302" s="12" t="s">
        <v>5287</v>
      </c>
      <c r="M1302" s="12" t="s">
        <v>5288</v>
      </c>
    </row>
    <row r="1303" spans="1:13" ht="39.6">
      <c r="A1303" s="21" t="s">
        <v>4194</v>
      </c>
      <c r="B1303" s="21" t="s">
        <v>4197</v>
      </c>
      <c r="C1303" s="21" t="s">
        <v>4195</v>
      </c>
      <c r="D1303" s="21" t="s">
        <v>71</v>
      </c>
      <c r="E1303" s="22" t="s">
        <v>4196</v>
      </c>
      <c r="F1303" s="22" t="s">
        <v>4197</v>
      </c>
      <c r="G1303" s="21" t="s">
        <v>4198</v>
      </c>
      <c r="H1303" s="21" t="s">
        <v>4199</v>
      </c>
      <c r="I1303" s="12" t="s">
        <v>6646</v>
      </c>
      <c r="J1303" s="12" t="s">
        <v>7455</v>
      </c>
      <c r="K1303" s="12"/>
      <c r="L1303" s="12" t="s">
        <v>5289</v>
      </c>
      <c r="M1303" s="12" t="s">
        <v>5290</v>
      </c>
    </row>
    <row r="1304" spans="1:13" ht="39.6">
      <c r="A1304" s="21" t="s">
        <v>4194</v>
      </c>
      <c r="B1304" s="21" t="s">
        <v>4197</v>
      </c>
      <c r="C1304" s="21" t="s">
        <v>4195</v>
      </c>
      <c r="D1304" s="21" t="s">
        <v>71</v>
      </c>
      <c r="E1304" s="22" t="s">
        <v>4196</v>
      </c>
      <c r="F1304" s="22" t="s">
        <v>4197</v>
      </c>
      <c r="G1304" s="21" t="s">
        <v>4198</v>
      </c>
      <c r="H1304" s="21" t="s">
        <v>4199</v>
      </c>
      <c r="I1304" s="12" t="s">
        <v>6647</v>
      </c>
      <c r="J1304" s="12" t="s">
        <v>7456</v>
      </c>
      <c r="K1304" s="12" t="s">
        <v>5291</v>
      </c>
      <c r="L1304" s="12" t="s">
        <v>5292</v>
      </c>
      <c r="M1304" s="12" t="s">
        <v>5291</v>
      </c>
    </row>
    <row r="1305" spans="1:13" ht="39.6">
      <c r="A1305" s="21" t="s">
        <v>4194</v>
      </c>
      <c r="B1305" s="21" t="s">
        <v>4197</v>
      </c>
      <c r="C1305" s="21" t="s">
        <v>4195</v>
      </c>
      <c r="D1305" s="21" t="s">
        <v>71</v>
      </c>
      <c r="E1305" s="22" t="s">
        <v>4196</v>
      </c>
      <c r="F1305" s="22" t="s">
        <v>4197</v>
      </c>
      <c r="G1305" s="21" t="s">
        <v>4198</v>
      </c>
      <c r="H1305" s="21" t="s">
        <v>4199</v>
      </c>
      <c r="I1305" s="12" t="s">
        <v>6648</v>
      </c>
      <c r="J1305" s="12" t="s">
        <v>7457</v>
      </c>
      <c r="K1305" s="12" t="s">
        <v>5293</v>
      </c>
      <c r="L1305" s="12" t="s">
        <v>5294</v>
      </c>
      <c r="M1305" s="12" t="s">
        <v>5293</v>
      </c>
    </row>
    <row r="1306" spans="1:13" ht="39.6">
      <c r="A1306" s="21" t="s">
        <v>4194</v>
      </c>
      <c r="B1306" s="21" t="s">
        <v>4197</v>
      </c>
      <c r="C1306" s="21" t="s">
        <v>4195</v>
      </c>
      <c r="D1306" s="21" t="s">
        <v>71</v>
      </c>
      <c r="E1306" s="22" t="s">
        <v>4196</v>
      </c>
      <c r="F1306" s="22" t="s">
        <v>4197</v>
      </c>
      <c r="G1306" s="21" t="s">
        <v>4198</v>
      </c>
      <c r="H1306" s="21" t="s">
        <v>4199</v>
      </c>
      <c r="I1306" s="12" t="s">
        <v>6649</v>
      </c>
      <c r="J1306" s="12" t="s">
        <v>7458</v>
      </c>
      <c r="K1306" s="12"/>
      <c r="L1306" s="12" t="s">
        <v>5295</v>
      </c>
      <c r="M1306" s="12" t="s">
        <v>5296</v>
      </c>
    </row>
    <row r="1307" spans="1:13" ht="66">
      <c r="A1307" s="21" t="s">
        <v>4194</v>
      </c>
      <c r="B1307" s="21" t="s">
        <v>4197</v>
      </c>
      <c r="C1307" s="21" t="s">
        <v>4195</v>
      </c>
      <c r="D1307" s="21" t="s">
        <v>71</v>
      </c>
      <c r="E1307" s="22" t="s">
        <v>4196</v>
      </c>
      <c r="F1307" s="22" t="s">
        <v>4197</v>
      </c>
      <c r="G1307" s="21" t="s">
        <v>4198</v>
      </c>
      <c r="H1307" s="21" t="s">
        <v>4199</v>
      </c>
      <c r="I1307" s="12" t="s">
        <v>6650</v>
      </c>
      <c r="J1307" s="12" t="s">
        <v>7459</v>
      </c>
      <c r="K1307" s="12" t="s">
        <v>5297</v>
      </c>
      <c r="L1307" s="12" t="s">
        <v>5298</v>
      </c>
      <c r="M1307" s="12" t="s">
        <v>5299</v>
      </c>
    </row>
    <row r="1308" spans="1:13" ht="39.6">
      <c r="A1308" s="21" t="s">
        <v>4194</v>
      </c>
      <c r="B1308" s="21" t="s">
        <v>4197</v>
      </c>
      <c r="C1308" s="21" t="s">
        <v>4195</v>
      </c>
      <c r="D1308" s="21" t="s">
        <v>71</v>
      </c>
      <c r="E1308" s="22" t="s">
        <v>4196</v>
      </c>
      <c r="F1308" s="22" t="s">
        <v>4197</v>
      </c>
      <c r="G1308" s="21" t="s">
        <v>4198</v>
      </c>
      <c r="H1308" s="21" t="s">
        <v>4199</v>
      </c>
      <c r="I1308" s="12" t="s">
        <v>6651</v>
      </c>
      <c r="J1308" s="12" t="s">
        <v>7460</v>
      </c>
      <c r="K1308" s="12" t="s">
        <v>5300</v>
      </c>
      <c r="L1308" s="12" t="s">
        <v>5301</v>
      </c>
      <c r="M1308" s="12" t="s">
        <v>5300</v>
      </c>
    </row>
    <row r="1309" spans="1:13" ht="39.6">
      <c r="A1309" s="21" t="s">
        <v>4194</v>
      </c>
      <c r="B1309" s="21" t="s">
        <v>4197</v>
      </c>
      <c r="C1309" s="21" t="s">
        <v>4195</v>
      </c>
      <c r="D1309" s="21" t="s">
        <v>71</v>
      </c>
      <c r="E1309" s="22" t="s">
        <v>4196</v>
      </c>
      <c r="F1309" s="22" t="s">
        <v>4197</v>
      </c>
      <c r="G1309" s="21" t="s">
        <v>4198</v>
      </c>
      <c r="H1309" s="21" t="s">
        <v>4199</v>
      </c>
      <c r="I1309" s="12" t="s">
        <v>6652</v>
      </c>
      <c r="J1309" s="12" t="s">
        <v>7461</v>
      </c>
      <c r="K1309" s="12"/>
      <c r="L1309" s="12" t="s">
        <v>5302</v>
      </c>
      <c r="M1309" s="12" t="s">
        <v>5303</v>
      </c>
    </row>
    <row r="1310" spans="1:13" ht="39.6">
      <c r="A1310" s="21" t="s">
        <v>4194</v>
      </c>
      <c r="B1310" s="21" t="s">
        <v>4197</v>
      </c>
      <c r="C1310" s="21" t="s">
        <v>4195</v>
      </c>
      <c r="D1310" s="21" t="s">
        <v>71</v>
      </c>
      <c r="E1310" s="22" t="s">
        <v>4196</v>
      </c>
      <c r="F1310" s="22" t="s">
        <v>4197</v>
      </c>
      <c r="G1310" s="21" t="s">
        <v>4198</v>
      </c>
      <c r="H1310" s="21" t="s">
        <v>4199</v>
      </c>
      <c r="I1310" s="12" t="s">
        <v>6653</v>
      </c>
      <c r="J1310" s="12" t="s">
        <v>7462</v>
      </c>
      <c r="K1310" s="12" t="s">
        <v>5304</v>
      </c>
      <c r="L1310" s="12" t="s">
        <v>5305</v>
      </c>
      <c r="M1310" s="12" t="s">
        <v>5304</v>
      </c>
    </row>
    <row r="1311" spans="1:13" ht="39.6">
      <c r="A1311" s="21" t="s">
        <v>4194</v>
      </c>
      <c r="B1311" s="21" t="s">
        <v>4197</v>
      </c>
      <c r="C1311" s="21" t="s">
        <v>4195</v>
      </c>
      <c r="D1311" s="21" t="s">
        <v>71</v>
      </c>
      <c r="E1311" s="22" t="s">
        <v>4196</v>
      </c>
      <c r="F1311" s="22" t="s">
        <v>4197</v>
      </c>
      <c r="G1311" s="21" t="s">
        <v>4198</v>
      </c>
      <c r="H1311" s="21" t="s">
        <v>4199</v>
      </c>
      <c r="I1311" s="12" t="s">
        <v>6654</v>
      </c>
      <c r="J1311" s="12" t="s">
        <v>7463</v>
      </c>
      <c r="K1311" s="12" t="s">
        <v>5306</v>
      </c>
      <c r="L1311" s="12" t="s">
        <v>5307</v>
      </c>
      <c r="M1311" s="12" t="s">
        <v>5306</v>
      </c>
    </row>
    <row r="1312" spans="1:13" ht="39.6">
      <c r="A1312" s="21" t="s">
        <v>4194</v>
      </c>
      <c r="B1312" s="21" t="s">
        <v>4197</v>
      </c>
      <c r="C1312" s="21" t="s">
        <v>4195</v>
      </c>
      <c r="D1312" s="21" t="s">
        <v>71</v>
      </c>
      <c r="E1312" s="22" t="s">
        <v>4196</v>
      </c>
      <c r="F1312" s="22" t="s">
        <v>4197</v>
      </c>
      <c r="G1312" s="21" t="s">
        <v>4198</v>
      </c>
      <c r="H1312" s="21" t="s">
        <v>4199</v>
      </c>
      <c r="I1312" s="12" t="s">
        <v>6655</v>
      </c>
      <c r="J1312" s="12" t="s">
        <v>7464</v>
      </c>
      <c r="K1312" s="12" t="s">
        <v>5308</v>
      </c>
      <c r="L1312" s="12" t="s">
        <v>5309</v>
      </c>
      <c r="M1312" s="12" t="s">
        <v>5310</v>
      </c>
    </row>
    <row r="1313" spans="1:13" ht="39.6">
      <c r="A1313" s="21" t="s">
        <v>4194</v>
      </c>
      <c r="B1313" s="21" t="s">
        <v>4197</v>
      </c>
      <c r="C1313" s="21" t="s">
        <v>4195</v>
      </c>
      <c r="D1313" s="21" t="s">
        <v>71</v>
      </c>
      <c r="E1313" s="22" t="s">
        <v>4196</v>
      </c>
      <c r="F1313" s="22" t="s">
        <v>4197</v>
      </c>
      <c r="G1313" s="21" t="s">
        <v>4198</v>
      </c>
      <c r="H1313" s="21" t="s">
        <v>4199</v>
      </c>
      <c r="I1313" s="12" t="s">
        <v>6656</v>
      </c>
      <c r="J1313" s="12" t="s">
        <v>7465</v>
      </c>
      <c r="K1313" s="12" t="s">
        <v>5311</v>
      </c>
      <c r="L1313" s="12" t="s">
        <v>5312</v>
      </c>
      <c r="M1313" s="12" t="s">
        <v>5313</v>
      </c>
    </row>
    <row r="1314" spans="1:13" ht="92.4">
      <c r="A1314" s="21" t="s">
        <v>4194</v>
      </c>
      <c r="B1314" s="21" t="s">
        <v>4197</v>
      </c>
      <c r="C1314" s="21" t="s">
        <v>4195</v>
      </c>
      <c r="D1314" s="21" t="s">
        <v>71</v>
      </c>
      <c r="E1314" s="22" t="s">
        <v>4196</v>
      </c>
      <c r="F1314" s="22" t="s">
        <v>4197</v>
      </c>
      <c r="G1314" s="21" t="s">
        <v>4198</v>
      </c>
      <c r="H1314" s="21" t="s">
        <v>4199</v>
      </c>
      <c r="I1314" s="12" t="s">
        <v>6657</v>
      </c>
      <c r="J1314" s="12" t="s">
        <v>7466</v>
      </c>
      <c r="K1314" s="12" t="s">
        <v>5314</v>
      </c>
      <c r="L1314" s="12" t="s">
        <v>5315</v>
      </c>
      <c r="M1314" s="12" t="s">
        <v>5316</v>
      </c>
    </row>
    <row r="1315" spans="1:13" ht="39.6">
      <c r="A1315" s="21" t="s">
        <v>4194</v>
      </c>
      <c r="B1315" s="21" t="s">
        <v>4197</v>
      </c>
      <c r="C1315" s="21" t="s">
        <v>4195</v>
      </c>
      <c r="D1315" s="21" t="s">
        <v>71</v>
      </c>
      <c r="E1315" s="22" t="s">
        <v>4196</v>
      </c>
      <c r="F1315" s="22" t="s">
        <v>4197</v>
      </c>
      <c r="G1315" s="21" t="s">
        <v>4198</v>
      </c>
      <c r="H1315" s="21" t="s">
        <v>4199</v>
      </c>
      <c r="I1315" s="12" t="s">
        <v>6658</v>
      </c>
      <c r="J1315" s="12" t="s">
        <v>7467</v>
      </c>
      <c r="K1315" s="12" t="s">
        <v>5317</v>
      </c>
      <c r="L1315" s="12" t="s">
        <v>5318</v>
      </c>
      <c r="M1315" s="12" t="s">
        <v>5317</v>
      </c>
    </row>
    <row r="1316" spans="1:13" ht="39.6">
      <c r="A1316" s="21" t="s">
        <v>4194</v>
      </c>
      <c r="B1316" s="21" t="s">
        <v>4197</v>
      </c>
      <c r="C1316" s="21" t="s">
        <v>4195</v>
      </c>
      <c r="D1316" s="21" t="s">
        <v>71</v>
      </c>
      <c r="E1316" s="22" t="s">
        <v>4196</v>
      </c>
      <c r="F1316" s="22" t="s">
        <v>4197</v>
      </c>
      <c r="G1316" s="21" t="s">
        <v>4198</v>
      </c>
      <c r="H1316" s="21" t="s">
        <v>4199</v>
      </c>
      <c r="I1316" s="12" t="s">
        <v>6659</v>
      </c>
      <c r="J1316" s="12" t="s">
        <v>7468</v>
      </c>
      <c r="K1316" s="12" t="s">
        <v>5319</v>
      </c>
      <c r="L1316" s="12" t="s">
        <v>5320</v>
      </c>
      <c r="M1316" s="12" t="s">
        <v>5319</v>
      </c>
    </row>
    <row r="1317" spans="1:13" ht="39.6">
      <c r="A1317" s="21" t="s">
        <v>4194</v>
      </c>
      <c r="B1317" s="21" t="s">
        <v>4197</v>
      </c>
      <c r="C1317" s="21" t="s">
        <v>4195</v>
      </c>
      <c r="D1317" s="21" t="s">
        <v>71</v>
      </c>
      <c r="E1317" s="22" t="s">
        <v>4196</v>
      </c>
      <c r="F1317" s="22" t="s">
        <v>4197</v>
      </c>
      <c r="G1317" s="21" t="s">
        <v>4198</v>
      </c>
      <c r="H1317" s="21" t="s">
        <v>4199</v>
      </c>
      <c r="I1317" s="12" t="s">
        <v>6660</v>
      </c>
      <c r="J1317" s="12" t="s">
        <v>7469</v>
      </c>
      <c r="K1317" s="12" t="s">
        <v>5321</v>
      </c>
      <c r="L1317" s="12" t="s">
        <v>5322</v>
      </c>
      <c r="M1317" s="12" t="s">
        <v>5321</v>
      </c>
    </row>
    <row r="1318" spans="1:13" ht="39.6">
      <c r="A1318" s="21" t="s">
        <v>4194</v>
      </c>
      <c r="B1318" s="21" t="s">
        <v>4197</v>
      </c>
      <c r="C1318" s="21" t="s">
        <v>4195</v>
      </c>
      <c r="D1318" s="21" t="s">
        <v>71</v>
      </c>
      <c r="E1318" s="22" t="s">
        <v>4196</v>
      </c>
      <c r="F1318" s="22" t="s">
        <v>4197</v>
      </c>
      <c r="G1318" s="21" t="s">
        <v>4198</v>
      </c>
      <c r="H1318" s="21" t="s">
        <v>4199</v>
      </c>
      <c r="I1318" s="12" t="s">
        <v>6661</v>
      </c>
      <c r="J1318" s="12" t="s">
        <v>7470</v>
      </c>
      <c r="K1318" s="12" t="s">
        <v>5323</v>
      </c>
      <c r="L1318" s="12" t="s">
        <v>5324</v>
      </c>
      <c r="M1318" s="12" t="s">
        <v>5323</v>
      </c>
    </row>
    <row r="1319" spans="1:13" ht="39.6">
      <c r="A1319" s="21" t="s">
        <v>4194</v>
      </c>
      <c r="B1319" s="21" t="s">
        <v>4197</v>
      </c>
      <c r="C1319" s="21" t="s">
        <v>4195</v>
      </c>
      <c r="D1319" s="21" t="s">
        <v>71</v>
      </c>
      <c r="E1319" s="22" t="s">
        <v>4196</v>
      </c>
      <c r="F1319" s="22" t="s">
        <v>4197</v>
      </c>
      <c r="G1319" s="21" t="s">
        <v>4198</v>
      </c>
      <c r="H1319" s="21" t="s">
        <v>4199</v>
      </c>
      <c r="I1319" s="12" t="s">
        <v>6662</v>
      </c>
      <c r="J1319" s="12" t="s">
        <v>7471</v>
      </c>
      <c r="K1319" s="12" t="s">
        <v>5325</v>
      </c>
      <c r="L1319" s="12" t="s">
        <v>5326</v>
      </c>
      <c r="M1319" s="12" t="s">
        <v>5325</v>
      </c>
    </row>
    <row r="1320" spans="1:13" ht="39.6">
      <c r="A1320" s="21" t="s">
        <v>4194</v>
      </c>
      <c r="B1320" s="21" t="s">
        <v>4197</v>
      </c>
      <c r="C1320" s="21" t="s">
        <v>4195</v>
      </c>
      <c r="D1320" s="21" t="s">
        <v>71</v>
      </c>
      <c r="E1320" s="22" t="s">
        <v>4196</v>
      </c>
      <c r="F1320" s="22" t="s">
        <v>4197</v>
      </c>
      <c r="G1320" s="21" t="s">
        <v>4198</v>
      </c>
      <c r="H1320" s="21" t="s">
        <v>4199</v>
      </c>
      <c r="I1320" s="12" t="s">
        <v>6663</v>
      </c>
      <c r="J1320" s="12" t="s">
        <v>7472</v>
      </c>
      <c r="K1320" s="12"/>
      <c r="L1320" s="12" t="s">
        <v>5327</v>
      </c>
      <c r="M1320" s="12" t="s">
        <v>5328</v>
      </c>
    </row>
    <row r="1321" spans="1:13" ht="39.6">
      <c r="A1321" s="21" t="s">
        <v>4194</v>
      </c>
      <c r="B1321" s="21" t="s">
        <v>4197</v>
      </c>
      <c r="C1321" s="21" t="s">
        <v>4195</v>
      </c>
      <c r="D1321" s="21" t="s">
        <v>71</v>
      </c>
      <c r="E1321" s="22" t="s">
        <v>4196</v>
      </c>
      <c r="F1321" s="22" t="s">
        <v>4197</v>
      </c>
      <c r="G1321" s="21" t="s">
        <v>4198</v>
      </c>
      <c r="H1321" s="21" t="s">
        <v>4199</v>
      </c>
      <c r="I1321" s="12" t="s">
        <v>6664</v>
      </c>
      <c r="J1321" s="12" t="s">
        <v>7473</v>
      </c>
      <c r="K1321" s="12" t="s">
        <v>5329</v>
      </c>
      <c r="L1321" s="12" t="s">
        <v>5330</v>
      </c>
      <c r="M1321" s="12" t="s">
        <v>5331</v>
      </c>
    </row>
    <row r="1322" spans="1:13" ht="39.6">
      <c r="A1322" s="21" t="s">
        <v>4194</v>
      </c>
      <c r="B1322" s="21" t="s">
        <v>4197</v>
      </c>
      <c r="C1322" s="21" t="s">
        <v>4195</v>
      </c>
      <c r="D1322" s="21" t="s">
        <v>71</v>
      </c>
      <c r="E1322" s="22" t="s">
        <v>4196</v>
      </c>
      <c r="F1322" s="22" t="s">
        <v>4197</v>
      </c>
      <c r="G1322" s="21" t="s">
        <v>4198</v>
      </c>
      <c r="H1322" s="21" t="s">
        <v>4199</v>
      </c>
      <c r="I1322" s="12" t="s">
        <v>6665</v>
      </c>
      <c r="J1322" s="12" t="s">
        <v>7474</v>
      </c>
      <c r="K1322" s="12" t="s">
        <v>5332</v>
      </c>
      <c r="L1322" s="12" t="s">
        <v>5333</v>
      </c>
      <c r="M1322" s="12" t="s">
        <v>5332</v>
      </c>
    </row>
    <row r="1323" spans="1:13" ht="39.6">
      <c r="A1323" s="21" t="s">
        <v>4194</v>
      </c>
      <c r="B1323" s="21" t="s">
        <v>4197</v>
      </c>
      <c r="C1323" s="21" t="s">
        <v>4195</v>
      </c>
      <c r="D1323" s="21" t="s">
        <v>71</v>
      </c>
      <c r="E1323" s="22" t="s">
        <v>4196</v>
      </c>
      <c r="F1323" s="22" t="s">
        <v>4197</v>
      </c>
      <c r="G1323" s="21" t="s">
        <v>4198</v>
      </c>
      <c r="H1323" s="21" t="s">
        <v>4199</v>
      </c>
      <c r="I1323" s="12" t="s">
        <v>6666</v>
      </c>
      <c r="J1323" s="12" t="s">
        <v>7475</v>
      </c>
      <c r="K1323" s="12" t="s">
        <v>5334</v>
      </c>
      <c r="L1323" s="12" t="s">
        <v>5335</v>
      </c>
      <c r="M1323" s="12" t="s">
        <v>5336</v>
      </c>
    </row>
    <row r="1324" spans="1:13" ht="52.8">
      <c r="A1324" s="21" t="s">
        <v>4194</v>
      </c>
      <c r="B1324" s="21" t="s">
        <v>4197</v>
      </c>
      <c r="C1324" s="21" t="s">
        <v>4195</v>
      </c>
      <c r="D1324" s="21" t="s">
        <v>71</v>
      </c>
      <c r="E1324" s="22" t="s">
        <v>4196</v>
      </c>
      <c r="F1324" s="22" t="s">
        <v>4197</v>
      </c>
      <c r="G1324" s="21" t="s">
        <v>4198</v>
      </c>
      <c r="H1324" s="21" t="s">
        <v>4199</v>
      </c>
      <c r="I1324" s="12" t="s">
        <v>6667</v>
      </c>
      <c r="J1324" s="12" t="s">
        <v>7476</v>
      </c>
      <c r="K1324" s="12" t="s">
        <v>5337</v>
      </c>
      <c r="L1324" s="12" t="s">
        <v>5338</v>
      </c>
      <c r="M1324" s="12" t="s">
        <v>5337</v>
      </c>
    </row>
    <row r="1325" spans="1:13" ht="39.6">
      <c r="A1325" s="21" t="s">
        <v>4194</v>
      </c>
      <c r="B1325" s="21" t="s">
        <v>4197</v>
      </c>
      <c r="C1325" s="21" t="s">
        <v>4195</v>
      </c>
      <c r="D1325" s="21" t="s">
        <v>71</v>
      </c>
      <c r="E1325" s="22" t="s">
        <v>4196</v>
      </c>
      <c r="F1325" s="22" t="s">
        <v>4197</v>
      </c>
      <c r="G1325" s="21" t="s">
        <v>4198</v>
      </c>
      <c r="H1325" s="21" t="s">
        <v>4199</v>
      </c>
      <c r="I1325" s="12" t="s">
        <v>6668</v>
      </c>
      <c r="J1325" s="12" t="s">
        <v>7477</v>
      </c>
      <c r="K1325" s="12"/>
      <c r="L1325" s="12" t="s">
        <v>5339</v>
      </c>
      <c r="M1325" s="12" t="s">
        <v>5340</v>
      </c>
    </row>
    <row r="1326" spans="1:13" ht="39.6">
      <c r="A1326" s="21" t="s">
        <v>4194</v>
      </c>
      <c r="B1326" s="21" t="s">
        <v>4197</v>
      </c>
      <c r="C1326" s="21" t="s">
        <v>4195</v>
      </c>
      <c r="D1326" s="21" t="s">
        <v>71</v>
      </c>
      <c r="E1326" s="22" t="s">
        <v>4196</v>
      </c>
      <c r="F1326" s="22" t="s">
        <v>4197</v>
      </c>
      <c r="G1326" s="21" t="s">
        <v>4198</v>
      </c>
      <c r="H1326" s="21" t="s">
        <v>4199</v>
      </c>
      <c r="I1326" s="12" t="s">
        <v>6669</v>
      </c>
      <c r="J1326" s="12" t="s">
        <v>7478</v>
      </c>
      <c r="K1326" s="12" t="s">
        <v>5341</v>
      </c>
      <c r="L1326" s="12" t="s">
        <v>5342</v>
      </c>
      <c r="M1326" s="12" t="s">
        <v>5341</v>
      </c>
    </row>
    <row r="1327" spans="1:13" ht="39.6">
      <c r="A1327" s="21" t="s">
        <v>4194</v>
      </c>
      <c r="B1327" s="21" t="s">
        <v>4197</v>
      </c>
      <c r="C1327" s="21" t="s">
        <v>4195</v>
      </c>
      <c r="D1327" s="21" t="s">
        <v>71</v>
      </c>
      <c r="E1327" s="22" t="s">
        <v>4196</v>
      </c>
      <c r="F1327" s="22" t="s">
        <v>4197</v>
      </c>
      <c r="G1327" s="21" t="s">
        <v>4198</v>
      </c>
      <c r="H1327" s="21" t="s">
        <v>4199</v>
      </c>
      <c r="I1327" s="12" t="s">
        <v>6670</v>
      </c>
      <c r="J1327" s="12" t="s">
        <v>7479</v>
      </c>
      <c r="K1327" s="12" t="s">
        <v>5343</v>
      </c>
      <c r="L1327" s="12" t="s">
        <v>5344</v>
      </c>
      <c r="M1327" s="12" t="s">
        <v>5343</v>
      </c>
    </row>
    <row r="1328" spans="1:13" ht="39.6">
      <c r="A1328" s="21" t="s">
        <v>4194</v>
      </c>
      <c r="B1328" s="21" t="s">
        <v>4197</v>
      </c>
      <c r="C1328" s="21" t="s">
        <v>4195</v>
      </c>
      <c r="D1328" s="21" t="s">
        <v>71</v>
      </c>
      <c r="E1328" s="22" t="s">
        <v>4196</v>
      </c>
      <c r="F1328" s="22" t="s">
        <v>4197</v>
      </c>
      <c r="G1328" s="21" t="s">
        <v>4198</v>
      </c>
      <c r="H1328" s="21" t="s">
        <v>4199</v>
      </c>
      <c r="I1328" s="12" t="s">
        <v>5347</v>
      </c>
      <c r="J1328" s="12" t="s">
        <v>7480</v>
      </c>
      <c r="K1328" s="12" t="s">
        <v>5345</v>
      </c>
      <c r="L1328" s="12" t="s">
        <v>5346</v>
      </c>
      <c r="M1328" s="12" t="s">
        <v>5347</v>
      </c>
    </row>
    <row r="1329" spans="1:13" ht="39.6">
      <c r="A1329" s="21" t="s">
        <v>4194</v>
      </c>
      <c r="B1329" s="21" t="s">
        <v>4197</v>
      </c>
      <c r="C1329" s="21" t="s">
        <v>4195</v>
      </c>
      <c r="D1329" s="21" t="s">
        <v>71</v>
      </c>
      <c r="E1329" s="22" t="s">
        <v>4196</v>
      </c>
      <c r="F1329" s="22" t="s">
        <v>4197</v>
      </c>
      <c r="G1329" s="21" t="s">
        <v>4198</v>
      </c>
      <c r="H1329" s="21" t="s">
        <v>4199</v>
      </c>
      <c r="I1329" s="12" t="s">
        <v>6671</v>
      </c>
      <c r="J1329" s="12" t="s">
        <v>7481</v>
      </c>
      <c r="K1329" s="12" t="s">
        <v>5348</v>
      </c>
      <c r="L1329" s="12" t="s">
        <v>5349</v>
      </c>
      <c r="M1329" s="12" t="s">
        <v>5348</v>
      </c>
    </row>
    <row r="1330" spans="1:13" ht="39.6">
      <c r="A1330" s="21" t="s">
        <v>4194</v>
      </c>
      <c r="B1330" s="21" t="s">
        <v>4197</v>
      </c>
      <c r="C1330" s="21" t="s">
        <v>4195</v>
      </c>
      <c r="D1330" s="21" t="s">
        <v>71</v>
      </c>
      <c r="E1330" s="22" t="s">
        <v>4196</v>
      </c>
      <c r="F1330" s="22" t="s">
        <v>4197</v>
      </c>
      <c r="G1330" s="21" t="s">
        <v>4198</v>
      </c>
      <c r="H1330" s="21" t="s">
        <v>4199</v>
      </c>
      <c r="I1330" s="12" t="s">
        <v>6672</v>
      </c>
      <c r="J1330" s="12" t="s">
        <v>7482</v>
      </c>
      <c r="K1330" s="12"/>
      <c r="L1330" s="12" t="s">
        <v>5350</v>
      </c>
      <c r="M1330" s="12" t="s">
        <v>5351</v>
      </c>
    </row>
    <row r="1331" spans="1:13" ht="39.6">
      <c r="A1331" s="21" t="s">
        <v>4194</v>
      </c>
      <c r="B1331" s="21" t="s">
        <v>4197</v>
      </c>
      <c r="C1331" s="21" t="s">
        <v>4195</v>
      </c>
      <c r="D1331" s="21" t="s">
        <v>71</v>
      </c>
      <c r="E1331" s="22" t="s">
        <v>4196</v>
      </c>
      <c r="F1331" s="22" t="s">
        <v>4197</v>
      </c>
      <c r="G1331" s="21" t="s">
        <v>4198</v>
      </c>
      <c r="H1331" s="21" t="s">
        <v>4199</v>
      </c>
      <c r="I1331" s="12" t="s">
        <v>6673</v>
      </c>
      <c r="J1331" s="12" t="s">
        <v>7483</v>
      </c>
      <c r="K1331" s="12" t="s">
        <v>5352</v>
      </c>
      <c r="L1331" s="12" t="s">
        <v>5353</v>
      </c>
      <c r="M1331" s="12" t="s">
        <v>5354</v>
      </c>
    </row>
    <row r="1332" spans="1:13" ht="52.8">
      <c r="A1332" s="21" t="s">
        <v>4194</v>
      </c>
      <c r="B1332" s="21" t="s">
        <v>4197</v>
      </c>
      <c r="C1332" s="21" t="s">
        <v>4195</v>
      </c>
      <c r="D1332" s="21" t="s">
        <v>71</v>
      </c>
      <c r="E1332" s="22" t="s">
        <v>4196</v>
      </c>
      <c r="F1332" s="22" t="s">
        <v>4197</v>
      </c>
      <c r="G1332" s="21" t="s">
        <v>4198</v>
      </c>
      <c r="H1332" s="21" t="s">
        <v>4199</v>
      </c>
      <c r="I1332" s="12" t="s">
        <v>6674</v>
      </c>
      <c r="J1332" s="12" t="s">
        <v>7484</v>
      </c>
      <c r="K1332" s="12" t="s">
        <v>5355</v>
      </c>
      <c r="L1332" s="12" t="s">
        <v>5356</v>
      </c>
      <c r="M1332" s="12" t="s">
        <v>5357</v>
      </c>
    </row>
    <row r="1333" spans="1:13" ht="39.6">
      <c r="A1333" s="21" t="s">
        <v>4194</v>
      </c>
      <c r="B1333" s="21" t="s">
        <v>4197</v>
      </c>
      <c r="C1333" s="21" t="s">
        <v>4195</v>
      </c>
      <c r="D1333" s="21" t="s">
        <v>71</v>
      </c>
      <c r="E1333" s="22" t="s">
        <v>4196</v>
      </c>
      <c r="F1333" s="22" t="s">
        <v>4197</v>
      </c>
      <c r="G1333" s="21" t="s">
        <v>4198</v>
      </c>
      <c r="H1333" s="21" t="s">
        <v>4199</v>
      </c>
      <c r="I1333" s="12" t="s">
        <v>6675</v>
      </c>
      <c r="J1333" s="12" t="s">
        <v>7485</v>
      </c>
      <c r="K1333" s="12" t="s">
        <v>5358</v>
      </c>
      <c r="L1333" s="12" t="s">
        <v>5359</v>
      </c>
      <c r="M1333" s="12" t="s">
        <v>5360</v>
      </c>
    </row>
    <row r="1334" spans="1:13" ht="39.6">
      <c r="A1334" s="21" t="s">
        <v>4194</v>
      </c>
      <c r="B1334" s="21" t="s">
        <v>4197</v>
      </c>
      <c r="C1334" s="21" t="s">
        <v>4195</v>
      </c>
      <c r="D1334" s="21" t="s">
        <v>71</v>
      </c>
      <c r="E1334" s="22" t="s">
        <v>4196</v>
      </c>
      <c r="F1334" s="22" t="s">
        <v>4197</v>
      </c>
      <c r="G1334" s="21" t="s">
        <v>4198</v>
      </c>
      <c r="H1334" s="21" t="s">
        <v>4199</v>
      </c>
      <c r="I1334" s="12" t="s">
        <v>6676</v>
      </c>
      <c r="J1334" s="12" t="s">
        <v>7486</v>
      </c>
      <c r="K1334" s="12"/>
      <c r="L1334" s="12" t="s">
        <v>5361</v>
      </c>
      <c r="M1334" s="12" t="s">
        <v>5362</v>
      </c>
    </row>
    <row r="1335" spans="1:13" ht="39.6">
      <c r="A1335" s="21" t="s">
        <v>4194</v>
      </c>
      <c r="B1335" s="21" t="s">
        <v>4197</v>
      </c>
      <c r="C1335" s="21" t="s">
        <v>4195</v>
      </c>
      <c r="D1335" s="21" t="s">
        <v>71</v>
      </c>
      <c r="E1335" s="22" t="s">
        <v>4196</v>
      </c>
      <c r="F1335" s="22" t="s">
        <v>4197</v>
      </c>
      <c r="G1335" s="21" t="s">
        <v>4198</v>
      </c>
      <c r="H1335" s="21" t="s">
        <v>4199</v>
      </c>
      <c r="I1335" s="12" t="s">
        <v>6677</v>
      </c>
      <c r="J1335" s="12" t="s">
        <v>7487</v>
      </c>
      <c r="K1335" s="12" t="s">
        <v>5363</v>
      </c>
      <c r="L1335" s="12" t="s">
        <v>5364</v>
      </c>
      <c r="M1335" s="12" t="s">
        <v>5363</v>
      </c>
    </row>
    <row r="1336" spans="1:13" ht="39.6">
      <c r="A1336" s="21" t="s">
        <v>4194</v>
      </c>
      <c r="B1336" s="21" t="s">
        <v>4197</v>
      </c>
      <c r="C1336" s="21" t="s">
        <v>4195</v>
      </c>
      <c r="D1336" s="21" t="s">
        <v>71</v>
      </c>
      <c r="E1336" s="22" t="s">
        <v>4196</v>
      </c>
      <c r="F1336" s="22" t="s">
        <v>4197</v>
      </c>
      <c r="G1336" s="21" t="s">
        <v>4198</v>
      </c>
      <c r="H1336" s="21" t="s">
        <v>4199</v>
      </c>
      <c r="I1336" s="12" t="s">
        <v>6678</v>
      </c>
      <c r="J1336" s="12" t="s">
        <v>7488</v>
      </c>
      <c r="K1336" s="12" t="s">
        <v>5365</v>
      </c>
      <c r="L1336" s="12" t="s">
        <v>5366</v>
      </c>
      <c r="M1336" s="12" t="s">
        <v>5367</v>
      </c>
    </row>
    <row r="1337" spans="1:13" ht="39.6">
      <c r="A1337" s="21" t="s">
        <v>4194</v>
      </c>
      <c r="B1337" s="21" t="s">
        <v>4197</v>
      </c>
      <c r="C1337" s="21" t="s">
        <v>4195</v>
      </c>
      <c r="D1337" s="21" t="s">
        <v>71</v>
      </c>
      <c r="E1337" s="22" t="s">
        <v>4196</v>
      </c>
      <c r="F1337" s="22" t="s">
        <v>4197</v>
      </c>
      <c r="G1337" s="21" t="s">
        <v>4198</v>
      </c>
      <c r="H1337" s="21" t="s">
        <v>4199</v>
      </c>
      <c r="I1337" s="12" t="s">
        <v>6679</v>
      </c>
      <c r="J1337" s="12" t="s">
        <v>7489</v>
      </c>
      <c r="K1337" s="12" t="s">
        <v>5368</v>
      </c>
      <c r="L1337" s="12" t="s">
        <v>5369</v>
      </c>
      <c r="M1337" s="12" t="s">
        <v>5370</v>
      </c>
    </row>
    <row r="1338" spans="1:13" ht="39.6">
      <c r="A1338" s="21" t="s">
        <v>4194</v>
      </c>
      <c r="B1338" s="21" t="s">
        <v>4197</v>
      </c>
      <c r="C1338" s="21" t="s">
        <v>4195</v>
      </c>
      <c r="D1338" s="21" t="s">
        <v>71</v>
      </c>
      <c r="E1338" s="22" t="s">
        <v>4196</v>
      </c>
      <c r="F1338" s="22" t="s">
        <v>4197</v>
      </c>
      <c r="G1338" s="21" t="s">
        <v>4198</v>
      </c>
      <c r="H1338" s="21" t="s">
        <v>4199</v>
      </c>
      <c r="I1338" s="12" t="s">
        <v>6680</v>
      </c>
      <c r="J1338" s="12" t="s">
        <v>7490</v>
      </c>
      <c r="K1338" s="12"/>
      <c r="L1338" s="12" t="s">
        <v>5371</v>
      </c>
      <c r="M1338" s="12" t="s">
        <v>5372</v>
      </c>
    </row>
    <row r="1339" spans="1:13" ht="39.6">
      <c r="A1339" s="21" t="s">
        <v>4194</v>
      </c>
      <c r="B1339" s="21" t="s">
        <v>4197</v>
      </c>
      <c r="C1339" s="21" t="s">
        <v>4195</v>
      </c>
      <c r="D1339" s="21" t="s">
        <v>71</v>
      </c>
      <c r="E1339" s="22" t="s">
        <v>4196</v>
      </c>
      <c r="F1339" s="22" t="s">
        <v>4197</v>
      </c>
      <c r="G1339" s="21" t="s">
        <v>4198</v>
      </c>
      <c r="H1339" s="21" t="s">
        <v>4199</v>
      </c>
      <c r="I1339" s="12" t="s">
        <v>6681</v>
      </c>
      <c r="J1339" s="12" t="s">
        <v>7491</v>
      </c>
      <c r="K1339" s="12"/>
      <c r="L1339" s="12" t="s">
        <v>5373</v>
      </c>
      <c r="M1339" s="12" t="s">
        <v>5374</v>
      </c>
    </row>
    <row r="1340" spans="1:13" ht="39.6">
      <c r="A1340" s="21" t="s">
        <v>4194</v>
      </c>
      <c r="B1340" s="21" t="s">
        <v>4197</v>
      </c>
      <c r="C1340" s="21" t="s">
        <v>4195</v>
      </c>
      <c r="D1340" s="21" t="s">
        <v>71</v>
      </c>
      <c r="E1340" s="22" t="s">
        <v>4196</v>
      </c>
      <c r="F1340" s="22" t="s">
        <v>4197</v>
      </c>
      <c r="G1340" s="21" t="s">
        <v>4198</v>
      </c>
      <c r="H1340" s="21" t="s">
        <v>4199</v>
      </c>
      <c r="I1340" s="12" t="s">
        <v>6682</v>
      </c>
      <c r="J1340" s="12" t="s">
        <v>7492</v>
      </c>
      <c r="K1340" s="12"/>
      <c r="L1340" s="12" t="s">
        <v>5375</v>
      </c>
      <c r="M1340" s="12" t="s">
        <v>5376</v>
      </c>
    </row>
    <row r="1341" spans="1:13" ht="39.6">
      <c r="A1341" s="21" t="s">
        <v>4194</v>
      </c>
      <c r="B1341" s="21" t="s">
        <v>4197</v>
      </c>
      <c r="C1341" s="21" t="s">
        <v>4195</v>
      </c>
      <c r="D1341" s="21" t="s">
        <v>71</v>
      </c>
      <c r="E1341" s="22" t="s">
        <v>4196</v>
      </c>
      <c r="F1341" s="22" t="s">
        <v>4197</v>
      </c>
      <c r="G1341" s="21" t="s">
        <v>4198</v>
      </c>
      <c r="H1341" s="21" t="s">
        <v>4199</v>
      </c>
      <c r="I1341" s="12" t="s">
        <v>6683</v>
      </c>
      <c r="J1341" s="12" t="s">
        <v>7493</v>
      </c>
      <c r="K1341" s="12" t="s">
        <v>5377</v>
      </c>
      <c r="L1341" s="12" t="s">
        <v>5378</v>
      </c>
      <c r="M1341" s="12" t="s">
        <v>5377</v>
      </c>
    </row>
    <row r="1342" spans="1:13" ht="39.6">
      <c r="A1342" s="21" t="s">
        <v>4194</v>
      </c>
      <c r="B1342" s="21" t="s">
        <v>4197</v>
      </c>
      <c r="C1342" s="21" t="s">
        <v>4195</v>
      </c>
      <c r="D1342" s="21" t="s">
        <v>71</v>
      </c>
      <c r="E1342" s="22" t="s">
        <v>4196</v>
      </c>
      <c r="F1342" s="22" t="s">
        <v>4197</v>
      </c>
      <c r="G1342" s="21" t="s">
        <v>4198</v>
      </c>
      <c r="H1342" s="21" t="s">
        <v>4199</v>
      </c>
      <c r="I1342" s="12" t="s">
        <v>6684</v>
      </c>
      <c r="J1342" s="12" t="s">
        <v>7494</v>
      </c>
      <c r="K1342" s="12" t="s">
        <v>5379</v>
      </c>
      <c r="L1342" s="12" t="s">
        <v>5380</v>
      </c>
      <c r="M1342" s="12" t="s">
        <v>5379</v>
      </c>
    </row>
    <row r="1343" spans="1:13" ht="39.6">
      <c r="A1343" s="21" t="s">
        <v>4194</v>
      </c>
      <c r="B1343" s="21" t="s">
        <v>4197</v>
      </c>
      <c r="C1343" s="21" t="s">
        <v>4195</v>
      </c>
      <c r="D1343" s="21" t="s">
        <v>71</v>
      </c>
      <c r="E1343" s="22" t="s">
        <v>4196</v>
      </c>
      <c r="F1343" s="22" t="s">
        <v>4197</v>
      </c>
      <c r="G1343" s="21" t="s">
        <v>4198</v>
      </c>
      <c r="H1343" s="21" t="s">
        <v>4199</v>
      </c>
      <c r="I1343" s="12" t="s">
        <v>6685</v>
      </c>
      <c r="J1343" s="12" t="s">
        <v>7495</v>
      </c>
      <c r="K1343" s="12" t="s">
        <v>5381</v>
      </c>
      <c r="L1343" s="12" t="s">
        <v>5382</v>
      </c>
      <c r="M1343" s="12" t="s">
        <v>5381</v>
      </c>
    </row>
    <row r="1344" spans="1:13" ht="39.6">
      <c r="A1344" s="21" t="s">
        <v>4194</v>
      </c>
      <c r="B1344" s="21" t="s">
        <v>4197</v>
      </c>
      <c r="C1344" s="21" t="s">
        <v>4195</v>
      </c>
      <c r="D1344" s="21" t="s">
        <v>71</v>
      </c>
      <c r="E1344" s="22" t="s">
        <v>4196</v>
      </c>
      <c r="F1344" s="22" t="s">
        <v>4197</v>
      </c>
      <c r="G1344" s="21" t="s">
        <v>4198</v>
      </c>
      <c r="H1344" s="21" t="s">
        <v>4199</v>
      </c>
      <c r="I1344" s="12" t="s">
        <v>6686</v>
      </c>
      <c r="J1344" s="12" t="s">
        <v>7496</v>
      </c>
      <c r="K1344" s="12"/>
      <c r="L1344" s="12" t="s">
        <v>5383</v>
      </c>
      <c r="M1344" s="12" t="s">
        <v>5384</v>
      </c>
    </row>
    <row r="1345" spans="1:13" ht="39.6">
      <c r="A1345" s="21" t="s">
        <v>4194</v>
      </c>
      <c r="B1345" s="21" t="s">
        <v>4197</v>
      </c>
      <c r="C1345" s="21" t="s">
        <v>4195</v>
      </c>
      <c r="D1345" s="21" t="s">
        <v>71</v>
      </c>
      <c r="E1345" s="22" t="s">
        <v>4196</v>
      </c>
      <c r="F1345" s="22" t="s">
        <v>4197</v>
      </c>
      <c r="G1345" s="21" t="s">
        <v>4198</v>
      </c>
      <c r="H1345" s="21" t="s">
        <v>4199</v>
      </c>
      <c r="I1345" s="12" t="s">
        <v>6687</v>
      </c>
      <c r="J1345" s="12" t="s">
        <v>7497</v>
      </c>
      <c r="K1345" s="12" t="s">
        <v>5385</v>
      </c>
      <c r="L1345" s="12" t="s">
        <v>5386</v>
      </c>
      <c r="M1345" s="12" t="s">
        <v>5385</v>
      </c>
    </row>
    <row r="1346" spans="1:13" ht="39.6">
      <c r="A1346" s="21" t="s">
        <v>4194</v>
      </c>
      <c r="B1346" s="21" t="s">
        <v>4197</v>
      </c>
      <c r="C1346" s="21" t="s">
        <v>4195</v>
      </c>
      <c r="D1346" s="21" t="s">
        <v>71</v>
      </c>
      <c r="E1346" s="22" t="s">
        <v>4196</v>
      </c>
      <c r="F1346" s="22" t="s">
        <v>4197</v>
      </c>
      <c r="G1346" s="21" t="s">
        <v>4198</v>
      </c>
      <c r="H1346" s="21" t="s">
        <v>4199</v>
      </c>
      <c r="I1346" s="12" t="s">
        <v>6688</v>
      </c>
      <c r="J1346" s="12" t="s">
        <v>7498</v>
      </c>
      <c r="K1346" s="12" t="s">
        <v>5387</v>
      </c>
      <c r="L1346" s="12" t="s">
        <v>5388</v>
      </c>
      <c r="M1346" s="12" t="s">
        <v>5387</v>
      </c>
    </row>
    <row r="1347" spans="1:13" ht="39.6">
      <c r="A1347" s="21" t="s">
        <v>4194</v>
      </c>
      <c r="B1347" s="21" t="s">
        <v>4197</v>
      </c>
      <c r="C1347" s="21" t="s">
        <v>4195</v>
      </c>
      <c r="D1347" s="21" t="s">
        <v>71</v>
      </c>
      <c r="E1347" s="22" t="s">
        <v>4196</v>
      </c>
      <c r="F1347" s="22" t="s">
        <v>4197</v>
      </c>
      <c r="G1347" s="21" t="s">
        <v>4198</v>
      </c>
      <c r="H1347" s="21" t="s">
        <v>4199</v>
      </c>
      <c r="I1347" s="12" t="s">
        <v>6689</v>
      </c>
      <c r="J1347" s="12" t="s">
        <v>7499</v>
      </c>
      <c r="K1347" s="12" t="s">
        <v>5389</v>
      </c>
      <c r="L1347" s="12" t="s">
        <v>5390</v>
      </c>
      <c r="M1347" s="12" t="s">
        <v>5389</v>
      </c>
    </row>
    <row r="1348" spans="1:13" ht="39.6">
      <c r="A1348" s="21" t="s">
        <v>4194</v>
      </c>
      <c r="B1348" s="21" t="s">
        <v>4197</v>
      </c>
      <c r="C1348" s="21" t="s">
        <v>4195</v>
      </c>
      <c r="D1348" s="21" t="s">
        <v>71</v>
      </c>
      <c r="E1348" s="22" t="s">
        <v>4196</v>
      </c>
      <c r="F1348" s="22" t="s">
        <v>4197</v>
      </c>
      <c r="G1348" s="21" t="s">
        <v>4198</v>
      </c>
      <c r="H1348" s="21" t="s">
        <v>4199</v>
      </c>
      <c r="I1348" s="12" t="s">
        <v>6690</v>
      </c>
      <c r="J1348" s="12" t="s">
        <v>7500</v>
      </c>
      <c r="K1348" s="12" t="s">
        <v>5391</v>
      </c>
      <c r="L1348" s="12" t="s">
        <v>5392</v>
      </c>
      <c r="M1348" s="12" t="s">
        <v>5391</v>
      </c>
    </row>
    <row r="1349" spans="1:13" ht="39.6">
      <c r="A1349" s="21" t="s">
        <v>4194</v>
      </c>
      <c r="B1349" s="21" t="s">
        <v>4197</v>
      </c>
      <c r="C1349" s="21" t="s">
        <v>4195</v>
      </c>
      <c r="D1349" s="21" t="s">
        <v>71</v>
      </c>
      <c r="E1349" s="22" t="s">
        <v>4196</v>
      </c>
      <c r="F1349" s="22" t="s">
        <v>4197</v>
      </c>
      <c r="G1349" s="21" t="s">
        <v>4198</v>
      </c>
      <c r="H1349" s="21" t="s">
        <v>4199</v>
      </c>
      <c r="I1349" s="12" t="s">
        <v>6691</v>
      </c>
      <c r="J1349" s="12" t="s">
        <v>7501</v>
      </c>
      <c r="K1349" s="12"/>
      <c r="L1349" s="12" t="s">
        <v>5393</v>
      </c>
      <c r="M1349" s="12" t="s">
        <v>5394</v>
      </c>
    </row>
    <row r="1350" spans="1:13" ht="39.6">
      <c r="A1350" s="21" t="s">
        <v>4194</v>
      </c>
      <c r="B1350" s="21" t="s">
        <v>4197</v>
      </c>
      <c r="C1350" s="21" t="s">
        <v>4195</v>
      </c>
      <c r="D1350" s="21" t="s">
        <v>71</v>
      </c>
      <c r="E1350" s="22" t="s">
        <v>4196</v>
      </c>
      <c r="F1350" s="22" t="s">
        <v>4197</v>
      </c>
      <c r="G1350" s="21" t="s">
        <v>4198</v>
      </c>
      <c r="H1350" s="21" t="s">
        <v>4199</v>
      </c>
      <c r="I1350" s="12" t="s">
        <v>6692</v>
      </c>
      <c r="J1350" s="12" t="s">
        <v>7502</v>
      </c>
      <c r="K1350" s="12" t="s">
        <v>5395</v>
      </c>
      <c r="L1350" s="12" t="s">
        <v>5396</v>
      </c>
      <c r="M1350" s="12" t="s">
        <v>5397</v>
      </c>
    </row>
    <row r="1351" spans="1:13" ht="39.6">
      <c r="A1351" s="21" t="s">
        <v>4194</v>
      </c>
      <c r="B1351" s="21" t="s">
        <v>4197</v>
      </c>
      <c r="C1351" s="21" t="s">
        <v>4195</v>
      </c>
      <c r="D1351" s="21" t="s">
        <v>71</v>
      </c>
      <c r="E1351" s="22" t="s">
        <v>4196</v>
      </c>
      <c r="F1351" s="22" t="s">
        <v>4197</v>
      </c>
      <c r="G1351" s="21" t="s">
        <v>4198</v>
      </c>
      <c r="H1351" s="21" t="s">
        <v>4199</v>
      </c>
      <c r="I1351" s="12" t="s">
        <v>6693</v>
      </c>
      <c r="J1351" s="12" t="s">
        <v>7503</v>
      </c>
      <c r="K1351" s="12" t="s">
        <v>5398</v>
      </c>
      <c r="L1351" s="12" t="s">
        <v>5399</v>
      </c>
      <c r="M1351" s="12" t="s">
        <v>5400</v>
      </c>
    </row>
    <row r="1352" spans="1:13" ht="39.6">
      <c r="A1352" s="21" t="s">
        <v>4194</v>
      </c>
      <c r="B1352" s="21" t="s">
        <v>4197</v>
      </c>
      <c r="C1352" s="21" t="s">
        <v>4195</v>
      </c>
      <c r="D1352" s="21" t="s">
        <v>71</v>
      </c>
      <c r="E1352" s="22" t="s">
        <v>4196</v>
      </c>
      <c r="F1352" s="22" t="s">
        <v>4197</v>
      </c>
      <c r="G1352" s="21" t="s">
        <v>4198</v>
      </c>
      <c r="H1352" s="21" t="s">
        <v>4199</v>
      </c>
      <c r="I1352" s="12" t="s">
        <v>6694</v>
      </c>
      <c r="J1352" s="12" t="s">
        <v>7504</v>
      </c>
      <c r="K1352" s="12" t="s">
        <v>5401</v>
      </c>
      <c r="L1352" s="12" t="s">
        <v>5402</v>
      </c>
      <c r="M1352" s="12" t="s">
        <v>5403</v>
      </c>
    </row>
    <row r="1353" spans="1:13" ht="39.6">
      <c r="A1353" s="21" t="s">
        <v>4194</v>
      </c>
      <c r="B1353" s="21" t="s">
        <v>4197</v>
      </c>
      <c r="C1353" s="21" t="s">
        <v>4195</v>
      </c>
      <c r="D1353" s="21" t="s">
        <v>71</v>
      </c>
      <c r="E1353" s="22" t="s">
        <v>4196</v>
      </c>
      <c r="F1353" s="22" t="s">
        <v>4197</v>
      </c>
      <c r="G1353" s="21" t="s">
        <v>4198</v>
      </c>
      <c r="H1353" s="21" t="s">
        <v>4199</v>
      </c>
      <c r="I1353" s="12" t="s">
        <v>6695</v>
      </c>
      <c r="J1353" s="12" t="s">
        <v>7505</v>
      </c>
      <c r="K1353" s="12" t="s">
        <v>5404</v>
      </c>
      <c r="L1353" s="12" t="s">
        <v>5405</v>
      </c>
      <c r="M1353" s="12" t="s">
        <v>5406</v>
      </c>
    </row>
    <row r="1354" spans="1:13" ht="39.6">
      <c r="A1354" s="21" t="s">
        <v>4194</v>
      </c>
      <c r="B1354" s="21" t="s">
        <v>4197</v>
      </c>
      <c r="C1354" s="21" t="s">
        <v>4195</v>
      </c>
      <c r="D1354" s="21" t="s">
        <v>71</v>
      </c>
      <c r="E1354" s="22" t="s">
        <v>4196</v>
      </c>
      <c r="F1354" s="22" t="s">
        <v>4197</v>
      </c>
      <c r="G1354" s="21" t="s">
        <v>4198</v>
      </c>
      <c r="H1354" s="21" t="s">
        <v>4199</v>
      </c>
      <c r="I1354" s="12" t="s">
        <v>6696</v>
      </c>
      <c r="J1354" s="12" t="s">
        <v>7506</v>
      </c>
      <c r="K1354" s="12"/>
      <c r="L1354" s="12" t="s">
        <v>5407</v>
      </c>
      <c r="M1354" s="12" t="s">
        <v>5408</v>
      </c>
    </row>
    <row r="1355" spans="1:13" ht="39.6">
      <c r="A1355" s="21" t="s">
        <v>4194</v>
      </c>
      <c r="B1355" s="21" t="s">
        <v>4197</v>
      </c>
      <c r="C1355" s="21" t="s">
        <v>4195</v>
      </c>
      <c r="D1355" s="21" t="s">
        <v>71</v>
      </c>
      <c r="E1355" s="22" t="s">
        <v>4196</v>
      </c>
      <c r="F1355" s="22" t="s">
        <v>4197</v>
      </c>
      <c r="G1355" s="21" t="s">
        <v>4198</v>
      </c>
      <c r="H1355" s="21" t="s">
        <v>4199</v>
      </c>
      <c r="I1355" s="12" t="s">
        <v>6697</v>
      </c>
      <c r="J1355" s="12" t="s">
        <v>7507</v>
      </c>
      <c r="K1355" s="12" t="s">
        <v>5409</v>
      </c>
      <c r="L1355" s="12" t="s">
        <v>5410</v>
      </c>
      <c r="M1355" s="12" t="s">
        <v>5411</v>
      </c>
    </row>
    <row r="1356" spans="1:13" ht="39.6">
      <c r="A1356" s="21" t="s">
        <v>4194</v>
      </c>
      <c r="B1356" s="21" t="s">
        <v>4197</v>
      </c>
      <c r="C1356" s="21" t="s">
        <v>4195</v>
      </c>
      <c r="D1356" s="21" t="s">
        <v>71</v>
      </c>
      <c r="E1356" s="22" t="s">
        <v>4196</v>
      </c>
      <c r="F1356" s="22" t="s">
        <v>4197</v>
      </c>
      <c r="G1356" s="21" t="s">
        <v>4198</v>
      </c>
      <c r="H1356" s="21" t="s">
        <v>4199</v>
      </c>
      <c r="I1356" s="12" t="s">
        <v>6698</v>
      </c>
      <c r="J1356" s="12" t="s">
        <v>7508</v>
      </c>
      <c r="K1356" s="12" t="s">
        <v>5412</v>
      </c>
      <c r="L1356" s="12" t="s">
        <v>5413</v>
      </c>
      <c r="M1356" s="12" t="s">
        <v>5414</v>
      </c>
    </row>
    <row r="1357" spans="1:13" ht="39.6">
      <c r="A1357" s="21" t="s">
        <v>4194</v>
      </c>
      <c r="B1357" s="21" t="s">
        <v>4197</v>
      </c>
      <c r="C1357" s="21" t="s">
        <v>4195</v>
      </c>
      <c r="D1357" s="21" t="s">
        <v>71</v>
      </c>
      <c r="E1357" s="22" t="s">
        <v>4196</v>
      </c>
      <c r="F1357" s="22" t="s">
        <v>4197</v>
      </c>
      <c r="G1357" s="21" t="s">
        <v>4198</v>
      </c>
      <c r="H1357" s="21" t="s">
        <v>4199</v>
      </c>
      <c r="I1357" s="12" t="s">
        <v>6699</v>
      </c>
      <c r="J1357" s="12" t="s">
        <v>7509</v>
      </c>
      <c r="K1357" s="12" t="s">
        <v>5415</v>
      </c>
      <c r="L1357" s="12" t="s">
        <v>5416</v>
      </c>
      <c r="M1357" s="12" t="s">
        <v>5417</v>
      </c>
    </row>
    <row r="1358" spans="1:13" ht="39.6">
      <c r="A1358" s="21" t="s">
        <v>4194</v>
      </c>
      <c r="B1358" s="21" t="s">
        <v>4197</v>
      </c>
      <c r="C1358" s="21" t="s">
        <v>4195</v>
      </c>
      <c r="D1358" s="21" t="s">
        <v>71</v>
      </c>
      <c r="E1358" s="22" t="s">
        <v>4196</v>
      </c>
      <c r="F1358" s="22" t="s">
        <v>4197</v>
      </c>
      <c r="G1358" s="21" t="s">
        <v>4198</v>
      </c>
      <c r="H1358" s="21" t="s">
        <v>4199</v>
      </c>
      <c r="I1358" s="12" t="s">
        <v>6700</v>
      </c>
      <c r="J1358" s="12" t="s">
        <v>7510</v>
      </c>
      <c r="K1358" s="12" t="s">
        <v>5418</v>
      </c>
      <c r="L1358" s="12" t="s">
        <v>5419</v>
      </c>
      <c r="M1358" s="12" t="s">
        <v>5420</v>
      </c>
    </row>
    <row r="1359" spans="1:13" ht="39.6">
      <c r="A1359" s="21" t="s">
        <v>4194</v>
      </c>
      <c r="B1359" s="21" t="s">
        <v>4197</v>
      </c>
      <c r="C1359" s="21" t="s">
        <v>4195</v>
      </c>
      <c r="D1359" s="21" t="s">
        <v>71</v>
      </c>
      <c r="E1359" s="22" t="s">
        <v>4196</v>
      </c>
      <c r="F1359" s="22" t="s">
        <v>4197</v>
      </c>
      <c r="G1359" s="21" t="s">
        <v>4198</v>
      </c>
      <c r="H1359" s="21" t="s">
        <v>4199</v>
      </c>
      <c r="I1359" s="12" t="s">
        <v>6701</v>
      </c>
      <c r="J1359" s="12" t="s">
        <v>7511</v>
      </c>
      <c r="K1359" s="12"/>
      <c r="L1359" s="12" t="s">
        <v>5421</v>
      </c>
      <c r="M1359" s="12" t="s">
        <v>5422</v>
      </c>
    </row>
    <row r="1360" spans="1:13" ht="39.6">
      <c r="A1360" s="21" t="s">
        <v>4194</v>
      </c>
      <c r="B1360" s="21" t="s">
        <v>4197</v>
      </c>
      <c r="C1360" s="21" t="s">
        <v>4195</v>
      </c>
      <c r="D1360" s="21" t="s">
        <v>71</v>
      </c>
      <c r="E1360" s="22" t="s">
        <v>4196</v>
      </c>
      <c r="F1360" s="22" t="s">
        <v>4197</v>
      </c>
      <c r="G1360" s="21" t="s">
        <v>4198</v>
      </c>
      <c r="H1360" s="21" t="s">
        <v>4199</v>
      </c>
      <c r="I1360" s="12" t="s">
        <v>6702</v>
      </c>
      <c r="J1360" s="12" t="s">
        <v>7512</v>
      </c>
      <c r="K1360" s="12" t="s">
        <v>5423</v>
      </c>
      <c r="L1360" s="12" t="s">
        <v>5424</v>
      </c>
      <c r="M1360" s="12" t="s">
        <v>5425</v>
      </c>
    </row>
    <row r="1361" spans="1:13" ht="39.6">
      <c r="A1361" s="21" t="s">
        <v>4194</v>
      </c>
      <c r="B1361" s="21" t="s">
        <v>4197</v>
      </c>
      <c r="C1361" s="21" t="s">
        <v>4195</v>
      </c>
      <c r="D1361" s="21" t="s">
        <v>71</v>
      </c>
      <c r="E1361" s="22" t="s">
        <v>4196</v>
      </c>
      <c r="F1361" s="22" t="s">
        <v>4197</v>
      </c>
      <c r="G1361" s="21" t="s">
        <v>4198</v>
      </c>
      <c r="H1361" s="21" t="s">
        <v>4199</v>
      </c>
      <c r="I1361" s="12" t="s">
        <v>6703</v>
      </c>
      <c r="J1361" s="12" t="s">
        <v>7513</v>
      </c>
      <c r="K1361" s="12" t="s">
        <v>5426</v>
      </c>
      <c r="L1361" s="12" t="s">
        <v>5427</v>
      </c>
      <c r="M1361" s="12" t="s">
        <v>5428</v>
      </c>
    </row>
    <row r="1362" spans="1:13" ht="39.6">
      <c r="A1362" s="21" t="s">
        <v>4194</v>
      </c>
      <c r="B1362" s="21" t="s">
        <v>4197</v>
      </c>
      <c r="C1362" s="21" t="s">
        <v>4195</v>
      </c>
      <c r="D1362" s="21" t="s">
        <v>71</v>
      </c>
      <c r="E1362" s="22" t="s">
        <v>4196</v>
      </c>
      <c r="F1362" s="22" t="s">
        <v>4197</v>
      </c>
      <c r="G1362" s="21" t="s">
        <v>4198</v>
      </c>
      <c r="H1362" s="21" t="s">
        <v>4199</v>
      </c>
      <c r="I1362" s="12" t="s">
        <v>6704</v>
      </c>
      <c r="J1362" s="12" t="s">
        <v>7514</v>
      </c>
      <c r="K1362" s="12" t="s">
        <v>5429</v>
      </c>
      <c r="L1362" s="12" t="s">
        <v>5430</v>
      </c>
      <c r="M1362" s="12" t="s">
        <v>5431</v>
      </c>
    </row>
    <row r="1363" spans="1:13" ht="39.6">
      <c r="A1363" s="21" t="s">
        <v>4194</v>
      </c>
      <c r="B1363" s="21" t="s">
        <v>4197</v>
      </c>
      <c r="C1363" s="21" t="s">
        <v>4195</v>
      </c>
      <c r="D1363" s="21" t="s">
        <v>71</v>
      </c>
      <c r="E1363" s="22" t="s">
        <v>4196</v>
      </c>
      <c r="F1363" s="22" t="s">
        <v>4197</v>
      </c>
      <c r="G1363" s="21" t="s">
        <v>4198</v>
      </c>
      <c r="H1363" s="21" t="s">
        <v>4199</v>
      </c>
      <c r="I1363" s="12" t="s">
        <v>6705</v>
      </c>
      <c r="J1363" s="12" t="s">
        <v>7515</v>
      </c>
      <c r="K1363" s="12"/>
      <c r="L1363" s="12" t="s">
        <v>5432</v>
      </c>
      <c r="M1363" s="12" t="s">
        <v>5433</v>
      </c>
    </row>
    <row r="1364" spans="1:13" ht="39.6">
      <c r="A1364" s="21" t="s">
        <v>4194</v>
      </c>
      <c r="B1364" s="21" t="s">
        <v>4197</v>
      </c>
      <c r="C1364" s="21" t="s">
        <v>4195</v>
      </c>
      <c r="D1364" s="21" t="s">
        <v>71</v>
      </c>
      <c r="E1364" s="22" t="s">
        <v>4196</v>
      </c>
      <c r="F1364" s="22" t="s">
        <v>4197</v>
      </c>
      <c r="G1364" s="21" t="s">
        <v>4198</v>
      </c>
      <c r="H1364" s="21" t="s">
        <v>4199</v>
      </c>
      <c r="I1364" s="12" t="s">
        <v>6706</v>
      </c>
      <c r="J1364" s="12" t="s">
        <v>7516</v>
      </c>
      <c r="K1364" s="12" t="s">
        <v>5434</v>
      </c>
      <c r="L1364" s="12" t="s">
        <v>5435</v>
      </c>
      <c r="M1364" s="12" t="s">
        <v>5434</v>
      </c>
    </row>
    <row r="1365" spans="1:13" ht="39.6">
      <c r="A1365" s="21" t="s">
        <v>4194</v>
      </c>
      <c r="B1365" s="21" t="s">
        <v>4197</v>
      </c>
      <c r="C1365" s="21" t="s">
        <v>4195</v>
      </c>
      <c r="D1365" s="21" t="s">
        <v>71</v>
      </c>
      <c r="E1365" s="22" t="s">
        <v>4196</v>
      </c>
      <c r="F1365" s="22" t="s">
        <v>4197</v>
      </c>
      <c r="G1365" s="21" t="s">
        <v>4198</v>
      </c>
      <c r="H1365" s="21" t="s">
        <v>4199</v>
      </c>
      <c r="I1365" s="12" t="s">
        <v>6707</v>
      </c>
      <c r="J1365" s="12" t="s">
        <v>7517</v>
      </c>
      <c r="K1365" s="12" t="s">
        <v>5436</v>
      </c>
      <c r="L1365" s="12" t="s">
        <v>5437</v>
      </c>
      <c r="M1365" s="12" t="s">
        <v>5436</v>
      </c>
    </row>
    <row r="1366" spans="1:13" ht="39.6">
      <c r="A1366" s="21" t="s">
        <v>4194</v>
      </c>
      <c r="B1366" s="21" t="s">
        <v>4197</v>
      </c>
      <c r="C1366" s="21" t="s">
        <v>4195</v>
      </c>
      <c r="D1366" s="21" t="s">
        <v>71</v>
      </c>
      <c r="E1366" s="22" t="s">
        <v>4196</v>
      </c>
      <c r="F1366" s="22" t="s">
        <v>4197</v>
      </c>
      <c r="G1366" s="21" t="s">
        <v>4198</v>
      </c>
      <c r="H1366" s="21" t="s">
        <v>4199</v>
      </c>
      <c r="I1366" s="12" t="s">
        <v>6708</v>
      </c>
      <c r="J1366" s="12" t="s">
        <v>7518</v>
      </c>
      <c r="K1366" s="12" t="s">
        <v>5438</v>
      </c>
      <c r="L1366" s="12" t="s">
        <v>5439</v>
      </c>
      <c r="M1366" s="12" t="s">
        <v>5440</v>
      </c>
    </row>
    <row r="1367" spans="1:13" ht="39.6">
      <c r="A1367" s="21" t="s">
        <v>4194</v>
      </c>
      <c r="B1367" s="21" t="s">
        <v>4197</v>
      </c>
      <c r="C1367" s="21" t="s">
        <v>4195</v>
      </c>
      <c r="D1367" s="21" t="s">
        <v>71</v>
      </c>
      <c r="E1367" s="22" t="s">
        <v>4196</v>
      </c>
      <c r="F1367" s="22" t="s">
        <v>4197</v>
      </c>
      <c r="G1367" s="21" t="s">
        <v>4198</v>
      </c>
      <c r="H1367" s="21" t="s">
        <v>4199</v>
      </c>
      <c r="I1367" s="12" t="s">
        <v>6709</v>
      </c>
      <c r="J1367" s="12" t="s">
        <v>7519</v>
      </c>
      <c r="K1367" s="12"/>
      <c r="L1367" s="12" t="s">
        <v>5441</v>
      </c>
      <c r="M1367" s="12" t="s">
        <v>5442</v>
      </c>
    </row>
    <row r="1368" spans="1:13" ht="52.8">
      <c r="A1368" s="21" t="s">
        <v>4194</v>
      </c>
      <c r="B1368" s="21" t="s">
        <v>4197</v>
      </c>
      <c r="C1368" s="21" t="s">
        <v>4195</v>
      </c>
      <c r="D1368" s="21" t="s">
        <v>71</v>
      </c>
      <c r="E1368" s="22" t="s">
        <v>4196</v>
      </c>
      <c r="F1368" s="22" t="s">
        <v>4197</v>
      </c>
      <c r="G1368" s="21" t="s">
        <v>4198</v>
      </c>
      <c r="H1368" s="21" t="s">
        <v>4199</v>
      </c>
      <c r="I1368" s="12" t="s">
        <v>6710</v>
      </c>
      <c r="J1368" s="12" t="s">
        <v>7520</v>
      </c>
      <c r="K1368" s="12"/>
      <c r="L1368" s="12" t="s">
        <v>5443</v>
      </c>
      <c r="M1368" s="12" t="s">
        <v>5444</v>
      </c>
    </row>
    <row r="1369" spans="1:13" ht="39.6">
      <c r="A1369" s="21" t="s">
        <v>4194</v>
      </c>
      <c r="B1369" s="21" t="s">
        <v>4197</v>
      </c>
      <c r="C1369" s="21" t="s">
        <v>4195</v>
      </c>
      <c r="D1369" s="21" t="s">
        <v>71</v>
      </c>
      <c r="E1369" s="22" t="s">
        <v>4196</v>
      </c>
      <c r="F1369" s="22" t="s">
        <v>4197</v>
      </c>
      <c r="G1369" s="21" t="s">
        <v>4198</v>
      </c>
      <c r="H1369" s="21" t="s">
        <v>4199</v>
      </c>
      <c r="I1369" s="12" t="s">
        <v>6711</v>
      </c>
      <c r="J1369" s="12" t="s">
        <v>7521</v>
      </c>
      <c r="K1369" s="12" t="s">
        <v>5445</v>
      </c>
      <c r="L1369" s="12" t="s">
        <v>5446</v>
      </c>
      <c r="M1369" s="12" t="s">
        <v>5447</v>
      </c>
    </row>
    <row r="1370" spans="1:13" ht="39.6">
      <c r="A1370" s="21" t="s">
        <v>4194</v>
      </c>
      <c r="B1370" s="21" t="s">
        <v>4197</v>
      </c>
      <c r="C1370" s="21" t="s">
        <v>4195</v>
      </c>
      <c r="D1370" s="21" t="s">
        <v>71</v>
      </c>
      <c r="E1370" s="22" t="s">
        <v>4196</v>
      </c>
      <c r="F1370" s="22" t="s">
        <v>4197</v>
      </c>
      <c r="G1370" s="21" t="s">
        <v>4198</v>
      </c>
      <c r="H1370" s="21" t="s">
        <v>4199</v>
      </c>
      <c r="I1370" s="12" t="s">
        <v>6712</v>
      </c>
      <c r="J1370" s="12" t="s">
        <v>7522</v>
      </c>
      <c r="K1370" s="12" t="s">
        <v>5448</v>
      </c>
      <c r="L1370" s="12" t="s">
        <v>5449</v>
      </c>
      <c r="M1370" s="12" t="s">
        <v>5450</v>
      </c>
    </row>
    <row r="1371" spans="1:13" ht="39.6">
      <c r="A1371" s="21" t="s">
        <v>4194</v>
      </c>
      <c r="B1371" s="21" t="s">
        <v>4197</v>
      </c>
      <c r="C1371" s="21" t="s">
        <v>4195</v>
      </c>
      <c r="D1371" s="21" t="s">
        <v>71</v>
      </c>
      <c r="E1371" s="22" t="s">
        <v>4196</v>
      </c>
      <c r="F1371" s="22" t="s">
        <v>4197</v>
      </c>
      <c r="G1371" s="21" t="s">
        <v>4198</v>
      </c>
      <c r="H1371" s="21" t="s">
        <v>4199</v>
      </c>
      <c r="I1371" s="12" t="s">
        <v>6713</v>
      </c>
      <c r="J1371" s="12" t="s">
        <v>7523</v>
      </c>
      <c r="K1371" s="12"/>
      <c r="L1371" s="12" t="s">
        <v>5451</v>
      </c>
      <c r="M1371" s="12" t="s">
        <v>5452</v>
      </c>
    </row>
    <row r="1372" spans="1:13" ht="39.6">
      <c r="A1372" s="21" t="s">
        <v>4194</v>
      </c>
      <c r="B1372" s="21" t="s">
        <v>4197</v>
      </c>
      <c r="C1372" s="21" t="s">
        <v>4195</v>
      </c>
      <c r="D1372" s="21" t="s">
        <v>71</v>
      </c>
      <c r="E1372" s="22" t="s">
        <v>4196</v>
      </c>
      <c r="F1372" s="22" t="s">
        <v>4197</v>
      </c>
      <c r="G1372" s="21" t="s">
        <v>4198</v>
      </c>
      <c r="H1372" s="21" t="s">
        <v>4199</v>
      </c>
      <c r="I1372" s="12" t="s">
        <v>6714</v>
      </c>
      <c r="J1372" s="12" t="s">
        <v>7524</v>
      </c>
      <c r="K1372" s="12" t="s">
        <v>5453</v>
      </c>
      <c r="L1372" s="12" t="s">
        <v>5454</v>
      </c>
      <c r="M1372" s="12" t="s">
        <v>5455</v>
      </c>
    </row>
    <row r="1373" spans="1:13" ht="52.8">
      <c r="A1373" s="21" t="s">
        <v>4194</v>
      </c>
      <c r="B1373" s="21" t="s">
        <v>4197</v>
      </c>
      <c r="C1373" s="21" t="s">
        <v>4195</v>
      </c>
      <c r="D1373" s="21" t="s">
        <v>71</v>
      </c>
      <c r="E1373" s="22" t="s">
        <v>4196</v>
      </c>
      <c r="F1373" s="22" t="s">
        <v>4197</v>
      </c>
      <c r="G1373" s="21" t="s">
        <v>4198</v>
      </c>
      <c r="H1373" s="21" t="s">
        <v>4199</v>
      </c>
      <c r="I1373" s="12" t="s">
        <v>6715</v>
      </c>
      <c r="J1373" s="12" t="s">
        <v>7525</v>
      </c>
      <c r="K1373" s="12" t="s">
        <v>5456</v>
      </c>
      <c r="L1373" s="12" t="s">
        <v>5457</v>
      </c>
      <c r="M1373" s="12" t="s">
        <v>5458</v>
      </c>
    </row>
    <row r="1374" spans="1:13" ht="39.6">
      <c r="A1374" s="21" t="s">
        <v>4194</v>
      </c>
      <c r="B1374" s="21" t="s">
        <v>4197</v>
      </c>
      <c r="C1374" s="21" t="s">
        <v>4195</v>
      </c>
      <c r="D1374" s="21" t="s">
        <v>71</v>
      </c>
      <c r="E1374" s="22" t="s">
        <v>4196</v>
      </c>
      <c r="F1374" s="22" t="s">
        <v>4197</v>
      </c>
      <c r="G1374" s="21" t="s">
        <v>4198</v>
      </c>
      <c r="H1374" s="21" t="s">
        <v>4199</v>
      </c>
      <c r="I1374" s="12" t="s">
        <v>6716</v>
      </c>
      <c r="J1374" s="12" t="s">
        <v>7526</v>
      </c>
      <c r="K1374" s="12" t="s">
        <v>5459</v>
      </c>
      <c r="L1374" s="12" t="s">
        <v>5460</v>
      </c>
      <c r="M1374" s="12" t="s">
        <v>5461</v>
      </c>
    </row>
    <row r="1375" spans="1:13" ht="39.6">
      <c r="A1375" s="21" t="s">
        <v>4194</v>
      </c>
      <c r="B1375" s="21" t="s">
        <v>4197</v>
      </c>
      <c r="C1375" s="21" t="s">
        <v>4195</v>
      </c>
      <c r="D1375" s="21" t="s">
        <v>71</v>
      </c>
      <c r="E1375" s="22" t="s">
        <v>4196</v>
      </c>
      <c r="F1375" s="22" t="s">
        <v>4197</v>
      </c>
      <c r="G1375" s="21" t="s">
        <v>4198</v>
      </c>
      <c r="H1375" s="21" t="s">
        <v>4199</v>
      </c>
      <c r="I1375" s="12" t="s">
        <v>6717</v>
      </c>
      <c r="J1375" s="12" t="s">
        <v>7527</v>
      </c>
      <c r="K1375" s="12" t="s">
        <v>5462</v>
      </c>
      <c r="L1375" s="12" t="s">
        <v>5463</v>
      </c>
      <c r="M1375" s="12" t="s">
        <v>5464</v>
      </c>
    </row>
    <row r="1376" spans="1:13" ht="39.6">
      <c r="A1376" s="21" t="s">
        <v>4194</v>
      </c>
      <c r="B1376" s="21" t="s">
        <v>4197</v>
      </c>
      <c r="C1376" s="21" t="s">
        <v>4195</v>
      </c>
      <c r="D1376" s="21" t="s">
        <v>71</v>
      </c>
      <c r="E1376" s="22" t="s">
        <v>4196</v>
      </c>
      <c r="F1376" s="22" t="s">
        <v>4197</v>
      </c>
      <c r="G1376" s="21" t="s">
        <v>4198</v>
      </c>
      <c r="H1376" s="21" t="s">
        <v>4199</v>
      </c>
      <c r="I1376" s="12" t="s">
        <v>6718</v>
      </c>
      <c r="J1376" s="12" t="s">
        <v>7528</v>
      </c>
      <c r="K1376" s="12" t="s">
        <v>5465</v>
      </c>
      <c r="L1376" s="12" t="s">
        <v>5466</v>
      </c>
      <c r="M1376" s="12" t="s">
        <v>5465</v>
      </c>
    </row>
    <row r="1377" spans="1:13" ht="39.6">
      <c r="A1377" s="21" t="s">
        <v>4194</v>
      </c>
      <c r="B1377" s="21" t="s">
        <v>4197</v>
      </c>
      <c r="C1377" s="21" t="s">
        <v>4195</v>
      </c>
      <c r="D1377" s="21" t="s">
        <v>71</v>
      </c>
      <c r="E1377" s="22" t="s">
        <v>4196</v>
      </c>
      <c r="F1377" s="22" t="s">
        <v>4197</v>
      </c>
      <c r="G1377" s="21" t="s">
        <v>4198</v>
      </c>
      <c r="H1377" s="21" t="s">
        <v>4199</v>
      </c>
      <c r="I1377" s="12" t="s">
        <v>6719</v>
      </c>
      <c r="J1377" s="12" t="s">
        <v>7529</v>
      </c>
      <c r="K1377" s="12" t="s">
        <v>5467</v>
      </c>
      <c r="L1377" s="12" t="s">
        <v>5468</v>
      </c>
      <c r="M1377" s="12" t="s">
        <v>5469</v>
      </c>
    </row>
    <row r="1378" spans="1:13" ht="39.6">
      <c r="A1378" s="21" t="s">
        <v>4194</v>
      </c>
      <c r="B1378" s="21" t="s">
        <v>4197</v>
      </c>
      <c r="C1378" s="21" t="s">
        <v>4195</v>
      </c>
      <c r="D1378" s="21" t="s">
        <v>71</v>
      </c>
      <c r="E1378" s="22" t="s">
        <v>4196</v>
      </c>
      <c r="F1378" s="22" t="s">
        <v>4197</v>
      </c>
      <c r="G1378" s="21" t="s">
        <v>4198</v>
      </c>
      <c r="H1378" s="21" t="s">
        <v>4199</v>
      </c>
      <c r="I1378" s="12" t="s">
        <v>6720</v>
      </c>
      <c r="J1378" s="12" t="s">
        <v>7530</v>
      </c>
      <c r="K1378" s="12" t="s">
        <v>5470</v>
      </c>
      <c r="L1378" s="12" t="s">
        <v>5471</v>
      </c>
      <c r="M1378" s="12" t="s">
        <v>5470</v>
      </c>
    </row>
    <row r="1379" spans="1:13" ht="39.6">
      <c r="A1379" s="21" t="s">
        <v>4194</v>
      </c>
      <c r="B1379" s="21" t="s">
        <v>4197</v>
      </c>
      <c r="C1379" s="21" t="s">
        <v>4195</v>
      </c>
      <c r="D1379" s="21" t="s">
        <v>71</v>
      </c>
      <c r="E1379" s="22" t="s">
        <v>4196</v>
      </c>
      <c r="F1379" s="22" t="s">
        <v>4197</v>
      </c>
      <c r="G1379" s="21" t="s">
        <v>4198</v>
      </c>
      <c r="H1379" s="21" t="s">
        <v>4199</v>
      </c>
      <c r="I1379" s="12" t="s">
        <v>6721</v>
      </c>
      <c r="J1379" s="12" t="s">
        <v>7531</v>
      </c>
      <c r="K1379" s="12" t="s">
        <v>5472</v>
      </c>
      <c r="L1379" s="12" t="s">
        <v>5473</v>
      </c>
      <c r="M1379" s="12" t="s">
        <v>5474</v>
      </c>
    </row>
    <row r="1380" spans="1:13" ht="39.6">
      <c r="A1380" s="21" t="s">
        <v>4194</v>
      </c>
      <c r="B1380" s="21" t="s">
        <v>4197</v>
      </c>
      <c r="C1380" s="21" t="s">
        <v>4195</v>
      </c>
      <c r="D1380" s="21" t="s">
        <v>71</v>
      </c>
      <c r="E1380" s="22" t="s">
        <v>4196</v>
      </c>
      <c r="F1380" s="22" t="s">
        <v>4197</v>
      </c>
      <c r="G1380" s="21" t="s">
        <v>4198</v>
      </c>
      <c r="H1380" s="21" t="s">
        <v>4199</v>
      </c>
      <c r="I1380" s="12" t="s">
        <v>6722</v>
      </c>
      <c r="J1380" s="12" t="s">
        <v>7532</v>
      </c>
      <c r="K1380" s="12" t="s">
        <v>5475</v>
      </c>
      <c r="L1380" s="12" t="s">
        <v>5476</v>
      </c>
      <c r="M1380" s="12" t="s">
        <v>5477</v>
      </c>
    </row>
    <row r="1381" spans="1:13" ht="52.8">
      <c r="A1381" s="21" t="s">
        <v>4194</v>
      </c>
      <c r="B1381" s="21" t="s">
        <v>4197</v>
      </c>
      <c r="C1381" s="21" t="s">
        <v>4195</v>
      </c>
      <c r="D1381" s="21" t="s">
        <v>71</v>
      </c>
      <c r="E1381" s="22" t="s">
        <v>4196</v>
      </c>
      <c r="F1381" s="22" t="s">
        <v>4197</v>
      </c>
      <c r="G1381" s="21" t="s">
        <v>4198</v>
      </c>
      <c r="H1381" s="21" t="s">
        <v>4199</v>
      </c>
      <c r="I1381" s="12" t="s">
        <v>6723</v>
      </c>
      <c r="J1381" s="12" t="s">
        <v>7533</v>
      </c>
      <c r="K1381" s="12" t="s">
        <v>5478</v>
      </c>
      <c r="L1381" s="12" t="s">
        <v>5479</v>
      </c>
      <c r="M1381" s="12" t="s">
        <v>5478</v>
      </c>
    </row>
    <row r="1382" spans="1:13" ht="39.6">
      <c r="A1382" s="21" t="s">
        <v>4194</v>
      </c>
      <c r="B1382" s="21" t="s">
        <v>4197</v>
      </c>
      <c r="C1382" s="21" t="s">
        <v>4195</v>
      </c>
      <c r="D1382" s="21" t="s">
        <v>71</v>
      </c>
      <c r="E1382" s="22" t="s">
        <v>4196</v>
      </c>
      <c r="F1382" s="22" t="s">
        <v>4197</v>
      </c>
      <c r="G1382" s="21" t="s">
        <v>4198</v>
      </c>
      <c r="H1382" s="21" t="s">
        <v>4199</v>
      </c>
      <c r="I1382" s="12" t="s">
        <v>6724</v>
      </c>
      <c r="J1382" s="12" t="s">
        <v>7534</v>
      </c>
      <c r="K1382" s="12" t="s">
        <v>5480</v>
      </c>
      <c r="L1382" s="12" t="s">
        <v>5481</v>
      </c>
      <c r="M1382" s="12" t="s">
        <v>5482</v>
      </c>
    </row>
    <row r="1383" spans="1:13" ht="39.6">
      <c r="A1383" s="21" t="s">
        <v>4194</v>
      </c>
      <c r="B1383" s="21" t="s">
        <v>4197</v>
      </c>
      <c r="C1383" s="21" t="s">
        <v>4195</v>
      </c>
      <c r="D1383" s="21" t="s">
        <v>71</v>
      </c>
      <c r="E1383" s="22" t="s">
        <v>4196</v>
      </c>
      <c r="F1383" s="22" t="s">
        <v>4197</v>
      </c>
      <c r="G1383" s="21" t="s">
        <v>4198</v>
      </c>
      <c r="H1383" s="21" t="s">
        <v>4199</v>
      </c>
      <c r="I1383" s="12" t="s">
        <v>6725</v>
      </c>
      <c r="J1383" s="12" t="s">
        <v>7535</v>
      </c>
      <c r="K1383" s="12"/>
      <c r="L1383" s="12" t="s">
        <v>5483</v>
      </c>
      <c r="M1383" s="12" t="s">
        <v>5484</v>
      </c>
    </row>
    <row r="1384" spans="1:13" ht="52.8">
      <c r="A1384" s="21" t="s">
        <v>4194</v>
      </c>
      <c r="B1384" s="21" t="s">
        <v>4197</v>
      </c>
      <c r="C1384" s="21" t="s">
        <v>4195</v>
      </c>
      <c r="D1384" s="21" t="s">
        <v>71</v>
      </c>
      <c r="E1384" s="22" t="s">
        <v>4196</v>
      </c>
      <c r="F1384" s="22" t="s">
        <v>4197</v>
      </c>
      <c r="G1384" s="21" t="s">
        <v>4198</v>
      </c>
      <c r="H1384" s="21" t="s">
        <v>4199</v>
      </c>
      <c r="I1384" s="12" t="s">
        <v>6726</v>
      </c>
      <c r="J1384" s="12" t="s">
        <v>7536</v>
      </c>
      <c r="K1384" s="12" t="s">
        <v>5485</v>
      </c>
      <c r="L1384" s="12" t="s">
        <v>5486</v>
      </c>
      <c r="M1384" s="12" t="s">
        <v>5485</v>
      </c>
    </row>
    <row r="1385" spans="1:13" ht="39.6">
      <c r="A1385" s="21" t="s">
        <v>4194</v>
      </c>
      <c r="B1385" s="21" t="s">
        <v>4197</v>
      </c>
      <c r="C1385" s="21" t="s">
        <v>4195</v>
      </c>
      <c r="D1385" s="21" t="s">
        <v>71</v>
      </c>
      <c r="E1385" s="22" t="s">
        <v>4196</v>
      </c>
      <c r="F1385" s="22" t="s">
        <v>4197</v>
      </c>
      <c r="G1385" s="21" t="s">
        <v>4198</v>
      </c>
      <c r="H1385" s="21" t="s">
        <v>4199</v>
      </c>
      <c r="I1385" s="12" t="s">
        <v>6727</v>
      </c>
      <c r="J1385" s="12" t="s">
        <v>7537</v>
      </c>
      <c r="K1385" s="12" t="s">
        <v>5487</v>
      </c>
      <c r="L1385" s="12" t="s">
        <v>5488</v>
      </c>
      <c r="M1385" s="12" t="s">
        <v>5487</v>
      </c>
    </row>
    <row r="1386" spans="1:13" ht="39.6">
      <c r="A1386" s="21" t="s">
        <v>4194</v>
      </c>
      <c r="B1386" s="21" t="s">
        <v>4197</v>
      </c>
      <c r="C1386" s="21" t="s">
        <v>4195</v>
      </c>
      <c r="D1386" s="21" t="s">
        <v>71</v>
      </c>
      <c r="E1386" s="22" t="s">
        <v>4196</v>
      </c>
      <c r="F1386" s="22" t="s">
        <v>4197</v>
      </c>
      <c r="G1386" s="21" t="s">
        <v>4198</v>
      </c>
      <c r="H1386" s="21" t="s">
        <v>4199</v>
      </c>
      <c r="I1386" s="12" t="s">
        <v>6728</v>
      </c>
      <c r="J1386" s="12" t="s">
        <v>7538</v>
      </c>
      <c r="K1386" s="12"/>
      <c r="L1386" s="12" t="s">
        <v>5489</v>
      </c>
      <c r="M1386" s="12" t="s">
        <v>5490</v>
      </c>
    </row>
    <row r="1387" spans="1:13" ht="39.6">
      <c r="A1387" s="21" t="s">
        <v>4194</v>
      </c>
      <c r="B1387" s="21" t="s">
        <v>4197</v>
      </c>
      <c r="C1387" s="21" t="s">
        <v>4195</v>
      </c>
      <c r="D1387" s="21" t="s">
        <v>71</v>
      </c>
      <c r="E1387" s="22" t="s">
        <v>4196</v>
      </c>
      <c r="F1387" s="22" t="s">
        <v>4197</v>
      </c>
      <c r="G1387" s="21" t="s">
        <v>4198</v>
      </c>
      <c r="H1387" s="21" t="s">
        <v>4199</v>
      </c>
      <c r="I1387" s="12" t="s">
        <v>6729</v>
      </c>
      <c r="J1387" s="12" t="s">
        <v>7539</v>
      </c>
      <c r="K1387" s="12" t="s">
        <v>5491</v>
      </c>
      <c r="L1387" s="12" t="s">
        <v>5492</v>
      </c>
      <c r="M1387" s="12" t="s">
        <v>5493</v>
      </c>
    </row>
    <row r="1388" spans="1:13" ht="39.6">
      <c r="A1388" s="21" t="s">
        <v>4194</v>
      </c>
      <c r="B1388" s="21" t="s">
        <v>4197</v>
      </c>
      <c r="C1388" s="21" t="s">
        <v>4195</v>
      </c>
      <c r="D1388" s="21" t="s">
        <v>71</v>
      </c>
      <c r="E1388" s="22" t="s">
        <v>4196</v>
      </c>
      <c r="F1388" s="22" t="s">
        <v>4197</v>
      </c>
      <c r="G1388" s="21" t="s">
        <v>4198</v>
      </c>
      <c r="H1388" s="21" t="s">
        <v>4199</v>
      </c>
      <c r="I1388" s="12" t="s">
        <v>6730</v>
      </c>
      <c r="J1388" s="12" t="s">
        <v>7540</v>
      </c>
      <c r="K1388" s="12"/>
      <c r="L1388" s="12" t="s">
        <v>5494</v>
      </c>
      <c r="M1388" s="12" t="s">
        <v>5495</v>
      </c>
    </row>
    <row r="1389" spans="1:13" ht="52.8">
      <c r="A1389" s="21" t="s">
        <v>4194</v>
      </c>
      <c r="B1389" s="21" t="s">
        <v>4197</v>
      </c>
      <c r="C1389" s="21" t="s">
        <v>4195</v>
      </c>
      <c r="D1389" s="21" t="s">
        <v>71</v>
      </c>
      <c r="E1389" s="22" t="s">
        <v>4196</v>
      </c>
      <c r="F1389" s="22" t="s">
        <v>4197</v>
      </c>
      <c r="G1389" s="21" t="s">
        <v>4198</v>
      </c>
      <c r="H1389" s="21" t="s">
        <v>4199</v>
      </c>
      <c r="I1389" s="12" t="s">
        <v>6731</v>
      </c>
      <c r="J1389" s="12" t="s">
        <v>7541</v>
      </c>
      <c r="K1389" s="12" t="s">
        <v>5496</v>
      </c>
      <c r="L1389" s="12" t="s">
        <v>5497</v>
      </c>
      <c r="M1389" s="12" t="s">
        <v>5498</v>
      </c>
    </row>
    <row r="1390" spans="1:13" ht="39.6">
      <c r="A1390" s="21" t="s">
        <v>4194</v>
      </c>
      <c r="B1390" s="21" t="s">
        <v>4197</v>
      </c>
      <c r="C1390" s="21" t="s">
        <v>4195</v>
      </c>
      <c r="D1390" s="21" t="s">
        <v>71</v>
      </c>
      <c r="E1390" s="22" t="s">
        <v>4196</v>
      </c>
      <c r="F1390" s="22" t="s">
        <v>4197</v>
      </c>
      <c r="G1390" s="21" t="s">
        <v>4198</v>
      </c>
      <c r="H1390" s="21" t="s">
        <v>4199</v>
      </c>
      <c r="I1390" s="12" t="s">
        <v>6732</v>
      </c>
      <c r="J1390" s="12" t="s">
        <v>7542</v>
      </c>
      <c r="K1390" s="12" t="s">
        <v>5499</v>
      </c>
      <c r="L1390" s="12" t="s">
        <v>5500</v>
      </c>
      <c r="M1390" s="12" t="s">
        <v>5499</v>
      </c>
    </row>
    <row r="1391" spans="1:13" ht="39.6">
      <c r="A1391" s="21" t="s">
        <v>4194</v>
      </c>
      <c r="B1391" s="21" t="s">
        <v>4197</v>
      </c>
      <c r="C1391" s="21" t="s">
        <v>4195</v>
      </c>
      <c r="D1391" s="21" t="s">
        <v>71</v>
      </c>
      <c r="E1391" s="22" t="s">
        <v>4196</v>
      </c>
      <c r="F1391" s="22" t="s">
        <v>4197</v>
      </c>
      <c r="G1391" s="21" t="s">
        <v>4198</v>
      </c>
      <c r="H1391" s="21" t="s">
        <v>4199</v>
      </c>
      <c r="I1391" s="12" t="s">
        <v>6733</v>
      </c>
      <c r="J1391" s="12" t="s">
        <v>7543</v>
      </c>
      <c r="K1391" s="12" t="s">
        <v>5501</v>
      </c>
      <c r="L1391" s="12" t="s">
        <v>5502</v>
      </c>
      <c r="M1391" s="12" t="s">
        <v>5503</v>
      </c>
    </row>
    <row r="1392" spans="1:13" ht="39.6">
      <c r="A1392" s="21" t="s">
        <v>4194</v>
      </c>
      <c r="B1392" s="21" t="s">
        <v>4197</v>
      </c>
      <c r="C1392" s="21" t="s">
        <v>4195</v>
      </c>
      <c r="D1392" s="21" t="s">
        <v>71</v>
      </c>
      <c r="E1392" s="22" t="s">
        <v>4196</v>
      </c>
      <c r="F1392" s="22" t="s">
        <v>4197</v>
      </c>
      <c r="G1392" s="21" t="s">
        <v>4198</v>
      </c>
      <c r="H1392" s="21" t="s">
        <v>4199</v>
      </c>
      <c r="I1392" s="12" t="s">
        <v>6734</v>
      </c>
      <c r="J1392" s="12" t="s">
        <v>7544</v>
      </c>
      <c r="K1392" s="12" t="s">
        <v>5504</v>
      </c>
      <c r="L1392" s="12" t="s">
        <v>5505</v>
      </c>
      <c r="M1392" s="12" t="s">
        <v>5506</v>
      </c>
    </row>
    <row r="1393" spans="1:13" ht="39.6">
      <c r="A1393" s="21" t="s">
        <v>4194</v>
      </c>
      <c r="B1393" s="21" t="s">
        <v>4197</v>
      </c>
      <c r="C1393" s="21" t="s">
        <v>4195</v>
      </c>
      <c r="D1393" s="21" t="s">
        <v>71</v>
      </c>
      <c r="E1393" s="22" t="s">
        <v>4196</v>
      </c>
      <c r="F1393" s="22" t="s">
        <v>4197</v>
      </c>
      <c r="G1393" s="21" t="s">
        <v>4198</v>
      </c>
      <c r="H1393" s="21" t="s">
        <v>4199</v>
      </c>
      <c r="I1393" s="12" t="s">
        <v>6735</v>
      </c>
      <c r="J1393" s="12" t="s">
        <v>7545</v>
      </c>
      <c r="K1393" s="12"/>
      <c r="L1393" s="12" t="s">
        <v>5507</v>
      </c>
      <c r="M1393" s="12" t="s">
        <v>5508</v>
      </c>
    </row>
    <row r="1394" spans="1:13" ht="39.6">
      <c r="A1394" s="21" t="s">
        <v>4194</v>
      </c>
      <c r="B1394" s="21" t="s">
        <v>4197</v>
      </c>
      <c r="C1394" s="21" t="s">
        <v>4195</v>
      </c>
      <c r="D1394" s="21" t="s">
        <v>71</v>
      </c>
      <c r="E1394" s="22" t="s">
        <v>4196</v>
      </c>
      <c r="F1394" s="22" t="s">
        <v>4197</v>
      </c>
      <c r="G1394" s="21" t="s">
        <v>4198</v>
      </c>
      <c r="H1394" s="21" t="s">
        <v>4199</v>
      </c>
      <c r="I1394" s="12" t="s">
        <v>6736</v>
      </c>
      <c r="J1394" s="12" t="s">
        <v>7546</v>
      </c>
      <c r="K1394" s="12" t="s">
        <v>5509</v>
      </c>
      <c r="L1394" s="12" t="s">
        <v>5510</v>
      </c>
      <c r="M1394" s="12" t="s">
        <v>5509</v>
      </c>
    </row>
    <row r="1395" spans="1:13" ht="92.4">
      <c r="A1395" s="21" t="s">
        <v>4194</v>
      </c>
      <c r="B1395" s="21" t="s">
        <v>4197</v>
      </c>
      <c r="C1395" s="21" t="s">
        <v>4195</v>
      </c>
      <c r="D1395" s="21" t="s">
        <v>71</v>
      </c>
      <c r="E1395" s="22" t="s">
        <v>4196</v>
      </c>
      <c r="F1395" s="22" t="s">
        <v>4197</v>
      </c>
      <c r="G1395" s="21" t="s">
        <v>4198</v>
      </c>
      <c r="H1395" s="21" t="s">
        <v>4199</v>
      </c>
      <c r="I1395" s="12" t="s">
        <v>6737</v>
      </c>
      <c r="J1395" s="12" t="s">
        <v>7547</v>
      </c>
      <c r="K1395" s="12" t="s">
        <v>5511</v>
      </c>
      <c r="L1395" s="12" t="s">
        <v>5512</v>
      </c>
      <c r="M1395" s="12" t="s">
        <v>5513</v>
      </c>
    </row>
    <row r="1396" spans="1:13" ht="39.6">
      <c r="A1396" s="21" t="s">
        <v>4194</v>
      </c>
      <c r="B1396" s="21" t="s">
        <v>4197</v>
      </c>
      <c r="C1396" s="21" t="s">
        <v>4195</v>
      </c>
      <c r="D1396" s="21" t="s">
        <v>71</v>
      </c>
      <c r="E1396" s="22" t="s">
        <v>4196</v>
      </c>
      <c r="F1396" s="22" t="s">
        <v>4197</v>
      </c>
      <c r="G1396" s="21" t="s">
        <v>4198</v>
      </c>
      <c r="H1396" s="21" t="s">
        <v>4199</v>
      </c>
      <c r="I1396" s="12" t="s">
        <v>6738</v>
      </c>
      <c r="J1396" s="12" t="s">
        <v>7548</v>
      </c>
      <c r="K1396" s="12" t="s">
        <v>5514</v>
      </c>
      <c r="L1396" s="12" t="s">
        <v>5515</v>
      </c>
      <c r="M1396" s="12" t="s">
        <v>5516</v>
      </c>
    </row>
    <row r="1397" spans="1:13" ht="92.4">
      <c r="A1397" s="21" t="s">
        <v>4194</v>
      </c>
      <c r="B1397" s="21" t="s">
        <v>4197</v>
      </c>
      <c r="C1397" s="21" t="s">
        <v>4195</v>
      </c>
      <c r="D1397" s="21" t="s">
        <v>71</v>
      </c>
      <c r="E1397" s="22" t="s">
        <v>4196</v>
      </c>
      <c r="F1397" s="22" t="s">
        <v>4197</v>
      </c>
      <c r="G1397" s="21" t="s">
        <v>4198</v>
      </c>
      <c r="H1397" s="21" t="s">
        <v>4199</v>
      </c>
      <c r="I1397" s="12" t="s">
        <v>6739</v>
      </c>
      <c r="J1397" s="12" t="s">
        <v>7549</v>
      </c>
      <c r="K1397" s="12" t="s">
        <v>5517</v>
      </c>
      <c r="L1397" s="12" t="s">
        <v>5518</v>
      </c>
      <c r="M1397" s="12" t="s">
        <v>5519</v>
      </c>
    </row>
    <row r="1398" spans="1:13" ht="39.6">
      <c r="A1398" s="21" t="s">
        <v>4194</v>
      </c>
      <c r="B1398" s="21" t="s">
        <v>4197</v>
      </c>
      <c r="C1398" s="21" t="s">
        <v>4195</v>
      </c>
      <c r="D1398" s="21" t="s">
        <v>71</v>
      </c>
      <c r="E1398" s="22" t="s">
        <v>4196</v>
      </c>
      <c r="F1398" s="22" t="s">
        <v>4197</v>
      </c>
      <c r="G1398" s="21" t="s">
        <v>4198</v>
      </c>
      <c r="H1398" s="21" t="s">
        <v>4199</v>
      </c>
      <c r="I1398" s="12" t="s">
        <v>6740</v>
      </c>
      <c r="J1398" s="12" t="s">
        <v>7550</v>
      </c>
      <c r="K1398" s="12"/>
      <c r="L1398" s="12" t="s">
        <v>5520</v>
      </c>
      <c r="M1398" s="12" t="s">
        <v>5521</v>
      </c>
    </row>
    <row r="1399" spans="1:13" ht="52.8">
      <c r="A1399" s="21" t="s">
        <v>4194</v>
      </c>
      <c r="B1399" s="21" t="s">
        <v>4197</v>
      </c>
      <c r="C1399" s="21" t="s">
        <v>4195</v>
      </c>
      <c r="D1399" s="21" t="s">
        <v>71</v>
      </c>
      <c r="E1399" s="22" t="s">
        <v>4196</v>
      </c>
      <c r="F1399" s="22" t="s">
        <v>4197</v>
      </c>
      <c r="G1399" s="21" t="s">
        <v>4198</v>
      </c>
      <c r="H1399" s="21" t="s">
        <v>4199</v>
      </c>
      <c r="I1399" s="12" t="s">
        <v>6741</v>
      </c>
      <c r="J1399" s="12" t="s">
        <v>7551</v>
      </c>
      <c r="K1399" s="12"/>
      <c r="L1399" s="12" t="s">
        <v>5522</v>
      </c>
      <c r="M1399" s="12" t="s">
        <v>5523</v>
      </c>
    </row>
    <row r="1400" spans="1:13" ht="39.6">
      <c r="A1400" s="21" t="s">
        <v>4194</v>
      </c>
      <c r="B1400" s="21" t="s">
        <v>4197</v>
      </c>
      <c r="C1400" s="21" t="s">
        <v>4195</v>
      </c>
      <c r="D1400" s="21" t="s">
        <v>71</v>
      </c>
      <c r="E1400" s="22" t="s">
        <v>4196</v>
      </c>
      <c r="F1400" s="22" t="s">
        <v>4197</v>
      </c>
      <c r="G1400" s="21" t="s">
        <v>4198</v>
      </c>
      <c r="H1400" s="21" t="s">
        <v>4199</v>
      </c>
      <c r="I1400" s="12" t="s">
        <v>6742</v>
      </c>
      <c r="J1400" s="12" t="s">
        <v>7552</v>
      </c>
      <c r="K1400" s="12" t="s">
        <v>5524</v>
      </c>
      <c r="L1400" s="12" t="s">
        <v>5525</v>
      </c>
      <c r="M1400" s="12" t="s">
        <v>5526</v>
      </c>
    </row>
    <row r="1401" spans="1:13" ht="39.6">
      <c r="A1401" s="21" t="s">
        <v>4194</v>
      </c>
      <c r="B1401" s="21" t="s">
        <v>4197</v>
      </c>
      <c r="C1401" s="21" t="s">
        <v>4195</v>
      </c>
      <c r="D1401" s="21" t="s">
        <v>71</v>
      </c>
      <c r="E1401" s="22" t="s">
        <v>4196</v>
      </c>
      <c r="F1401" s="22" t="s">
        <v>4197</v>
      </c>
      <c r="G1401" s="21" t="s">
        <v>4198</v>
      </c>
      <c r="H1401" s="21" t="s">
        <v>4199</v>
      </c>
      <c r="I1401" s="12" t="s">
        <v>6743</v>
      </c>
      <c r="J1401" s="12" t="s">
        <v>7553</v>
      </c>
      <c r="K1401" s="12" t="s">
        <v>5527</v>
      </c>
      <c r="L1401" s="12" t="s">
        <v>5528</v>
      </c>
      <c r="M1401" s="12" t="s">
        <v>5529</v>
      </c>
    </row>
    <row r="1402" spans="1:13" ht="39.6">
      <c r="A1402" s="21" t="s">
        <v>4194</v>
      </c>
      <c r="B1402" s="21" t="s">
        <v>4197</v>
      </c>
      <c r="C1402" s="21" t="s">
        <v>4195</v>
      </c>
      <c r="D1402" s="21" t="s">
        <v>71</v>
      </c>
      <c r="E1402" s="22" t="s">
        <v>4196</v>
      </c>
      <c r="F1402" s="22" t="s">
        <v>4197</v>
      </c>
      <c r="G1402" s="21" t="s">
        <v>4198</v>
      </c>
      <c r="H1402" s="21" t="s">
        <v>4199</v>
      </c>
      <c r="I1402" s="12" t="s">
        <v>6744</v>
      </c>
      <c r="J1402" s="12" t="s">
        <v>7554</v>
      </c>
      <c r="K1402" s="12"/>
      <c r="L1402" s="12" t="s">
        <v>5530</v>
      </c>
      <c r="M1402" s="12" t="s">
        <v>5531</v>
      </c>
    </row>
    <row r="1403" spans="1:13" ht="52.8">
      <c r="A1403" s="21" t="s">
        <v>4194</v>
      </c>
      <c r="B1403" s="21" t="s">
        <v>4197</v>
      </c>
      <c r="C1403" s="21" t="s">
        <v>4195</v>
      </c>
      <c r="D1403" s="21" t="s">
        <v>71</v>
      </c>
      <c r="E1403" s="22" t="s">
        <v>4196</v>
      </c>
      <c r="F1403" s="22" t="s">
        <v>4197</v>
      </c>
      <c r="G1403" s="21" t="s">
        <v>4198</v>
      </c>
      <c r="H1403" s="21" t="s">
        <v>4199</v>
      </c>
      <c r="I1403" s="12" t="s">
        <v>6745</v>
      </c>
      <c r="J1403" s="12" t="s">
        <v>7555</v>
      </c>
      <c r="K1403" s="12" t="s">
        <v>5532</v>
      </c>
      <c r="L1403" s="12" t="s">
        <v>5533</v>
      </c>
      <c r="M1403" s="12" t="s">
        <v>5532</v>
      </c>
    </row>
    <row r="1404" spans="1:13" ht="39.6">
      <c r="A1404" s="21" t="s">
        <v>4194</v>
      </c>
      <c r="B1404" s="21" t="s">
        <v>4197</v>
      </c>
      <c r="C1404" s="21" t="s">
        <v>4195</v>
      </c>
      <c r="D1404" s="21" t="s">
        <v>71</v>
      </c>
      <c r="E1404" s="22" t="s">
        <v>4196</v>
      </c>
      <c r="F1404" s="22" t="s">
        <v>4197</v>
      </c>
      <c r="G1404" s="21" t="s">
        <v>4198</v>
      </c>
      <c r="H1404" s="21" t="s">
        <v>4199</v>
      </c>
      <c r="I1404" s="12" t="s">
        <v>6746</v>
      </c>
      <c r="J1404" s="12" t="s">
        <v>7556</v>
      </c>
      <c r="K1404" s="12" t="s">
        <v>5534</v>
      </c>
      <c r="L1404" s="12" t="s">
        <v>5535</v>
      </c>
      <c r="M1404" s="12" t="s">
        <v>5534</v>
      </c>
    </row>
    <row r="1405" spans="1:13" ht="39.6">
      <c r="A1405" s="21" t="s">
        <v>4194</v>
      </c>
      <c r="B1405" s="21" t="s">
        <v>4197</v>
      </c>
      <c r="C1405" s="21" t="s">
        <v>4195</v>
      </c>
      <c r="D1405" s="21" t="s">
        <v>71</v>
      </c>
      <c r="E1405" s="22" t="s">
        <v>4196</v>
      </c>
      <c r="F1405" s="22" t="s">
        <v>4197</v>
      </c>
      <c r="G1405" s="21" t="s">
        <v>4198</v>
      </c>
      <c r="H1405" s="21" t="s">
        <v>4199</v>
      </c>
      <c r="I1405" s="12" t="s">
        <v>6747</v>
      </c>
      <c r="J1405" s="12" t="s">
        <v>7557</v>
      </c>
      <c r="K1405" s="12" t="s">
        <v>5536</v>
      </c>
      <c r="L1405" s="12" t="s">
        <v>5537</v>
      </c>
      <c r="M1405" s="12" t="s">
        <v>5538</v>
      </c>
    </row>
    <row r="1406" spans="1:13" ht="52.8">
      <c r="A1406" s="21" t="s">
        <v>4194</v>
      </c>
      <c r="B1406" s="21" t="s">
        <v>4197</v>
      </c>
      <c r="C1406" s="21" t="s">
        <v>4195</v>
      </c>
      <c r="D1406" s="21" t="s">
        <v>71</v>
      </c>
      <c r="E1406" s="22" t="s">
        <v>4196</v>
      </c>
      <c r="F1406" s="22" t="s">
        <v>4197</v>
      </c>
      <c r="G1406" s="21" t="s">
        <v>4198</v>
      </c>
      <c r="H1406" s="21" t="s">
        <v>4199</v>
      </c>
      <c r="I1406" s="12" t="s">
        <v>6748</v>
      </c>
      <c r="J1406" s="12" t="s">
        <v>7558</v>
      </c>
      <c r="K1406" s="12" t="s">
        <v>5539</v>
      </c>
      <c r="L1406" s="12" t="s">
        <v>5540</v>
      </c>
      <c r="M1406" s="12" t="s">
        <v>5539</v>
      </c>
    </row>
    <row r="1407" spans="1:13" ht="39.6">
      <c r="A1407" s="21" t="s">
        <v>4194</v>
      </c>
      <c r="B1407" s="21" t="s">
        <v>4197</v>
      </c>
      <c r="C1407" s="21" t="s">
        <v>4195</v>
      </c>
      <c r="D1407" s="21" t="s">
        <v>71</v>
      </c>
      <c r="E1407" s="22" t="s">
        <v>4196</v>
      </c>
      <c r="F1407" s="22" t="s">
        <v>4197</v>
      </c>
      <c r="G1407" s="21" t="s">
        <v>4198</v>
      </c>
      <c r="H1407" s="21" t="s">
        <v>4199</v>
      </c>
      <c r="I1407" s="12" t="s">
        <v>6749</v>
      </c>
      <c r="J1407" s="12" t="s">
        <v>7559</v>
      </c>
      <c r="K1407" s="12"/>
      <c r="L1407" s="12" t="s">
        <v>5541</v>
      </c>
      <c r="M1407" s="12" t="s">
        <v>5542</v>
      </c>
    </row>
    <row r="1408" spans="1:13" ht="39.6">
      <c r="A1408" s="21" t="s">
        <v>4194</v>
      </c>
      <c r="B1408" s="21" t="s">
        <v>4197</v>
      </c>
      <c r="C1408" s="21" t="s">
        <v>4195</v>
      </c>
      <c r="D1408" s="21" t="s">
        <v>71</v>
      </c>
      <c r="E1408" s="22" t="s">
        <v>4196</v>
      </c>
      <c r="F1408" s="22" t="s">
        <v>4197</v>
      </c>
      <c r="G1408" s="21" t="s">
        <v>4198</v>
      </c>
      <c r="H1408" s="21" t="s">
        <v>4199</v>
      </c>
      <c r="I1408" s="12" t="s">
        <v>6750</v>
      </c>
      <c r="J1408" s="12" t="s">
        <v>7560</v>
      </c>
      <c r="K1408" s="12" t="s">
        <v>5543</v>
      </c>
      <c r="L1408" s="12" t="s">
        <v>5544</v>
      </c>
      <c r="M1408" s="12" t="s">
        <v>5545</v>
      </c>
    </row>
    <row r="1409" spans="1:13" ht="39.6">
      <c r="A1409" s="21" t="s">
        <v>4194</v>
      </c>
      <c r="B1409" s="21" t="s">
        <v>4197</v>
      </c>
      <c r="C1409" s="21" t="s">
        <v>4195</v>
      </c>
      <c r="D1409" s="21" t="s">
        <v>71</v>
      </c>
      <c r="E1409" s="22" t="s">
        <v>4196</v>
      </c>
      <c r="F1409" s="22" t="s">
        <v>4197</v>
      </c>
      <c r="G1409" s="21" t="s">
        <v>4198</v>
      </c>
      <c r="H1409" s="21" t="s">
        <v>4199</v>
      </c>
      <c r="I1409" s="12" t="s">
        <v>6751</v>
      </c>
      <c r="J1409" s="12" t="s">
        <v>7561</v>
      </c>
      <c r="K1409" s="12" t="s">
        <v>5546</v>
      </c>
      <c r="L1409" s="12" t="s">
        <v>5547</v>
      </c>
      <c r="M1409" s="12" t="s">
        <v>5548</v>
      </c>
    </row>
    <row r="1410" spans="1:13" ht="39.6">
      <c r="A1410" s="21" t="s">
        <v>4194</v>
      </c>
      <c r="B1410" s="21" t="s">
        <v>4197</v>
      </c>
      <c r="C1410" s="21" t="s">
        <v>4195</v>
      </c>
      <c r="D1410" s="21" t="s">
        <v>71</v>
      </c>
      <c r="E1410" s="22" t="s">
        <v>4196</v>
      </c>
      <c r="F1410" s="22" t="s">
        <v>4197</v>
      </c>
      <c r="G1410" s="21" t="s">
        <v>4198</v>
      </c>
      <c r="H1410" s="21" t="s">
        <v>4199</v>
      </c>
      <c r="I1410" s="12" t="s">
        <v>6752</v>
      </c>
      <c r="J1410" s="12" t="s">
        <v>7562</v>
      </c>
      <c r="K1410" s="12" t="s">
        <v>5549</v>
      </c>
      <c r="L1410" s="12" t="s">
        <v>5550</v>
      </c>
      <c r="M1410" s="12" t="s">
        <v>5549</v>
      </c>
    </row>
    <row r="1411" spans="1:13" ht="39.6">
      <c r="A1411" s="21" t="s">
        <v>4194</v>
      </c>
      <c r="B1411" s="21" t="s">
        <v>4197</v>
      </c>
      <c r="C1411" s="21" t="s">
        <v>4195</v>
      </c>
      <c r="D1411" s="21" t="s">
        <v>71</v>
      </c>
      <c r="E1411" s="22" t="s">
        <v>4196</v>
      </c>
      <c r="F1411" s="22" t="s">
        <v>4197</v>
      </c>
      <c r="G1411" s="21" t="s">
        <v>4198</v>
      </c>
      <c r="H1411" s="21" t="s">
        <v>4199</v>
      </c>
      <c r="I1411" s="12" t="s">
        <v>6753</v>
      </c>
      <c r="J1411" s="12" t="s">
        <v>7563</v>
      </c>
      <c r="K1411" s="12" t="s">
        <v>5551</v>
      </c>
      <c r="L1411" s="12" t="s">
        <v>5552</v>
      </c>
      <c r="M1411" s="12" t="s">
        <v>5551</v>
      </c>
    </row>
    <row r="1412" spans="1:13" ht="39.6">
      <c r="A1412" s="21" t="s">
        <v>4194</v>
      </c>
      <c r="B1412" s="21" t="s">
        <v>4197</v>
      </c>
      <c r="C1412" s="21" t="s">
        <v>4195</v>
      </c>
      <c r="D1412" s="21" t="s">
        <v>71</v>
      </c>
      <c r="E1412" s="22" t="s">
        <v>4196</v>
      </c>
      <c r="F1412" s="22" t="s">
        <v>4197</v>
      </c>
      <c r="G1412" s="21" t="s">
        <v>4198</v>
      </c>
      <c r="H1412" s="21" t="s">
        <v>4199</v>
      </c>
      <c r="I1412" s="12" t="s">
        <v>6754</v>
      </c>
      <c r="J1412" s="12" t="s">
        <v>7564</v>
      </c>
      <c r="K1412" s="12" t="s">
        <v>5553</v>
      </c>
      <c r="L1412" s="12" t="s">
        <v>5554</v>
      </c>
      <c r="M1412" s="12" t="s">
        <v>5555</v>
      </c>
    </row>
    <row r="1413" spans="1:13" ht="52.8">
      <c r="A1413" s="21" t="s">
        <v>4194</v>
      </c>
      <c r="B1413" s="21" t="s">
        <v>4197</v>
      </c>
      <c r="C1413" s="21" t="s">
        <v>4195</v>
      </c>
      <c r="D1413" s="21" t="s">
        <v>71</v>
      </c>
      <c r="E1413" s="22" t="s">
        <v>4196</v>
      </c>
      <c r="F1413" s="22" t="s">
        <v>4197</v>
      </c>
      <c r="G1413" s="21" t="s">
        <v>4198</v>
      </c>
      <c r="H1413" s="21" t="s">
        <v>4199</v>
      </c>
      <c r="I1413" s="12" t="s">
        <v>2030</v>
      </c>
      <c r="J1413" s="12" t="s">
        <v>2035</v>
      </c>
      <c r="K1413" s="12" t="s">
        <v>2043</v>
      </c>
      <c r="L1413" s="12" t="s">
        <v>2044</v>
      </c>
      <c r="M1413" s="12" t="s">
        <v>2043</v>
      </c>
    </row>
    <row r="1414" spans="1:13" ht="39.6">
      <c r="A1414" s="21" t="s">
        <v>4194</v>
      </c>
      <c r="B1414" s="21" t="s">
        <v>4197</v>
      </c>
      <c r="C1414" s="21" t="s">
        <v>4195</v>
      </c>
      <c r="D1414" s="21" t="s">
        <v>71</v>
      </c>
      <c r="E1414" s="22" t="s">
        <v>4196</v>
      </c>
      <c r="F1414" s="22" t="s">
        <v>4197</v>
      </c>
      <c r="G1414" s="21" t="s">
        <v>4198</v>
      </c>
      <c r="H1414" s="21" t="s">
        <v>4199</v>
      </c>
      <c r="I1414" s="12" t="s">
        <v>6755</v>
      </c>
      <c r="J1414" s="12" t="s">
        <v>7565</v>
      </c>
      <c r="K1414" s="12" t="s">
        <v>5556</v>
      </c>
      <c r="L1414" s="12" t="s">
        <v>5557</v>
      </c>
      <c r="M1414" s="12" t="s">
        <v>5556</v>
      </c>
    </row>
    <row r="1415" spans="1:13" ht="39.6">
      <c r="A1415" s="21" t="s">
        <v>4194</v>
      </c>
      <c r="B1415" s="21" t="s">
        <v>4197</v>
      </c>
      <c r="C1415" s="21" t="s">
        <v>4195</v>
      </c>
      <c r="D1415" s="21" t="s">
        <v>71</v>
      </c>
      <c r="E1415" s="22" t="s">
        <v>4196</v>
      </c>
      <c r="F1415" s="22" t="s">
        <v>4197</v>
      </c>
      <c r="G1415" s="21" t="s">
        <v>4198</v>
      </c>
      <c r="H1415" s="21" t="s">
        <v>4199</v>
      </c>
      <c r="I1415" s="12" t="s">
        <v>6756</v>
      </c>
      <c r="J1415" s="12" t="s">
        <v>7566</v>
      </c>
      <c r="K1415" s="12" t="s">
        <v>5558</v>
      </c>
      <c r="L1415" s="12" t="s">
        <v>5559</v>
      </c>
      <c r="M1415" s="12" t="s">
        <v>5558</v>
      </c>
    </row>
    <row r="1416" spans="1:13" ht="39.6">
      <c r="A1416" s="21" t="s">
        <v>4194</v>
      </c>
      <c r="B1416" s="21" t="s">
        <v>4197</v>
      </c>
      <c r="C1416" s="21" t="s">
        <v>4195</v>
      </c>
      <c r="D1416" s="21" t="s">
        <v>71</v>
      </c>
      <c r="E1416" s="22" t="s">
        <v>4196</v>
      </c>
      <c r="F1416" s="22" t="s">
        <v>4197</v>
      </c>
      <c r="G1416" s="21" t="s">
        <v>4198</v>
      </c>
      <c r="H1416" s="21" t="s">
        <v>4199</v>
      </c>
      <c r="I1416" s="12" t="s">
        <v>6757</v>
      </c>
      <c r="J1416" s="12" t="s">
        <v>7567</v>
      </c>
      <c r="K1416" s="12"/>
      <c r="L1416" s="12" t="s">
        <v>5560</v>
      </c>
      <c r="M1416" s="12" t="s">
        <v>5561</v>
      </c>
    </row>
    <row r="1417" spans="1:13" ht="39.6">
      <c r="A1417" s="21" t="s">
        <v>4194</v>
      </c>
      <c r="B1417" s="21" t="s">
        <v>4197</v>
      </c>
      <c r="C1417" s="21" t="s">
        <v>4195</v>
      </c>
      <c r="D1417" s="21" t="s">
        <v>71</v>
      </c>
      <c r="E1417" s="22" t="s">
        <v>4196</v>
      </c>
      <c r="F1417" s="22" t="s">
        <v>4197</v>
      </c>
      <c r="G1417" s="21" t="s">
        <v>4198</v>
      </c>
      <c r="H1417" s="21" t="s">
        <v>4199</v>
      </c>
      <c r="I1417" s="12" t="s">
        <v>6758</v>
      </c>
      <c r="J1417" s="12" t="s">
        <v>7568</v>
      </c>
      <c r="K1417" s="12" t="s">
        <v>5562</v>
      </c>
      <c r="L1417" s="12" t="s">
        <v>5563</v>
      </c>
      <c r="M1417" s="12" t="s">
        <v>5562</v>
      </c>
    </row>
    <row r="1418" spans="1:13" ht="39.6">
      <c r="A1418" s="21" t="s">
        <v>4194</v>
      </c>
      <c r="B1418" s="21" t="s">
        <v>4197</v>
      </c>
      <c r="C1418" s="21" t="s">
        <v>4195</v>
      </c>
      <c r="D1418" s="21" t="s">
        <v>71</v>
      </c>
      <c r="E1418" s="22" t="s">
        <v>4196</v>
      </c>
      <c r="F1418" s="22" t="s">
        <v>4197</v>
      </c>
      <c r="G1418" s="21" t="s">
        <v>4198</v>
      </c>
      <c r="H1418" s="21" t="s">
        <v>4199</v>
      </c>
      <c r="I1418" s="12" t="s">
        <v>6759</v>
      </c>
      <c r="J1418" s="12" t="s">
        <v>7569</v>
      </c>
      <c r="K1418" s="12" t="s">
        <v>5564</v>
      </c>
      <c r="L1418" s="12" t="s">
        <v>5565</v>
      </c>
      <c r="M1418" s="12" t="s">
        <v>5566</v>
      </c>
    </row>
    <row r="1419" spans="1:13" ht="52.8">
      <c r="A1419" s="21" t="s">
        <v>4194</v>
      </c>
      <c r="B1419" s="21" t="s">
        <v>4197</v>
      </c>
      <c r="C1419" s="21" t="s">
        <v>4195</v>
      </c>
      <c r="D1419" s="21" t="s">
        <v>71</v>
      </c>
      <c r="E1419" s="22" t="s">
        <v>4196</v>
      </c>
      <c r="F1419" s="22" t="s">
        <v>4197</v>
      </c>
      <c r="G1419" s="21" t="s">
        <v>4198</v>
      </c>
      <c r="H1419" s="21" t="s">
        <v>4199</v>
      </c>
      <c r="I1419" s="12" t="s">
        <v>6760</v>
      </c>
      <c r="J1419" s="12" t="s">
        <v>7570</v>
      </c>
      <c r="K1419" s="12" t="s">
        <v>5567</v>
      </c>
      <c r="L1419" s="12" t="s">
        <v>5568</v>
      </c>
      <c r="M1419" s="12" t="s">
        <v>5569</v>
      </c>
    </row>
    <row r="1420" spans="1:13" ht="66">
      <c r="A1420" s="21" t="s">
        <v>4194</v>
      </c>
      <c r="B1420" s="21" t="s">
        <v>4197</v>
      </c>
      <c r="C1420" s="21" t="s">
        <v>4195</v>
      </c>
      <c r="D1420" s="21" t="s">
        <v>71</v>
      </c>
      <c r="E1420" s="22" t="s">
        <v>4196</v>
      </c>
      <c r="F1420" s="22" t="s">
        <v>4197</v>
      </c>
      <c r="G1420" s="21" t="s">
        <v>4198</v>
      </c>
      <c r="H1420" s="21" t="s">
        <v>4199</v>
      </c>
      <c r="I1420" s="12" t="s">
        <v>6761</v>
      </c>
      <c r="J1420" s="12" t="s">
        <v>7571</v>
      </c>
      <c r="K1420" s="12" t="s">
        <v>5570</v>
      </c>
      <c r="L1420" s="12" t="s">
        <v>5571</v>
      </c>
      <c r="M1420" s="12" t="s">
        <v>5572</v>
      </c>
    </row>
    <row r="1421" spans="1:13" ht="66">
      <c r="A1421" s="21" t="s">
        <v>4194</v>
      </c>
      <c r="B1421" s="21" t="s">
        <v>4197</v>
      </c>
      <c r="C1421" s="21" t="s">
        <v>4195</v>
      </c>
      <c r="D1421" s="21" t="s">
        <v>71</v>
      </c>
      <c r="E1421" s="22" t="s">
        <v>4196</v>
      </c>
      <c r="F1421" s="22" t="s">
        <v>4197</v>
      </c>
      <c r="G1421" s="21" t="s">
        <v>4198</v>
      </c>
      <c r="H1421" s="21" t="s">
        <v>4199</v>
      </c>
      <c r="I1421" s="12" t="s">
        <v>6762</v>
      </c>
      <c r="J1421" s="12" t="s">
        <v>7572</v>
      </c>
      <c r="K1421" s="12" t="s">
        <v>5573</v>
      </c>
      <c r="L1421" s="12" t="s">
        <v>5574</v>
      </c>
      <c r="M1421" s="12" t="s">
        <v>5575</v>
      </c>
    </row>
    <row r="1422" spans="1:13" ht="79.2">
      <c r="A1422" s="21" t="s">
        <v>4194</v>
      </c>
      <c r="B1422" s="21" t="s">
        <v>4197</v>
      </c>
      <c r="C1422" s="21" t="s">
        <v>4195</v>
      </c>
      <c r="D1422" s="21" t="s">
        <v>71</v>
      </c>
      <c r="E1422" s="22" t="s">
        <v>4196</v>
      </c>
      <c r="F1422" s="22" t="s">
        <v>4197</v>
      </c>
      <c r="G1422" s="21" t="s">
        <v>4198</v>
      </c>
      <c r="H1422" s="21" t="s">
        <v>4199</v>
      </c>
      <c r="I1422" s="12" t="s">
        <v>6763</v>
      </c>
      <c r="J1422" s="12" t="s">
        <v>7573</v>
      </c>
      <c r="K1422" s="12" t="s">
        <v>5576</v>
      </c>
      <c r="L1422" s="12" t="s">
        <v>5577</v>
      </c>
      <c r="M1422" s="12" t="s">
        <v>5578</v>
      </c>
    </row>
    <row r="1423" spans="1:13" ht="39.6">
      <c r="A1423" s="21" t="s">
        <v>4194</v>
      </c>
      <c r="B1423" s="21" t="s">
        <v>4197</v>
      </c>
      <c r="C1423" s="21" t="s">
        <v>4195</v>
      </c>
      <c r="D1423" s="21" t="s">
        <v>71</v>
      </c>
      <c r="E1423" s="22" t="s">
        <v>4196</v>
      </c>
      <c r="F1423" s="22" t="s">
        <v>4197</v>
      </c>
      <c r="G1423" s="21" t="s">
        <v>4198</v>
      </c>
      <c r="H1423" s="21" t="s">
        <v>4199</v>
      </c>
      <c r="I1423" s="12" t="s">
        <v>6764</v>
      </c>
      <c r="J1423" s="12" t="s">
        <v>7574</v>
      </c>
      <c r="K1423" s="12" t="s">
        <v>5579</v>
      </c>
      <c r="L1423" s="12" t="s">
        <v>5580</v>
      </c>
      <c r="M1423" s="12" t="s">
        <v>5581</v>
      </c>
    </row>
    <row r="1424" spans="1:13" ht="39.6">
      <c r="A1424" s="21" t="s">
        <v>4194</v>
      </c>
      <c r="B1424" s="21" t="s">
        <v>4197</v>
      </c>
      <c r="C1424" s="21" t="s">
        <v>4195</v>
      </c>
      <c r="D1424" s="21" t="s">
        <v>71</v>
      </c>
      <c r="E1424" s="22" t="s">
        <v>4196</v>
      </c>
      <c r="F1424" s="22" t="s">
        <v>4197</v>
      </c>
      <c r="G1424" s="21" t="s">
        <v>4198</v>
      </c>
      <c r="H1424" s="21" t="s">
        <v>4199</v>
      </c>
      <c r="I1424" s="12" t="s">
        <v>6765</v>
      </c>
      <c r="J1424" s="12" t="s">
        <v>7575</v>
      </c>
      <c r="K1424" s="12" t="s">
        <v>5582</v>
      </c>
      <c r="L1424" s="12" t="s">
        <v>5583</v>
      </c>
      <c r="M1424" s="12" t="s">
        <v>5584</v>
      </c>
    </row>
    <row r="1425" spans="1:13" ht="39.6">
      <c r="A1425" s="21" t="s">
        <v>4194</v>
      </c>
      <c r="B1425" s="21" t="s">
        <v>4197</v>
      </c>
      <c r="C1425" s="21" t="s">
        <v>4195</v>
      </c>
      <c r="D1425" s="21" t="s">
        <v>71</v>
      </c>
      <c r="E1425" s="22" t="s">
        <v>4196</v>
      </c>
      <c r="F1425" s="22" t="s">
        <v>4197</v>
      </c>
      <c r="G1425" s="21" t="s">
        <v>4198</v>
      </c>
      <c r="H1425" s="21" t="s">
        <v>4199</v>
      </c>
      <c r="I1425" s="12" t="s">
        <v>6766</v>
      </c>
      <c r="J1425" s="12" t="s">
        <v>7576</v>
      </c>
      <c r="K1425" s="12"/>
      <c r="L1425" s="12" t="s">
        <v>5585</v>
      </c>
      <c r="M1425" s="12" t="s">
        <v>5586</v>
      </c>
    </row>
    <row r="1426" spans="1:13" ht="39.6">
      <c r="A1426" s="21" t="s">
        <v>4194</v>
      </c>
      <c r="B1426" s="21" t="s">
        <v>4197</v>
      </c>
      <c r="C1426" s="21" t="s">
        <v>4195</v>
      </c>
      <c r="D1426" s="21" t="s">
        <v>71</v>
      </c>
      <c r="E1426" s="22" t="s">
        <v>4196</v>
      </c>
      <c r="F1426" s="22" t="s">
        <v>4197</v>
      </c>
      <c r="G1426" s="21" t="s">
        <v>4198</v>
      </c>
      <c r="H1426" s="21" t="s">
        <v>4199</v>
      </c>
      <c r="I1426" s="12" t="s">
        <v>6767</v>
      </c>
      <c r="J1426" s="12" t="s">
        <v>7577</v>
      </c>
      <c r="K1426" s="12"/>
      <c r="L1426" s="12" t="s">
        <v>5587</v>
      </c>
      <c r="M1426" s="12" t="s">
        <v>5588</v>
      </c>
    </row>
    <row r="1427" spans="1:13" ht="39.6">
      <c r="A1427" s="21" t="s">
        <v>4194</v>
      </c>
      <c r="B1427" s="21" t="s">
        <v>4197</v>
      </c>
      <c r="C1427" s="21" t="s">
        <v>4195</v>
      </c>
      <c r="D1427" s="21" t="s">
        <v>71</v>
      </c>
      <c r="E1427" s="22" t="s">
        <v>4196</v>
      </c>
      <c r="F1427" s="22" t="s">
        <v>4197</v>
      </c>
      <c r="G1427" s="21" t="s">
        <v>4198</v>
      </c>
      <c r="H1427" s="21" t="s">
        <v>4199</v>
      </c>
      <c r="I1427" s="12" t="s">
        <v>6768</v>
      </c>
      <c r="J1427" s="12" t="s">
        <v>7578</v>
      </c>
      <c r="K1427" s="12" t="s">
        <v>5589</v>
      </c>
      <c r="L1427" s="12" t="s">
        <v>5590</v>
      </c>
      <c r="M1427" s="12" t="s">
        <v>5589</v>
      </c>
    </row>
    <row r="1428" spans="1:13" ht="39.6">
      <c r="A1428" s="21" t="s">
        <v>4194</v>
      </c>
      <c r="B1428" s="21" t="s">
        <v>4197</v>
      </c>
      <c r="C1428" s="21" t="s">
        <v>4195</v>
      </c>
      <c r="D1428" s="21" t="s">
        <v>71</v>
      </c>
      <c r="E1428" s="22" t="s">
        <v>4196</v>
      </c>
      <c r="F1428" s="22" t="s">
        <v>4197</v>
      </c>
      <c r="G1428" s="21" t="s">
        <v>4198</v>
      </c>
      <c r="H1428" s="21" t="s">
        <v>4199</v>
      </c>
      <c r="I1428" s="12" t="s">
        <v>6769</v>
      </c>
      <c r="J1428" s="12" t="s">
        <v>7579</v>
      </c>
      <c r="K1428" s="12"/>
      <c r="L1428" s="12" t="s">
        <v>5591</v>
      </c>
      <c r="M1428" s="12" t="s">
        <v>5592</v>
      </c>
    </row>
    <row r="1429" spans="1:13" ht="39.6">
      <c r="A1429" s="21" t="s">
        <v>4194</v>
      </c>
      <c r="B1429" s="21" t="s">
        <v>4197</v>
      </c>
      <c r="C1429" s="21" t="s">
        <v>4195</v>
      </c>
      <c r="D1429" s="21" t="s">
        <v>71</v>
      </c>
      <c r="E1429" s="22" t="s">
        <v>4196</v>
      </c>
      <c r="F1429" s="22" t="s">
        <v>4197</v>
      </c>
      <c r="G1429" s="21" t="s">
        <v>4198</v>
      </c>
      <c r="H1429" s="21" t="s">
        <v>4199</v>
      </c>
      <c r="I1429" s="12" t="s">
        <v>6770</v>
      </c>
      <c r="J1429" s="12" t="s">
        <v>7580</v>
      </c>
      <c r="K1429" s="12" t="s">
        <v>5593</v>
      </c>
      <c r="L1429" s="12" t="s">
        <v>5594</v>
      </c>
      <c r="M1429" s="12" t="s">
        <v>5595</v>
      </c>
    </row>
    <row r="1430" spans="1:13" ht="39.6">
      <c r="A1430" s="21" t="s">
        <v>4194</v>
      </c>
      <c r="B1430" s="21" t="s">
        <v>4197</v>
      </c>
      <c r="C1430" s="21" t="s">
        <v>4195</v>
      </c>
      <c r="D1430" s="21" t="s">
        <v>71</v>
      </c>
      <c r="E1430" s="22" t="s">
        <v>4196</v>
      </c>
      <c r="F1430" s="22" t="s">
        <v>4197</v>
      </c>
      <c r="G1430" s="21" t="s">
        <v>4198</v>
      </c>
      <c r="H1430" s="21" t="s">
        <v>4199</v>
      </c>
      <c r="I1430" s="12" t="s">
        <v>6771</v>
      </c>
      <c r="J1430" s="12" t="s">
        <v>7581</v>
      </c>
      <c r="K1430" s="12" t="s">
        <v>5596</v>
      </c>
      <c r="L1430" s="12" t="s">
        <v>5597</v>
      </c>
      <c r="M1430" s="12" t="s">
        <v>5596</v>
      </c>
    </row>
    <row r="1431" spans="1:13" ht="52.8">
      <c r="A1431" s="21" t="s">
        <v>4194</v>
      </c>
      <c r="B1431" s="21" t="s">
        <v>4197</v>
      </c>
      <c r="C1431" s="21" t="s">
        <v>4195</v>
      </c>
      <c r="D1431" s="21" t="s">
        <v>71</v>
      </c>
      <c r="E1431" s="22" t="s">
        <v>4196</v>
      </c>
      <c r="F1431" s="22" t="s">
        <v>4197</v>
      </c>
      <c r="G1431" s="21" t="s">
        <v>4198</v>
      </c>
      <c r="H1431" s="21" t="s">
        <v>4199</v>
      </c>
      <c r="I1431" s="12" t="s">
        <v>6772</v>
      </c>
      <c r="J1431" s="12" t="s">
        <v>7582</v>
      </c>
      <c r="K1431" s="12" t="s">
        <v>5598</v>
      </c>
      <c r="L1431" s="12" t="s">
        <v>5599</v>
      </c>
      <c r="M1431" s="12" t="s">
        <v>5600</v>
      </c>
    </row>
    <row r="1432" spans="1:13" ht="39.6">
      <c r="A1432" s="21" t="s">
        <v>4194</v>
      </c>
      <c r="B1432" s="21" t="s">
        <v>4197</v>
      </c>
      <c r="C1432" s="21" t="s">
        <v>4195</v>
      </c>
      <c r="D1432" s="21" t="s">
        <v>71</v>
      </c>
      <c r="E1432" s="22" t="s">
        <v>4196</v>
      </c>
      <c r="F1432" s="22" t="s">
        <v>4197</v>
      </c>
      <c r="G1432" s="21" t="s">
        <v>4198</v>
      </c>
      <c r="H1432" s="21" t="s">
        <v>4199</v>
      </c>
      <c r="I1432" s="12" t="s">
        <v>6773</v>
      </c>
      <c r="J1432" s="12" t="s">
        <v>7583</v>
      </c>
      <c r="K1432" s="12" t="s">
        <v>5601</v>
      </c>
      <c r="L1432" s="12" t="s">
        <v>5602</v>
      </c>
      <c r="M1432" s="12" t="s">
        <v>5603</v>
      </c>
    </row>
    <row r="1433" spans="1:13" ht="39.6">
      <c r="A1433" s="21" t="s">
        <v>4194</v>
      </c>
      <c r="B1433" s="21" t="s">
        <v>4197</v>
      </c>
      <c r="C1433" s="21" t="s">
        <v>4195</v>
      </c>
      <c r="D1433" s="21" t="s">
        <v>71</v>
      </c>
      <c r="E1433" s="22" t="s">
        <v>4196</v>
      </c>
      <c r="F1433" s="22" t="s">
        <v>4197</v>
      </c>
      <c r="G1433" s="21" t="s">
        <v>4198</v>
      </c>
      <c r="H1433" s="21" t="s">
        <v>4199</v>
      </c>
      <c r="I1433" s="12" t="s">
        <v>6774</v>
      </c>
      <c r="J1433" s="12" t="s">
        <v>7584</v>
      </c>
      <c r="K1433" s="12" t="s">
        <v>5604</v>
      </c>
      <c r="L1433" s="12" t="s">
        <v>5605</v>
      </c>
      <c r="M1433" s="12" t="s">
        <v>5606</v>
      </c>
    </row>
    <row r="1434" spans="1:13" ht="39.6">
      <c r="A1434" s="21" t="s">
        <v>4194</v>
      </c>
      <c r="B1434" s="21" t="s">
        <v>4197</v>
      </c>
      <c r="C1434" s="21" t="s">
        <v>4195</v>
      </c>
      <c r="D1434" s="21" t="s">
        <v>71</v>
      </c>
      <c r="E1434" s="22" t="s">
        <v>4196</v>
      </c>
      <c r="F1434" s="22" t="s">
        <v>4197</v>
      </c>
      <c r="G1434" s="21" t="s">
        <v>4198</v>
      </c>
      <c r="H1434" s="21" t="s">
        <v>4199</v>
      </c>
      <c r="I1434" s="12" t="s">
        <v>6775</v>
      </c>
      <c r="J1434" s="12" t="s">
        <v>7585</v>
      </c>
      <c r="K1434" s="12" t="s">
        <v>5607</v>
      </c>
      <c r="L1434" s="12" t="s">
        <v>5608</v>
      </c>
      <c r="M1434" s="12" t="s">
        <v>5607</v>
      </c>
    </row>
    <row r="1435" spans="1:13" ht="39.6">
      <c r="A1435" s="21" t="s">
        <v>4194</v>
      </c>
      <c r="B1435" s="21" t="s">
        <v>4197</v>
      </c>
      <c r="C1435" s="21" t="s">
        <v>4195</v>
      </c>
      <c r="D1435" s="21" t="s">
        <v>71</v>
      </c>
      <c r="E1435" s="22" t="s">
        <v>4196</v>
      </c>
      <c r="F1435" s="22" t="s">
        <v>4197</v>
      </c>
      <c r="G1435" s="21" t="s">
        <v>4198</v>
      </c>
      <c r="H1435" s="21" t="s">
        <v>4199</v>
      </c>
      <c r="I1435" s="12" t="s">
        <v>6776</v>
      </c>
      <c r="J1435" s="12" t="s">
        <v>7586</v>
      </c>
      <c r="K1435" s="12" t="s">
        <v>5609</v>
      </c>
      <c r="L1435" s="12" t="s">
        <v>5610</v>
      </c>
      <c r="M1435" s="12" t="s">
        <v>5609</v>
      </c>
    </row>
    <row r="1436" spans="1:13" ht="52.8">
      <c r="A1436" s="21" t="s">
        <v>4194</v>
      </c>
      <c r="B1436" s="21" t="s">
        <v>4197</v>
      </c>
      <c r="C1436" s="21" t="s">
        <v>4195</v>
      </c>
      <c r="D1436" s="21" t="s">
        <v>71</v>
      </c>
      <c r="E1436" s="22" t="s">
        <v>4196</v>
      </c>
      <c r="F1436" s="22" t="s">
        <v>4197</v>
      </c>
      <c r="G1436" s="21" t="s">
        <v>4198</v>
      </c>
      <c r="H1436" s="21" t="s">
        <v>4199</v>
      </c>
      <c r="I1436" s="12" t="s">
        <v>5611</v>
      </c>
      <c r="J1436" s="12" t="s">
        <v>7587</v>
      </c>
      <c r="K1436" s="12" t="s">
        <v>5611</v>
      </c>
      <c r="L1436" s="12" t="s">
        <v>5612</v>
      </c>
      <c r="M1436" s="12" t="s">
        <v>5611</v>
      </c>
    </row>
    <row r="1437" spans="1:13" ht="79.2">
      <c r="A1437" s="21" t="s">
        <v>4194</v>
      </c>
      <c r="B1437" s="21" t="s">
        <v>4197</v>
      </c>
      <c r="C1437" s="21" t="s">
        <v>4195</v>
      </c>
      <c r="D1437" s="21" t="s">
        <v>71</v>
      </c>
      <c r="E1437" s="22" t="s">
        <v>4196</v>
      </c>
      <c r="F1437" s="22" t="s">
        <v>4197</v>
      </c>
      <c r="G1437" s="21" t="s">
        <v>4198</v>
      </c>
      <c r="H1437" s="21" t="s">
        <v>4199</v>
      </c>
      <c r="I1437" s="12" t="s">
        <v>6777</v>
      </c>
      <c r="J1437" s="12" t="s">
        <v>7588</v>
      </c>
      <c r="K1437" s="12" t="s">
        <v>5613</v>
      </c>
      <c r="L1437" s="12" t="s">
        <v>5614</v>
      </c>
      <c r="M1437" s="12" t="s">
        <v>5615</v>
      </c>
    </row>
    <row r="1438" spans="1:13" ht="39.6">
      <c r="A1438" s="21" t="s">
        <v>4194</v>
      </c>
      <c r="B1438" s="21" t="s">
        <v>4197</v>
      </c>
      <c r="C1438" s="21" t="s">
        <v>4195</v>
      </c>
      <c r="D1438" s="21" t="s">
        <v>71</v>
      </c>
      <c r="E1438" s="22" t="s">
        <v>4196</v>
      </c>
      <c r="F1438" s="22" t="s">
        <v>4197</v>
      </c>
      <c r="G1438" s="21" t="s">
        <v>4198</v>
      </c>
      <c r="H1438" s="21" t="s">
        <v>4199</v>
      </c>
      <c r="I1438" s="12" t="s">
        <v>6778</v>
      </c>
      <c r="J1438" s="12" t="s">
        <v>7589</v>
      </c>
      <c r="K1438" s="12" t="s">
        <v>5616</v>
      </c>
      <c r="L1438" s="12" t="s">
        <v>5617</v>
      </c>
      <c r="M1438" s="12" t="s">
        <v>5616</v>
      </c>
    </row>
    <row r="1439" spans="1:13" ht="39.6">
      <c r="A1439" s="21" t="s">
        <v>4194</v>
      </c>
      <c r="B1439" s="21" t="s">
        <v>4197</v>
      </c>
      <c r="C1439" s="21" t="s">
        <v>4195</v>
      </c>
      <c r="D1439" s="21" t="s">
        <v>71</v>
      </c>
      <c r="E1439" s="22" t="s">
        <v>4196</v>
      </c>
      <c r="F1439" s="22" t="s">
        <v>4197</v>
      </c>
      <c r="G1439" s="21" t="s">
        <v>4198</v>
      </c>
      <c r="H1439" s="21" t="s">
        <v>4199</v>
      </c>
      <c r="I1439" s="12" t="s">
        <v>6779</v>
      </c>
      <c r="J1439" s="12" t="s">
        <v>7590</v>
      </c>
      <c r="K1439" s="12"/>
      <c r="L1439" s="12" t="s">
        <v>5618</v>
      </c>
      <c r="M1439" s="12" t="s">
        <v>5619</v>
      </c>
    </row>
    <row r="1440" spans="1:13" ht="79.2">
      <c r="A1440" s="21" t="s">
        <v>4194</v>
      </c>
      <c r="B1440" s="21" t="s">
        <v>4197</v>
      </c>
      <c r="C1440" s="21" t="s">
        <v>4195</v>
      </c>
      <c r="D1440" s="21" t="s">
        <v>71</v>
      </c>
      <c r="E1440" s="22" t="s">
        <v>4196</v>
      </c>
      <c r="F1440" s="22" t="s">
        <v>4197</v>
      </c>
      <c r="G1440" s="21" t="s">
        <v>4198</v>
      </c>
      <c r="H1440" s="21" t="s">
        <v>4199</v>
      </c>
      <c r="I1440" s="12" t="s">
        <v>6780</v>
      </c>
      <c r="J1440" s="12" t="s">
        <v>7591</v>
      </c>
      <c r="K1440" s="12" t="s">
        <v>5620</v>
      </c>
      <c r="L1440" s="12" t="s">
        <v>5621</v>
      </c>
      <c r="M1440" s="12" t="s">
        <v>5620</v>
      </c>
    </row>
    <row r="1441" spans="1:13" ht="39.6">
      <c r="A1441" s="21" t="s">
        <v>4194</v>
      </c>
      <c r="B1441" s="21" t="s">
        <v>4197</v>
      </c>
      <c r="C1441" s="21" t="s">
        <v>4195</v>
      </c>
      <c r="D1441" s="21" t="s">
        <v>71</v>
      </c>
      <c r="E1441" s="22" t="s">
        <v>4196</v>
      </c>
      <c r="F1441" s="22" t="s">
        <v>4197</v>
      </c>
      <c r="G1441" s="21" t="s">
        <v>4198</v>
      </c>
      <c r="H1441" s="21" t="s">
        <v>4199</v>
      </c>
      <c r="I1441" s="12" t="s">
        <v>6781</v>
      </c>
      <c r="J1441" s="12" t="s">
        <v>7592</v>
      </c>
      <c r="K1441" s="12" t="s">
        <v>5622</v>
      </c>
      <c r="L1441" s="12" t="s">
        <v>5623</v>
      </c>
      <c r="M1441" s="12" t="s">
        <v>5624</v>
      </c>
    </row>
    <row r="1442" spans="1:13" ht="39.6">
      <c r="A1442" s="21" t="s">
        <v>4194</v>
      </c>
      <c r="B1442" s="21" t="s">
        <v>4197</v>
      </c>
      <c r="C1442" s="21" t="s">
        <v>4195</v>
      </c>
      <c r="D1442" s="21" t="s">
        <v>71</v>
      </c>
      <c r="E1442" s="22" t="s">
        <v>4196</v>
      </c>
      <c r="F1442" s="22" t="s">
        <v>4197</v>
      </c>
      <c r="G1442" s="21" t="s">
        <v>4198</v>
      </c>
      <c r="H1442" s="21" t="s">
        <v>4199</v>
      </c>
      <c r="I1442" s="12" t="s">
        <v>6782</v>
      </c>
      <c r="J1442" s="12" t="s">
        <v>7593</v>
      </c>
      <c r="K1442" s="12" t="s">
        <v>5625</v>
      </c>
      <c r="L1442" s="12" t="s">
        <v>5626</v>
      </c>
      <c r="M1442" s="12" t="s">
        <v>5627</v>
      </c>
    </row>
    <row r="1443" spans="1:13" ht="39.6">
      <c r="A1443" s="21" t="s">
        <v>4194</v>
      </c>
      <c r="B1443" s="21" t="s">
        <v>4197</v>
      </c>
      <c r="C1443" s="21" t="s">
        <v>4195</v>
      </c>
      <c r="D1443" s="21" t="s">
        <v>71</v>
      </c>
      <c r="E1443" s="22" t="s">
        <v>4196</v>
      </c>
      <c r="F1443" s="22" t="s">
        <v>4197</v>
      </c>
      <c r="G1443" s="21" t="s">
        <v>4198</v>
      </c>
      <c r="H1443" s="21" t="s">
        <v>4199</v>
      </c>
      <c r="I1443" s="12" t="s">
        <v>6783</v>
      </c>
      <c r="J1443" s="12" t="s">
        <v>7594</v>
      </c>
      <c r="K1443" s="12" t="s">
        <v>5628</v>
      </c>
      <c r="L1443" s="12" t="s">
        <v>5629</v>
      </c>
      <c r="M1443" s="12" t="s">
        <v>5630</v>
      </c>
    </row>
    <row r="1444" spans="1:13" ht="39.6">
      <c r="A1444" s="21" t="s">
        <v>4194</v>
      </c>
      <c r="B1444" s="21" t="s">
        <v>4197</v>
      </c>
      <c r="C1444" s="21" t="s">
        <v>4195</v>
      </c>
      <c r="D1444" s="21" t="s">
        <v>71</v>
      </c>
      <c r="E1444" s="22" t="s">
        <v>4196</v>
      </c>
      <c r="F1444" s="22" t="s">
        <v>4197</v>
      </c>
      <c r="G1444" s="21" t="s">
        <v>4198</v>
      </c>
      <c r="H1444" s="21" t="s">
        <v>4199</v>
      </c>
      <c r="I1444" s="12" t="s">
        <v>6784</v>
      </c>
      <c r="J1444" s="12" t="s">
        <v>7595</v>
      </c>
      <c r="K1444" s="12" t="s">
        <v>5631</v>
      </c>
      <c r="L1444" s="12" t="s">
        <v>5632</v>
      </c>
      <c r="M1444" s="12" t="s">
        <v>5633</v>
      </c>
    </row>
    <row r="1445" spans="1:13" ht="39.6">
      <c r="A1445" s="21" t="s">
        <v>4194</v>
      </c>
      <c r="B1445" s="21" t="s">
        <v>4197</v>
      </c>
      <c r="C1445" s="21" t="s">
        <v>4195</v>
      </c>
      <c r="D1445" s="21" t="s">
        <v>71</v>
      </c>
      <c r="E1445" s="22" t="s">
        <v>4196</v>
      </c>
      <c r="F1445" s="22" t="s">
        <v>4197</v>
      </c>
      <c r="G1445" s="21" t="s">
        <v>4198</v>
      </c>
      <c r="H1445" s="21" t="s">
        <v>4199</v>
      </c>
      <c r="I1445" s="12" t="s">
        <v>6785</v>
      </c>
      <c r="J1445" s="12" t="s">
        <v>7596</v>
      </c>
      <c r="K1445" s="12"/>
      <c r="L1445" s="12" t="s">
        <v>5634</v>
      </c>
      <c r="M1445" s="12" t="s">
        <v>5635</v>
      </c>
    </row>
    <row r="1446" spans="1:13" ht="39.6">
      <c r="A1446" s="21" t="s">
        <v>4194</v>
      </c>
      <c r="B1446" s="21" t="s">
        <v>4197</v>
      </c>
      <c r="C1446" s="21" t="s">
        <v>4195</v>
      </c>
      <c r="D1446" s="21" t="s">
        <v>71</v>
      </c>
      <c r="E1446" s="22" t="s">
        <v>4196</v>
      </c>
      <c r="F1446" s="22" t="s">
        <v>4197</v>
      </c>
      <c r="G1446" s="21" t="s">
        <v>4198</v>
      </c>
      <c r="H1446" s="21" t="s">
        <v>4199</v>
      </c>
      <c r="I1446" s="12" t="s">
        <v>6786</v>
      </c>
      <c r="J1446" s="12" t="s">
        <v>7597</v>
      </c>
      <c r="K1446" s="12" t="s">
        <v>5636</v>
      </c>
      <c r="L1446" s="12" t="s">
        <v>5637</v>
      </c>
      <c r="M1446" s="12" t="s">
        <v>5638</v>
      </c>
    </row>
    <row r="1447" spans="1:13" ht="39.6">
      <c r="A1447" s="21" t="s">
        <v>4194</v>
      </c>
      <c r="B1447" s="21" t="s">
        <v>4197</v>
      </c>
      <c r="C1447" s="21" t="s">
        <v>4195</v>
      </c>
      <c r="D1447" s="21" t="s">
        <v>71</v>
      </c>
      <c r="E1447" s="22" t="s">
        <v>4196</v>
      </c>
      <c r="F1447" s="22" t="s">
        <v>4197</v>
      </c>
      <c r="G1447" s="21" t="s">
        <v>4198</v>
      </c>
      <c r="H1447" s="21" t="s">
        <v>4199</v>
      </c>
      <c r="I1447" s="12" t="s">
        <v>6787</v>
      </c>
      <c r="J1447" s="12" t="s">
        <v>7598</v>
      </c>
      <c r="K1447" s="12" t="s">
        <v>5639</v>
      </c>
      <c r="L1447" s="12" t="s">
        <v>5640</v>
      </c>
      <c r="M1447" s="12" t="s">
        <v>5639</v>
      </c>
    </row>
    <row r="1448" spans="1:13" ht="39.6">
      <c r="A1448" s="21" t="s">
        <v>4194</v>
      </c>
      <c r="B1448" s="21" t="s">
        <v>4197</v>
      </c>
      <c r="C1448" s="21" t="s">
        <v>4195</v>
      </c>
      <c r="D1448" s="21" t="s">
        <v>71</v>
      </c>
      <c r="E1448" s="22" t="s">
        <v>4196</v>
      </c>
      <c r="F1448" s="22" t="s">
        <v>4197</v>
      </c>
      <c r="G1448" s="21" t="s">
        <v>4198</v>
      </c>
      <c r="H1448" s="21" t="s">
        <v>4199</v>
      </c>
      <c r="I1448" s="12" t="s">
        <v>6788</v>
      </c>
      <c r="J1448" s="12" t="s">
        <v>7599</v>
      </c>
      <c r="K1448" s="12" t="s">
        <v>5641</v>
      </c>
      <c r="L1448" s="12" t="s">
        <v>5642</v>
      </c>
      <c r="M1448" s="12" t="s">
        <v>5643</v>
      </c>
    </row>
    <row r="1449" spans="1:13" ht="52.8">
      <c r="A1449" s="21" t="s">
        <v>4194</v>
      </c>
      <c r="B1449" s="21" t="s">
        <v>4197</v>
      </c>
      <c r="C1449" s="21" t="s">
        <v>4195</v>
      </c>
      <c r="D1449" s="21" t="s">
        <v>71</v>
      </c>
      <c r="E1449" s="22" t="s">
        <v>4196</v>
      </c>
      <c r="F1449" s="22" t="s">
        <v>4197</v>
      </c>
      <c r="G1449" s="21" t="s">
        <v>4198</v>
      </c>
      <c r="H1449" s="21" t="s">
        <v>4199</v>
      </c>
      <c r="I1449" s="12" t="s">
        <v>6789</v>
      </c>
      <c r="J1449" s="12" t="s">
        <v>7600</v>
      </c>
      <c r="K1449" s="12" t="s">
        <v>5644</v>
      </c>
      <c r="L1449" s="12" t="s">
        <v>5645</v>
      </c>
      <c r="M1449" s="12" t="s">
        <v>5644</v>
      </c>
    </row>
    <row r="1450" spans="1:13" ht="39.6">
      <c r="A1450" s="21" t="s">
        <v>4194</v>
      </c>
      <c r="B1450" s="21" t="s">
        <v>4197</v>
      </c>
      <c r="C1450" s="21" t="s">
        <v>4195</v>
      </c>
      <c r="D1450" s="21" t="s">
        <v>71</v>
      </c>
      <c r="E1450" s="22" t="s">
        <v>4196</v>
      </c>
      <c r="F1450" s="22" t="s">
        <v>4197</v>
      </c>
      <c r="G1450" s="21" t="s">
        <v>4198</v>
      </c>
      <c r="H1450" s="21" t="s">
        <v>4199</v>
      </c>
      <c r="I1450" s="12" t="s">
        <v>6790</v>
      </c>
      <c r="J1450" s="12" t="s">
        <v>7601</v>
      </c>
      <c r="K1450" s="12" t="s">
        <v>5646</v>
      </c>
      <c r="L1450" s="12" t="s">
        <v>5647</v>
      </c>
      <c r="M1450" s="12" t="s">
        <v>5646</v>
      </c>
    </row>
    <row r="1451" spans="1:13" ht="39.6">
      <c r="A1451" s="21" t="s">
        <v>4194</v>
      </c>
      <c r="B1451" s="21" t="s">
        <v>4197</v>
      </c>
      <c r="C1451" s="21" t="s">
        <v>4195</v>
      </c>
      <c r="D1451" s="21" t="s">
        <v>71</v>
      </c>
      <c r="E1451" s="22" t="s">
        <v>4196</v>
      </c>
      <c r="F1451" s="22" t="s">
        <v>4197</v>
      </c>
      <c r="G1451" s="21" t="s">
        <v>4198</v>
      </c>
      <c r="H1451" s="21" t="s">
        <v>4199</v>
      </c>
      <c r="I1451" s="12" t="s">
        <v>6791</v>
      </c>
      <c r="J1451" s="12" t="s">
        <v>7602</v>
      </c>
      <c r="K1451" s="12" t="s">
        <v>5648</v>
      </c>
      <c r="L1451" s="12" t="s">
        <v>5649</v>
      </c>
      <c r="M1451" s="12" t="s">
        <v>5648</v>
      </c>
    </row>
    <row r="1452" spans="1:13" ht="39.6">
      <c r="A1452" s="21" t="s">
        <v>4194</v>
      </c>
      <c r="B1452" s="21" t="s">
        <v>4197</v>
      </c>
      <c r="C1452" s="21" t="s">
        <v>4195</v>
      </c>
      <c r="D1452" s="21" t="s">
        <v>71</v>
      </c>
      <c r="E1452" s="22" t="s">
        <v>4196</v>
      </c>
      <c r="F1452" s="22" t="s">
        <v>4197</v>
      </c>
      <c r="G1452" s="21" t="s">
        <v>4198</v>
      </c>
      <c r="H1452" s="21" t="s">
        <v>4199</v>
      </c>
      <c r="I1452" s="12" t="s">
        <v>6792</v>
      </c>
      <c r="J1452" s="12" t="s">
        <v>7603</v>
      </c>
      <c r="K1452" s="12" t="s">
        <v>5650</v>
      </c>
      <c r="L1452" s="12" t="s">
        <v>5651</v>
      </c>
      <c r="M1452" s="12" t="s">
        <v>5652</v>
      </c>
    </row>
    <row r="1453" spans="1:13" ht="52.8">
      <c r="A1453" s="21" t="s">
        <v>4194</v>
      </c>
      <c r="B1453" s="21" t="s">
        <v>4197</v>
      </c>
      <c r="C1453" s="21" t="s">
        <v>4195</v>
      </c>
      <c r="D1453" s="21" t="s">
        <v>71</v>
      </c>
      <c r="E1453" s="22" t="s">
        <v>4196</v>
      </c>
      <c r="F1453" s="22" t="s">
        <v>4197</v>
      </c>
      <c r="G1453" s="21" t="s">
        <v>4198</v>
      </c>
      <c r="H1453" s="21" t="s">
        <v>4199</v>
      </c>
      <c r="I1453" s="12" t="s">
        <v>6793</v>
      </c>
      <c r="J1453" s="12" t="s">
        <v>7604</v>
      </c>
      <c r="K1453" s="12" t="s">
        <v>5653</v>
      </c>
      <c r="L1453" s="12" t="s">
        <v>5654</v>
      </c>
      <c r="M1453" s="12" t="s">
        <v>5655</v>
      </c>
    </row>
    <row r="1454" spans="1:13" ht="52.8">
      <c r="A1454" s="21" t="s">
        <v>4194</v>
      </c>
      <c r="B1454" s="21" t="s">
        <v>4197</v>
      </c>
      <c r="C1454" s="21" t="s">
        <v>4195</v>
      </c>
      <c r="D1454" s="21" t="s">
        <v>71</v>
      </c>
      <c r="E1454" s="22" t="s">
        <v>4196</v>
      </c>
      <c r="F1454" s="22" t="s">
        <v>4197</v>
      </c>
      <c r="G1454" s="21" t="s">
        <v>4198</v>
      </c>
      <c r="H1454" s="21" t="s">
        <v>4199</v>
      </c>
      <c r="I1454" s="12" t="s">
        <v>6794</v>
      </c>
      <c r="J1454" s="12" t="s">
        <v>7605</v>
      </c>
      <c r="K1454" s="12" t="s">
        <v>5656</v>
      </c>
      <c r="L1454" s="12" t="s">
        <v>5657</v>
      </c>
      <c r="M1454" s="12" t="s">
        <v>5658</v>
      </c>
    </row>
    <row r="1455" spans="1:13" ht="52.8">
      <c r="A1455" s="21" t="s">
        <v>4194</v>
      </c>
      <c r="B1455" s="21" t="s">
        <v>4197</v>
      </c>
      <c r="C1455" s="21" t="s">
        <v>4195</v>
      </c>
      <c r="D1455" s="21" t="s">
        <v>71</v>
      </c>
      <c r="E1455" s="22" t="s">
        <v>4196</v>
      </c>
      <c r="F1455" s="22" t="s">
        <v>4197</v>
      </c>
      <c r="G1455" s="21" t="s">
        <v>4198</v>
      </c>
      <c r="H1455" s="21" t="s">
        <v>4199</v>
      </c>
      <c r="I1455" s="12" t="s">
        <v>6795</v>
      </c>
      <c r="J1455" s="12" t="s">
        <v>7606</v>
      </c>
      <c r="K1455" s="12" t="s">
        <v>5659</v>
      </c>
      <c r="L1455" s="12" t="s">
        <v>5660</v>
      </c>
      <c r="M1455" s="12" t="s">
        <v>5661</v>
      </c>
    </row>
    <row r="1456" spans="1:13" ht="39.6">
      <c r="A1456" s="21" t="s">
        <v>4194</v>
      </c>
      <c r="B1456" s="21" t="s">
        <v>4197</v>
      </c>
      <c r="C1456" s="21" t="s">
        <v>4195</v>
      </c>
      <c r="D1456" s="21" t="s">
        <v>71</v>
      </c>
      <c r="E1456" s="22" t="s">
        <v>4196</v>
      </c>
      <c r="F1456" s="22" t="s">
        <v>4197</v>
      </c>
      <c r="G1456" s="21" t="s">
        <v>4198</v>
      </c>
      <c r="H1456" s="21" t="s">
        <v>4199</v>
      </c>
      <c r="I1456" s="12" t="s">
        <v>6796</v>
      </c>
      <c r="J1456" s="12" t="s">
        <v>7607</v>
      </c>
      <c r="K1456" s="12" t="s">
        <v>5662</v>
      </c>
      <c r="L1456" s="12" t="s">
        <v>5663</v>
      </c>
      <c r="M1456" s="12" t="s">
        <v>5662</v>
      </c>
    </row>
    <row r="1457" spans="1:13" ht="39.6">
      <c r="A1457" s="21" t="s">
        <v>4194</v>
      </c>
      <c r="B1457" s="21" t="s">
        <v>4197</v>
      </c>
      <c r="C1457" s="21" t="s">
        <v>4195</v>
      </c>
      <c r="D1457" s="21" t="s">
        <v>71</v>
      </c>
      <c r="E1457" s="22" t="s">
        <v>4196</v>
      </c>
      <c r="F1457" s="22" t="s">
        <v>4197</v>
      </c>
      <c r="G1457" s="21" t="s">
        <v>4198</v>
      </c>
      <c r="H1457" s="21" t="s">
        <v>4199</v>
      </c>
      <c r="I1457" s="12" t="s">
        <v>6797</v>
      </c>
      <c r="J1457" s="12" t="s">
        <v>7608</v>
      </c>
      <c r="K1457" s="12"/>
      <c r="L1457" s="12" t="s">
        <v>5664</v>
      </c>
      <c r="M1457" s="12" t="s">
        <v>5665</v>
      </c>
    </row>
    <row r="1458" spans="1:13" ht="39.6">
      <c r="A1458" s="21" t="s">
        <v>4194</v>
      </c>
      <c r="B1458" s="21" t="s">
        <v>4197</v>
      </c>
      <c r="C1458" s="21" t="s">
        <v>4195</v>
      </c>
      <c r="D1458" s="21" t="s">
        <v>71</v>
      </c>
      <c r="E1458" s="22" t="s">
        <v>4196</v>
      </c>
      <c r="F1458" s="22" t="s">
        <v>4197</v>
      </c>
      <c r="G1458" s="21" t="s">
        <v>4198</v>
      </c>
      <c r="H1458" s="21" t="s">
        <v>4199</v>
      </c>
      <c r="I1458" s="12" t="s">
        <v>6798</v>
      </c>
      <c r="J1458" s="12" t="s">
        <v>7609</v>
      </c>
      <c r="K1458" s="12" t="s">
        <v>5666</v>
      </c>
      <c r="L1458" s="12" t="s">
        <v>5667</v>
      </c>
      <c r="M1458" s="12" t="s">
        <v>5668</v>
      </c>
    </row>
    <row r="1459" spans="1:13" ht="39.6">
      <c r="A1459" s="21" t="s">
        <v>4194</v>
      </c>
      <c r="B1459" s="21" t="s">
        <v>4197</v>
      </c>
      <c r="C1459" s="21" t="s">
        <v>4195</v>
      </c>
      <c r="D1459" s="21" t="s">
        <v>71</v>
      </c>
      <c r="E1459" s="22" t="s">
        <v>4196</v>
      </c>
      <c r="F1459" s="22" t="s">
        <v>4197</v>
      </c>
      <c r="G1459" s="21" t="s">
        <v>4198</v>
      </c>
      <c r="H1459" s="21" t="s">
        <v>4199</v>
      </c>
      <c r="I1459" s="12" t="s">
        <v>6799</v>
      </c>
      <c r="J1459" s="12" t="s">
        <v>7610</v>
      </c>
      <c r="K1459" s="12" t="s">
        <v>5669</v>
      </c>
      <c r="L1459" s="12" t="s">
        <v>5670</v>
      </c>
      <c r="M1459" s="12" t="s">
        <v>5671</v>
      </c>
    </row>
    <row r="1460" spans="1:13" ht="39.6">
      <c r="A1460" s="21" t="s">
        <v>4194</v>
      </c>
      <c r="B1460" s="21" t="s">
        <v>4197</v>
      </c>
      <c r="C1460" s="21" t="s">
        <v>4195</v>
      </c>
      <c r="D1460" s="21" t="s">
        <v>71</v>
      </c>
      <c r="E1460" s="22" t="s">
        <v>4196</v>
      </c>
      <c r="F1460" s="22" t="s">
        <v>4197</v>
      </c>
      <c r="G1460" s="21" t="s">
        <v>4198</v>
      </c>
      <c r="H1460" s="21" t="s">
        <v>4199</v>
      </c>
      <c r="I1460" s="12" t="s">
        <v>6800</v>
      </c>
      <c r="J1460" s="12" t="s">
        <v>7611</v>
      </c>
      <c r="K1460" s="12" t="s">
        <v>5672</v>
      </c>
      <c r="L1460" s="12" t="s">
        <v>5673</v>
      </c>
      <c r="M1460" s="12" t="s">
        <v>5674</v>
      </c>
    </row>
    <row r="1461" spans="1:13" ht="39.6">
      <c r="A1461" s="21" t="s">
        <v>4194</v>
      </c>
      <c r="B1461" s="21" t="s">
        <v>4197</v>
      </c>
      <c r="C1461" s="21" t="s">
        <v>4195</v>
      </c>
      <c r="D1461" s="21" t="s">
        <v>71</v>
      </c>
      <c r="E1461" s="22" t="s">
        <v>4196</v>
      </c>
      <c r="F1461" s="22" t="s">
        <v>4197</v>
      </c>
      <c r="G1461" s="21" t="s">
        <v>4198</v>
      </c>
      <c r="H1461" s="21" t="s">
        <v>4199</v>
      </c>
      <c r="I1461" s="12" t="s">
        <v>6801</v>
      </c>
      <c r="J1461" s="12" t="s">
        <v>7612</v>
      </c>
      <c r="K1461" s="12" t="s">
        <v>5675</v>
      </c>
      <c r="L1461" s="12" t="s">
        <v>5676</v>
      </c>
      <c r="M1461" s="12" t="s">
        <v>5677</v>
      </c>
    </row>
    <row r="1462" spans="1:13" ht="39.6">
      <c r="A1462" s="21" t="s">
        <v>4194</v>
      </c>
      <c r="B1462" s="21" t="s">
        <v>4197</v>
      </c>
      <c r="C1462" s="21" t="s">
        <v>4195</v>
      </c>
      <c r="D1462" s="21" t="s">
        <v>71</v>
      </c>
      <c r="E1462" s="22" t="s">
        <v>4196</v>
      </c>
      <c r="F1462" s="22" t="s">
        <v>4197</v>
      </c>
      <c r="G1462" s="21" t="s">
        <v>4198</v>
      </c>
      <c r="H1462" s="21" t="s">
        <v>4199</v>
      </c>
      <c r="I1462" s="12" t="s">
        <v>6802</v>
      </c>
      <c r="J1462" s="12" t="s">
        <v>7613</v>
      </c>
      <c r="K1462" s="12" t="s">
        <v>5678</v>
      </c>
      <c r="L1462" s="12" t="s">
        <v>5679</v>
      </c>
      <c r="M1462" s="12" t="s">
        <v>5680</v>
      </c>
    </row>
    <row r="1463" spans="1:13" ht="39.6">
      <c r="A1463" s="21" t="s">
        <v>4194</v>
      </c>
      <c r="B1463" s="21" t="s">
        <v>4197</v>
      </c>
      <c r="C1463" s="21" t="s">
        <v>4195</v>
      </c>
      <c r="D1463" s="21" t="s">
        <v>71</v>
      </c>
      <c r="E1463" s="22" t="s">
        <v>4196</v>
      </c>
      <c r="F1463" s="22" t="s">
        <v>4197</v>
      </c>
      <c r="G1463" s="21" t="s">
        <v>4198</v>
      </c>
      <c r="H1463" s="21" t="s">
        <v>4199</v>
      </c>
      <c r="I1463" s="12" t="s">
        <v>6803</v>
      </c>
      <c r="J1463" s="12" t="s">
        <v>7614</v>
      </c>
      <c r="K1463" s="12" t="s">
        <v>5681</v>
      </c>
      <c r="L1463" s="12" t="s">
        <v>5682</v>
      </c>
      <c r="M1463" s="12" t="s">
        <v>5683</v>
      </c>
    </row>
    <row r="1464" spans="1:13" ht="39.6">
      <c r="A1464" s="21" t="s">
        <v>4194</v>
      </c>
      <c r="B1464" s="21" t="s">
        <v>4197</v>
      </c>
      <c r="C1464" s="21" t="s">
        <v>4195</v>
      </c>
      <c r="D1464" s="21" t="s">
        <v>71</v>
      </c>
      <c r="E1464" s="22" t="s">
        <v>4196</v>
      </c>
      <c r="F1464" s="22" t="s">
        <v>4197</v>
      </c>
      <c r="G1464" s="21" t="s">
        <v>4198</v>
      </c>
      <c r="H1464" s="21" t="s">
        <v>4199</v>
      </c>
      <c r="I1464" s="12" t="s">
        <v>6804</v>
      </c>
      <c r="J1464" s="12" t="s">
        <v>7615</v>
      </c>
      <c r="K1464" s="12" t="s">
        <v>5684</v>
      </c>
      <c r="L1464" s="12" t="s">
        <v>5685</v>
      </c>
      <c r="M1464" s="12" t="s">
        <v>5686</v>
      </c>
    </row>
    <row r="1465" spans="1:13" ht="39.6">
      <c r="A1465" s="21" t="s">
        <v>4194</v>
      </c>
      <c r="B1465" s="21" t="s">
        <v>4197</v>
      </c>
      <c r="C1465" s="21" t="s">
        <v>4195</v>
      </c>
      <c r="D1465" s="21" t="s">
        <v>71</v>
      </c>
      <c r="E1465" s="22" t="s">
        <v>4196</v>
      </c>
      <c r="F1465" s="22" t="s">
        <v>4197</v>
      </c>
      <c r="G1465" s="21" t="s">
        <v>4198</v>
      </c>
      <c r="H1465" s="21" t="s">
        <v>4199</v>
      </c>
      <c r="I1465" s="12" t="s">
        <v>6805</v>
      </c>
      <c r="J1465" s="12" t="s">
        <v>7616</v>
      </c>
      <c r="K1465" s="12" t="s">
        <v>5687</v>
      </c>
      <c r="L1465" s="12" t="s">
        <v>5688</v>
      </c>
      <c r="M1465" s="12" t="s">
        <v>5689</v>
      </c>
    </row>
    <row r="1466" spans="1:13" ht="39.6">
      <c r="A1466" s="21" t="s">
        <v>4194</v>
      </c>
      <c r="B1466" s="21" t="s">
        <v>4197</v>
      </c>
      <c r="C1466" s="21" t="s">
        <v>4195</v>
      </c>
      <c r="D1466" s="21" t="s">
        <v>71</v>
      </c>
      <c r="E1466" s="22" t="s">
        <v>4196</v>
      </c>
      <c r="F1466" s="22" t="s">
        <v>4197</v>
      </c>
      <c r="G1466" s="21" t="s">
        <v>4198</v>
      </c>
      <c r="H1466" s="21" t="s">
        <v>4199</v>
      </c>
      <c r="I1466" s="12" t="s">
        <v>6806</v>
      </c>
      <c r="J1466" s="12" t="s">
        <v>7617</v>
      </c>
      <c r="K1466" s="12" t="s">
        <v>5690</v>
      </c>
      <c r="L1466" s="12" t="s">
        <v>5691</v>
      </c>
      <c r="M1466" s="12" t="s">
        <v>5692</v>
      </c>
    </row>
    <row r="1467" spans="1:13" ht="39.6">
      <c r="A1467" s="21" t="s">
        <v>4194</v>
      </c>
      <c r="B1467" s="21" t="s">
        <v>4197</v>
      </c>
      <c r="C1467" s="21" t="s">
        <v>4195</v>
      </c>
      <c r="D1467" s="21" t="s">
        <v>71</v>
      </c>
      <c r="E1467" s="22" t="s">
        <v>4196</v>
      </c>
      <c r="F1467" s="22" t="s">
        <v>4197</v>
      </c>
      <c r="G1467" s="21" t="s">
        <v>4198</v>
      </c>
      <c r="H1467" s="21" t="s">
        <v>4199</v>
      </c>
      <c r="I1467" s="12" t="s">
        <v>6807</v>
      </c>
      <c r="J1467" s="12" t="s">
        <v>7618</v>
      </c>
      <c r="K1467" s="12" t="s">
        <v>5693</v>
      </c>
      <c r="L1467" s="12" t="s">
        <v>5694</v>
      </c>
      <c r="M1467" s="12" t="s">
        <v>5695</v>
      </c>
    </row>
    <row r="1468" spans="1:13" ht="39.6">
      <c r="A1468" s="21" t="s">
        <v>4194</v>
      </c>
      <c r="B1468" s="21" t="s">
        <v>4197</v>
      </c>
      <c r="C1468" s="21" t="s">
        <v>4195</v>
      </c>
      <c r="D1468" s="21" t="s">
        <v>71</v>
      </c>
      <c r="E1468" s="22" t="s">
        <v>4196</v>
      </c>
      <c r="F1468" s="22" t="s">
        <v>4197</v>
      </c>
      <c r="G1468" s="21" t="s">
        <v>4198</v>
      </c>
      <c r="H1468" s="21" t="s">
        <v>4199</v>
      </c>
      <c r="I1468" s="12" t="s">
        <v>6808</v>
      </c>
      <c r="J1468" s="12" t="s">
        <v>7619</v>
      </c>
      <c r="K1468" s="12" t="s">
        <v>5696</v>
      </c>
      <c r="L1468" s="12" t="s">
        <v>5697</v>
      </c>
      <c r="M1468" s="12" t="s">
        <v>5698</v>
      </c>
    </row>
    <row r="1469" spans="1:13" ht="79.2">
      <c r="A1469" s="21" t="s">
        <v>4194</v>
      </c>
      <c r="B1469" s="21" t="s">
        <v>4197</v>
      </c>
      <c r="C1469" s="21" t="s">
        <v>4195</v>
      </c>
      <c r="D1469" s="21" t="s">
        <v>71</v>
      </c>
      <c r="E1469" s="22" t="s">
        <v>4196</v>
      </c>
      <c r="F1469" s="22" t="s">
        <v>4197</v>
      </c>
      <c r="G1469" s="21" t="s">
        <v>4198</v>
      </c>
      <c r="H1469" s="21" t="s">
        <v>4199</v>
      </c>
      <c r="I1469" s="12" t="s">
        <v>6809</v>
      </c>
      <c r="J1469" s="12" t="s">
        <v>7620</v>
      </c>
      <c r="K1469" s="12" t="s">
        <v>5699</v>
      </c>
      <c r="L1469" s="12" t="s">
        <v>5700</v>
      </c>
      <c r="M1469" s="12" t="s">
        <v>5699</v>
      </c>
    </row>
    <row r="1470" spans="1:13" ht="39.6">
      <c r="A1470" s="21" t="s">
        <v>4194</v>
      </c>
      <c r="B1470" s="21" t="s">
        <v>4197</v>
      </c>
      <c r="C1470" s="21" t="s">
        <v>4195</v>
      </c>
      <c r="D1470" s="21" t="s">
        <v>71</v>
      </c>
      <c r="E1470" s="22" t="s">
        <v>4196</v>
      </c>
      <c r="F1470" s="22" t="s">
        <v>4197</v>
      </c>
      <c r="G1470" s="21" t="s">
        <v>4198</v>
      </c>
      <c r="H1470" s="21" t="s">
        <v>4199</v>
      </c>
      <c r="I1470" s="12" t="s">
        <v>6810</v>
      </c>
      <c r="J1470" s="12" t="s">
        <v>7621</v>
      </c>
      <c r="K1470" s="12" t="s">
        <v>5701</v>
      </c>
      <c r="L1470" s="12" t="s">
        <v>5702</v>
      </c>
      <c r="M1470" s="12" t="s">
        <v>5701</v>
      </c>
    </row>
    <row r="1471" spans="1:13" ht="39.6">
      <c r="A1471" s="21" t="s">
        <v>4194</v>
      </c>
      <c r="B1471" s="21" t="s">
        <v>4197</v>
      </c>
      <c r="C1471" s="21" t="s">
        <v>4195</v>
      </c>
      <c r="D1471" s="21" t="s">
        <v>71</v>
      </c>
      <c r="E1471" s="22" t="s">
        <v>4196</v>
      </c>
      <c r="F1471" s="22" t="s">
        <v>4197</v>
      </c>
      <c r="G1471" s="21" t="s">
        <v>4198</v>
      </c>
      <c r="H1471" s="21" t="s">
        <v>4199</v>
      </c>
      <c r="I1471" s="12" t="s">
        <v>6811</v>
      </c>
      <c r="J1471" s="12" t="s">
        <v>7622</v>
      </c>
      <c r="K1471" s="12" t="s">
        <v>5703</v>
      </c>
      <c r="L1471" s="12" t="s">
        <v>5704</v>
      </c>
      <c r="M1471" s="12" t="s">
        <v>5703</v>
      </c>
    </row>
    <row r="1472" spans="1:13" ht="39.6">
      <c r="A1472" s="21" t="s">
        <v>4194</v>
      </c>
      <c r="B1472" s="21" t="s">
        <v>4197</v>
      </c>
      <c r="C1472" s="21" t="s">
        <v>4195</v>
      </c>
      <c r="D1472" s="21" t="s">
        <v>71</v>
      </c>
      <c r="E1472" s="22" t="s">
        <v>4196</v>
      </c>
      <c r="F1472" s="22" t="s">
        <v>4197</v>
      </c>
      <c r="G1472" s="21" t="s">
        <v>4198</v>
      </c>
      <c r="H1472" s="21" t="s">
        <v>4199</v>
      </c>
      <c r="I1472" s="12" t="s">
        <v>6812</v>
      </c>
      <c r="J1472" s="12" t="s">
        <v>7623</v>
      </c>
      <c r="K1472" s="12" t="s">
        <v>5705</v>
      </c>
      <c r="L1472" s="12" t="s">
        <v>5706</v>
      </c>
      <c r="M1472" s="12" t="s">
        <v>5707</v>
      </c>
    </row>
    <row r="1473" spans="1:13" ht="39.6">
      <c r="A1473" s="21" t="s">
        <v>4194</v>
      </c>
      <c r="B1473" s="21" t="s">
        <v>4197</v>
      </c>
      <c r="C1473" s="21" t="s">
        <v>4195</v>
      </c>
      <c r="D1473" s="21" t="s">
        <v>71</v>
      </c>
      <c r="E1473" s="22" t="s">
        <v>4196</v>
      </c>
      <c r="F1473" s="22" t="s">
        <v>4197</v>
      </c>
      <c r="G1473" s="21" t="s">
        <v>4198</v>
      </c>
      <c r="H1473" s="21" t="s">
        <v>4199</v>
      </c>
      <c r="I1473" s="12" t="s">
        <v>6813</v>
      </c>
      <c r="J1473" s="12" t="s">
        <v>7624</v>
      </c>
      <c r="K1473" s="12" t="s">
        <v>5708</v>
      </c>
      <c r="L1473" s="12" t="s">
        <v>5709</v>
      </c>
      <c r="M1473" s="12" t="s">
        <v>5708</v>
      </c>
    </row>
    <row r="1474" spans="1:13" ht="39.6">
      <c r="A1474" s="21" t="s">
        <v>4194</v>
      </c>
      <c r="B1474" s="21" t="s">
        <v>4197</v>
      </c>
      <c r="C1474" s="21" t="s">
        <v>4195</v>
      </c>
      <c r="D1474" s="21" t="s">
        <v>71</v>
      </c>
      <c r="E1474" s="22" t="s">
        <v>4196</v>
      </c>
      <c r="F1474" s="22" t="s">
        <v>4197</v>
      </c>
      <c r="G1474" s="21" t="s">
        <v>4198</v>
      </c>
      <c r="H1474" s="21" t="s">
        <v>4199</v>
      </c>
      <c r="I1474" s="12" t="s">
        <v>6814</v>
      </c>
      <c r="J1474" s="12" t="s">
        <v>7625</v>
      </c>
      <c r="K1474" s="12" t="s">
        <v>5710</v>
      </c>
      <c r="L1474" s="12" t="s">
        <v>5711</v>
      </c>
      <c r="M1474" s="12" t="s">
        <v>5710</v>
      </c>
    </row>
    <row r="1475" spans="1:13" ht="39.6">
      <c r="A1475" s="21" t="s">
        <v>4194</v>
      </c>
      <c r="B1475" s="21" t="s">
        <v>4197</v>
      </c>
      <c r="C1475" s="21" t="s">
        <v>4195</v>
      </c>
      <c r="D1475" s="21" t="s">
        <v>71</v>
      </c>
      <c r="E1475" s="22" t="s">
        <v>4196</v>
      </c>
      <c r="F1475" s="22" t="s">
        <v>4197</v>
      </c>
      <c r="G1475" s="21" t="s">
        <v>4198</v>
      </c>
      <c r="H1475" s="21" t="s">
        <v>4199</v>
      </c>
      <c r="I1475" s="12" t="s">
        <v>6815</v>
      </c>
      <c r="J1475" s="12" t="s">
        <v>7626</v>
      </c>
      <c r="K1475" s="12" t="s">
        <v>5712</v>
      </c>
      <c r="L1475" s="12" t="s">
        <v>5713</v>
      </c>
      <c r="M1475" s="12" t="s">
        <v>5712</v>
      </c>
    </row>
    <row r="1476" spans="1:13" ht="39.6">
      <c r="A1476" s="21" t="s">
        <v>4194</v>
      </c>
      <c r="B1476" s="21" t="s">
        <v>4197</v>
      </c>
      <c r="C1476" s="21" t="s">
        <v>4195</v>
      </c>
      <c r="D1476" s="21" t="s">
        <v>71</v>
      </c>
      <c r="E1476" s="22" t="s">
        <v>4196</v>
      </c>
      <c r="F1476" s="22" t="s">
        <v>4197</v>
      </c>
      <c r="G1476" s="21" t="s">
        <v>4198</v>
      </c>
      <c r="H1476" s="21" t="s">
        <v>4199</v>
      </c>
      <c r="I1476" s="12" t="s">
        <v>3395</v>
      </c>
      <c r="J1476" s="12" t="s">
        <v>3295</v>
      </c>
      <c r="K1476" s="12" t="s">
        <v>3101</v>
      </c>
      <c r="L1476" s="12" t="s">
        <v>3102</v>
      </c>
      <c r="M1476" s="12" t="s">
        <v>3103</v>
      </c>
    </row>
    <row r="1477" spans="1:13" ht="52.8">
      <c r="A1477" s="21" t="s">
        <v>4194</v>
      </c>
      <c r="B1477" s="21" t="s">
        <v>4197</v>
      </c>
      <c r="C1477" s="21" t="s">
        <v>4195</v>
      </c>
      <c r="D1477" s="21" t="s">
        <v>71</v>
      </c>
      <c r="E1477" s="22" t="s">
        <v>4196</v>
      </c>
      <c r="F1477" s="22" t="s">
        <v>4197</v>
      </c>
      <c r="G1477" s="21" t="s">
        <v>4198</v>
      </c>
      <c r="H1477" s="21" t="s">
        <v>4199</v>
      </c>
      <c r="I1477" s="12" t="s">
        <v>5715</v>
      </c>
      <c r="J1477" s="12" t="s">
        <v>7627</v>
      </c>
      <c r="K1477" s="12"/>
      <c r="L1477" s="12" t="s">
        <v>5714</v>
      </c>
      <c r="M1477" s="12" t="s">
        <v>5715</v>
      </c>
    </row>
    <row r="1478" spans="1:13" ht="39.6">
      <c r="A1478" s="21" t="s">
        <v>4194</v>
      </c>
      <c r="B1478" s="21" t="s">
        <v>4197</v>
      </c>
      <c r="C1478" s="21" t="s">
        <v>4195</v>
      </c>
      <c r="D1478" s="21" t="s">
        <v>71</v>
      </c>
      <c r="E1478" s="22" t="s">
        <v>4196</v>
      </c>
      <c r="F1478" s="22" t="s">
        <v>4197</v>
      </c>
      <c r="G1478" s="21" t="s">
        <v>4198</v>
      </c>
      <c r="H1478" s="21" t="s">
        <v>4199</v>
      </c>
      <c r="I1478" s="12" t="s">
        <v>6816</v>
      </c>
      <c r="J1478" s="12" t="s">
        <v>7628</v>
      </c>
      <c r="K1478" s="12"/>
      <c r="L1478" s="12" t="s">
        <v>5716</v>
      </c>
      <c r="M1478" s="12" t="s">
        <v>5717</v>
      </c>
    </row>
    <row r="1479" spans="1:13" ht="39.6">
      <c r="A1479" s="21" t="s">
        <v>4194</v>
      </c>
      <c r="B1479" s="21" t="s">
        <v>4197</v>
      </c>
      <c r="C1479" s="21" t="s">
        <v>4195</v>
      </c>
      <c r="D1479" s="21" t="s">
        <v>71</v>
      </c>
      <c r="E1479" s="22" t="s">
        <v>4196</v>
      </c>
      <c r="F1479" s="22" t="s">
        <v>4197</v>
      </c>
      <c r="G1479" s="21" t="s">
        <v>4198</v>
      </c>
      <c r="H1479" s="21" t="s">
        <v>4199</v>
      </c>
      <c r="I1479" s="12" t="s">
        <v>6817</v>
      </c>
      <c r="J1479" s="12" t="s">
        <v>7629</v>
      </c>
      <c r="K1479" s="12" t="s">
        <v>5718</v>
      </c>
      <c r="L1479" s="12" t="s">
        <v>5719</v>
      </c>
      <c r="M1479" s="12" t="s">
        <v>5720</v>
      </c>
    </row>
    <row r="1480" spans="1:13" ht="39.6">
      <c r="A1480" s="21" t="s">
        <v>4194</v>
      </c>
      <c r="B1480" s="21" t="s">
        <v>4197</v>
      </c>
      <c r="C1480" s="21" t="s">
        <v>4195</v>
      </c>
      <c r="D1480" s="21" t="s">
        <v>71</v>
      </c>
      <c r="E1480" s="22" t="s">
        <v>4196</v>
      </c>
      <c r="F1480" s="22" t="s">
        <v>4197</v>
      </c>
      <c r="G1480" s="21" t="s">
        <v>4198</v>
      </c>
      <c r="H1480" s="21" t="s">
        <v>4199</v>
      </c>
      <c r="I1480" s="12" t="s">
        <v>6818</v>
      </c>
      <c r="J1480" s="12" t="s">
        <v>7630</v>
      </c>
      <c r="K1480" s="12" t="s">
        <v>5721</v>
      </c>
      <c r="L1480" s="12" t="s">
        <v>5722</v>
      </c>
      <c r="M1480" s="12" t="s">
        <v>5721</v>
      </c>
    </row>
    <row r="1481" spans="1:13" ht="39.6">
      <c r="A1481" s="21" t="s">
        <v>4194</v>
      </c>
      <c r="B1481" s="21" t="s">
        <v>4197</v>
      </c>
      <c r="C1481" s="21" t="s">
        <v>4195</v>
      </c>
      <c r="D1481" s="21" t="s">
        <v>71</v>
      </c>
      <c r="E1481" s="22" t="s">
        <v>4196</v>
      </c>
      <c r="F1481" s="22" t="s">
        <v>4197</v>
      </c>
      <c r="G1481" s="21" t="s">
        <v>4198</v>
      </c>
      <c r="H1481" s="21" t="s">
        <v>4199</v>
      </c>
      <c r="I1481" s="12" t="s">
        <v>3561</v>
      </c>
      <c r="J1481" s="12" t="s">
        <v>7631</v>
      </c>
      <c r="K1481" s="12" t="s">
        <v>5723</v>
      </c>
      <c r="L1481" s="12" t="s">
        <v>5724</v>
      </c>
      <c r="M1481" s="12" t="s">
        <v>5723</v>
      </c>
    </row>
    <row r="1482" spans="1:13" ht="39.6">
      <c r="A1482" s="21" t="s">
        <v>4194</v>
      </c>
      <c r="B1482" s="21" t="s">
        <v>4197</v>
      </c>
      <c r="C1482" s="21" t="s">
        <v>4195</v>
      </c>
      <c r="D1482" s="21" t="s">
        <v>71</v>
      </c>
      <c r="E1482" s="22" t="s">
        <v>4196</v>
      </c>
      <c r="F1482" s="22" t="s">
        <v>4197</v>
      </c>
      <c r="G1482" s="21" t="s">
        <v>4198</v>
      </c>
      <c r="H1482" s="21" t="s">
        <v>4199</v>
      </c>
      <c r="I1482" s="12" t="s">
        <v>3564</v>
      </c>
      <c r="J1482" s="12" t="s">
        <v>7632</v>
      </c>
      <c r="K1482" s="12" t="s">
        <v>5725</v>
      </c>
      <c r="L1482" s="12" t="s">
        <v>5726</v>
      </c>
      <c r="M1482" s="12" t="s">
        <v>5725</v>
      </c>
    </row>
    <row r="1483" spans="1:13" ht="39.6">
      <c r="A1483" s="21" t="s">
        <v>4194</v>
      </c>
      <c r="B1483" s="21" t="s">
        <v>4197</v>
      </c>
      <c r="C1483" s="21" t="s">
        <v>4195</v>
      </c>
      <c r="D1483" s="21" t="s">
        <v>71</v>
      </c>
      <c r="E1483" s="22" t="s">
        <v>4196</v>
      </c>
      <c r="F1483" s="22" t="s">
        <v>4197</v>
      </c>
      <c r="G1483" s="21" t="s">
        <v>4198</v>
      </c>
      <c r="H1483" s="21" t="s">
        <v>4199</v>
      </c>
      <c r="I1483" s="12" t="s">
        <v>6819</v>
      </c>
      <c r="J1483" s="12" t="s">
        <v>7633</v>
      </c>
      <c r="K1483" s="12" t="s">
        <v>5727</v>
      </c>
      <c r="L1483" s="12" t="s">
        <v>5728</v>
      </c>
      <c r="M1483" s="12" t="s">
        <v>5727</v>
      </c>
    </row>
    <row r="1484" spans="1:13" ht="39.6">
      <c r="A1484" s="21" t="s">
        <v>4194</v>
      </c>
      <c r="B1484" s="21" t="s">
        <v>4197</v>
      </c>
      <c r="C1484" s="21" t="s">
        <v>4195</v>
      </c>
      <c r="D1484" s="21" t="s">
        <v>71</v>
      </c>
      <c r="E1484" s="22" t="s">
        <v>4196</v>
      </c>
      <c r="F1484" s="22" t="s">
        <v>4197</v>
      </c>
      <c r="G1484" s="21" t="s">
        <v>4198</v>
      </c>
      <c r="H1484" s="21" t="s">
        <v>4199</v>
      </c>
      <c r="I1484" s="12" t="s">
        <v>6820</v>
      </c>
      <c r="J1484" s="12" t="s">
        <v>7634</v>
      </c>
      <c r="K1484" s="12"/>
      <c r="L1484" s="12" t="s">
        <v>5729</v>
      </c>
      <c r="M1484" s="12" t="s">
        <v>5730</v>
      </c>
    </row>
    <row r="1485" spans="1:13" ht="39.6">
      <c r="A1485" s="21" t="s">
        <v>4194</v>
      </c>
      <c r="B1485" s="21" t="s">
        <v>4197</v>
      </c>
      <c r="C1485" s="21" t="s">
        <v>4195</v>
      </c>
      <c r="D1485" s="21" t="s">
        <v>71</v>
      </c>
      <c r="E1485" s="22" t="s">
        <v>4196</v>
      </c>
      <c r="F1485" s="22" t="s">
        <v>4197</v>
      </c>
      <c r="G1485" s="21" t="s">
        <v>4198</v>
      </c>
      <c r="H1485" s="21" t="s">
        <v>4199</v>
      </c>
      <c r="I1485" s="12" t="s">
        <v>6821</v>
      </c>
      <c r="J1485" s="12" t="s">
        <v>7635</v>
      </c>
      <c r="K1485" s="12" t="s">
        <v>5731</v>
      </c>
      <c r="L1485" s="12" t="s">
        <v>5732</v>
      </c>
      <c r="M1485" s="12" t="s">
        <v>5731</v>
      </c>
    </row>
    <row r="1486" spans="1:13" ht="39.6">
      <c r="A1486" s="21" t="s">
        <v>4194</v>
      </c>
      <c r="B1486" s="21" t="s">
        <v>4197</v>
      </c>
      <c r="C1486" s="21" t="s">
        <v>4195</v>
      </c>
      <c r="D1486" s="21" t="s">
        <v>71</v>
      </c>
      <c r="E1486" s="22" t="s">
        <v>4196</v>
      </c>
      <c r="F1486" s="22" t="s">
        <v>4197</v>
      </c>
      <c r="G1486" s="21" t="s">
        <v>4198</v>
      </c>
      <c r="H1486" s="21" t="s">
        <v>4199</v>
      </c>
      <c r="I1486" s="12" t="s">
        <v>6822</v>
      </c>
      <c r="J1486" s="12" t="s">
        <v>7636</v>
      </c>
      <c r="K1486" s="12" t="s">
        <v>5733</v>
      </c>
      <c r="L1486" s="12" t="s">
        <v>5734</v>
      </c>
      <c r="M1486" s="12" t="s">
        <v>5733</v>
      </c>
    </row>
    <row r="1487" spans="1:13" ht="39.6">
      <c r="A1487" s="21" t="s">
        <v>4194</v>
      </c>
      <c r="B1487" s="21" t="s">
        <v>4197</v>
      </c>
      <c r="C1487" s="21" t="s">
        <v>4195</v>
      </c>
      <c r="D1487" s="21" t="s">
        <v>71</v>
      </c>
      <c r="E1487" s="22" t="s">
        <v>4196</v>
      </c>
      <c r="F1487" s="22" t="s">
        <v>4197</v>
      </c>
      <c r="G1487" s="21" t="s">
        <v>4198</v>
      </c>
      <c r="H1487" s="21" t="s">
        <v>4199</v>
      </c>
      <c r="I1487" s="12" t="s">
        <v>6823</v>
      </c>
      <c r="J1487" s="12" t="s">
        <v>7637</v>
      </c>
      <c r="K1487" s="12" t="s">
        <v>5735</v>
      </c>
      <c r="L1487" s="12" t="s">
        <v>5736</v>
      </c>
      <c r="M1487" s="12" t="s">
        <v>5735</v>
      </c>
    </row>
    <row r="1488" spans="1:13" ht="39.6">
      <c r="A1488" s="21" t="s">
        <v>4194</v>
      </c>
      <c r="B1488" s="21" t="s">
        <v>4197</v>
      </c>
      <c r="C1488" s="21" t="s">
        <v>4195</v>
      </c>
      <c r="D1488" s="21" t="s">
        <v>71</v>
      </c>
      <c r="E1488" s="22" t="s">
        <v>4196</v>
      </c>
      <c r="F1488" s="22" t="s">
        <v>4197</v>
      </c>
      <c r="G1488" s="21" t="s">
        <v>4198</v>
      </c>
      <c r="H1488" s="21" t="s">
        <v>4199</v>
      </c>
      <c r="I1488" s="12" t="s">
        <v>6824</v>
      </c>
      <c r="J1488" s="12" t="s">
        <v>7638</v>
      </c>
      <c r="K1488" s="12"/>
      <c r="L1488" s="12" t="s">
        <v>5737</v>
      </c>
      <c r="M1488" s="12" t="s">
        <v>5738</v>
      </c>
    </row>
    <row r="1489" spans="1:13" ht="39.6">
      <c r="A1489" s="21" t="s">
        <v>4194</v>
      </c>
      <c r="B1489" s="21" t="s">
        <v>4197</v>
      </c>
      <c r="C1489" s="21" t="s">
        <v>4195</v>
      </c>
      <c r="D1489" s="21" t="s">
        <v>71</v>
      </c>
      <c r="E1489" s="22" t="s">
        <v>4196</v>
      </c>
      <c r="F1489" s="22" t="s">
        <v>4197</v>
      </c>
      <c r="G1489" s="21" t="s">
        <v>4198</v>
      </c>
      <c r="H1489" s="21" t="s">
        <v>4199</v>
      </c>
      <c r="I1489" s="12" t="s">
        <v>6825</v>
      </c>
      <c r="J1489" s="12" t="s">
        <v>7639</v>
      </c>
      <c r="K1489" s="12" t="s">
        <v>5739</v>
      </c>
      <c r="L1489" s="12" t="s">
        <v>5740</v>
      </c>
      <c r="M1489" s="12" t="s">
        <v>5739</v>
      </c>
    </row>
    <row r="1490" spans="1:13" ht="39.6">
      <c r="A1490" s="21" t="s">
        <v>4194</v>
      </c>
      <c r="B1490" s="21" t="s">
        <v>4197</v>
      </c>
      <c r="C1490" s="21" t="s">
        <v>4195</v>
      </c>
      <c r="D1490" s="21" t="s">
        <v>71</v>
      </c>
      <c r="E1490" s="22" t="s">
        <v>4196</v>
      </c>
      <c r="F1490" s="22" t="s">
        <v>4197</v>
      </c>
      <c r="G1490" s="21" t="s">
        <v>4198</v>
      </c>
      <c r="H1490" s="21" t="s">
        <v>4199</v>
      </c>
      <c r="I1490" s="12" t="s">
        <v>6826</v>
      </c>
      <c r="J1490" s="12" t="s">
        <v>7640</v>
      </c>
      <c r="K1490" s="12" t="s">
        <v>5741</v>
      </c>
      <c r="L1490" s="12" t="s">
        <v>5742</v>
      </c>
      <c r="M1490" s="12" t="s">
        <v>5743</v>
      </c>
    </row>
    <row r="1491" spans="1:13" ht="39.6">
      <c r="A1491" s="21" t="s">
        <v>4194</v>
      </c>
      <c r="B1491" s="21" t="s">
        <v>4197</v>
      </c>
      <c r="C1491" s="21" t="s">
        <v>4195</v>
      </c>
      <c r="D1491" s="21" t="s">
        <v>71</v>
      </c>
      <c r="E1491" s="22" t="s">
        <v>4196</v>
      </c>
      <c r="F1491" s="22" t="s">
        <v>4197</v>
      </c>
      <c r="G1491" s="21" t="s">
        <v>4198</v>
      </c>
      <c r="H1491" s="21" t="s">
        <v>4199</v>
      </c>
      <c r="I1491" s="12" t="s">
        <v>6827</v>
      </c>
      <c r="J1491" s="12" t="s">
        <v>7641</v>
      </c>
      <c r="K1491" s="12"/>
      <c r="L1491" s="12" t="s">
        <v>5744</v>
      </c>
      <c r="M1491" s="12" t="s">
        <v>5745</v>
      </c>
    </row>
    <row r="1492" spans="1:13" ht="39.6">
      <c r="A1492" s="21" t="s">
        <v>4194</v>
      </c>
      <c r="B1492" s="21" t="s">
        <v>4197</v>
      </c>
      <c r="C1492" s="21" t="s">
        <v>4195</v>
      </c>
      <c r="D1492" s="21" t="s">
        <v>71</v>
      </c>
      <c r="E1492" s="22" t="s">
        <v>4196</v>
      </c>
      <c r="F1492" s="22" t="s">
        <v>4197</v>
      </c>
      <c r="G1492" s="21" t="s">
        <v>4198</v>
      </c>
      <c r="H1492" s="21" t="s">
        <v>4199</v>
      </c>
      <c r="I1492" s="12" t="s">
        <v>3567</v>
      </c>
      <c r="J1492" s="12" t="s">
        <v>7642</v>
      </c>
      <c r="K1492" s="12" t="s">
        <v>5746</v>
      </c>
      <c r="L1492" s="12" t="s">
        <v>5747</v>
      </c>
      <c r="M1492" s="12" t="s">
        <v>5746</v>
      </c>
    </row>
    <row r="1493" spans="1:13" ht="39.6">
      <c r="A1493" s="21" t="s">
        <v>4194</v>
      </c>
      <c r="B1493" s="21" t="s">
        <v>4197</v>
      </c>
      <c r="C1493" s="21" t="s">
        <v>4195</v>
      </c>
      <c r="D1493" s="21" t="s">
        <v>71</v>
      </c>
      <c r="E1493" s="22" t="s">
        <v>4196</v>
      </c>
      <c r="F1493" s="22" t="s">
        <v>4197</v>
      </c>
      <c r="G1493" s="21" t="s">
        <v>4198</v>
      </c>
      <c r="H1493" s="21" t="s">
        <v>4199</v>
      </c>
      <c r="I1493" s="12" t="s">
        <v>6828</v>
      </c>
      <c r="J1493" s="12" t="s">
        <v>7643</v>
      </c>
      <c r="K1493" s="12" t="s">
        <v>5748</v>
      </c>
      <c r="L1493" s="12" t="s">
        <v>5749</v>
      </c>
      <c r="M1493" s="12" t="s">
        <v>5748</v>
      </c>
    </row>
    <row r="1494" spans="1:13" ht="39.6">
      <c r="A1494" s="21" t="s">
        <v>4194</v>
      </c>
      <c r="B1494" s="21" t="s">
        <v>4197</v>
      </c>
      <c r="C1494" s="21" t="s">
        <v>4195</v>
      </c>
      <c r="D1494" s="21" t="s">
        <v>71</v>
      </c>
      <c r="E1494" s="22" t="s">
        <v>4196</v>
      </c>
      <c r="F1494" s="22" t="s">
        <v>4197</v>
      </c>
      <c r="G1494" s="21" t="s">
        <v>4198</v>
      </c>
      <c r="H1494" s="21" t="s">
        <v>4199</v>
      </c>
      <c r="I1494" s="12" t="s">
        <v>6829</v>
      </c>
      <c r="J1494" s="12" t="s">
        <v>7644</v>
      </c>
      <c r="K1494" s="12"/>
      <c r="L1494" s="12" t="s">
        <v>5750</v>
      </c>
      <c r="M1494" s="12" t="s">
        <v>5751</v>
      </c>
    </row>
    <row r="1495" spans="1:13" ht="39.6">
      <c r="A1495" s="21" t="s">
        <v>4194</v>
      </c>
      <c r="B1495" s="21" t="s">
        <v>4197</v>
      </c>
      <c r="C1495" s="21" t="s">
        <v>4195</v>
      </c>
      <c r="D1495" s="21" t="s">
        <v>71</v>
      </c>
      <c r="E1495" s="22" t="s">
        <v>4196</v>
      </c>
      <c r="F1495" s="22" t="s">
        <v>4197</v>
      </c>
      <c r="G1495" s="21" t="s">
        <v>4198</v>
      </c>
      <c r="H1495" s="21" t="s">
        <v>4199</v>
      </c>
      <c r="I1495" s="12" t="s">
        <v>6830</v>
      </c>
      <c r="J1495" s="12" t="s">
        <v>7645</v>
      </c>
      <c r="K1495" s="12" t="s">
        <v>5752</v>
      </c>
      <c r="L1495" s="12" t="s">
        <v>5753</v>
      </c>
      <c r="M1495" s="12" t="s">
        <v>5754</v>
      </c>
    </row>
    <row r="1496" spans="1:13" ht="39.6">
      <c r="A1496" s="21" t="s">
        <v>4194</v>
      </c>
      <c r="B1496" s="21" t="s">
        <v>4197</v>
      </c>
      <c r="C1496" s="21" t="s">
        <v>4195</v>
      </c>
      <c r="D1496" s="21" t="s">
        <v>71</v>
      </c>
      <c r="E1496" s="22" t="s">
        <v>4196</v>
      </c>
      <c r="F1496" s="22" t="s">
        <v>4197</v>
      </c>
      <c r="G1496" s="21" t="s">
        <v>4198</v>
      </c>
      <c r="H1496" s="21" t="s">
        <v>4199</v>
      </c>
      <c r="I1496" s="12" t="s">
        <v>6831</v>
      </c>
      <c r="J1496" s="12" t="s">
        <v>7646</v>
      </c>
      <c r="K1496" s="12" t="s">
        <v>5755</v>
      </c>
      <c r="L1496" s="12" t="s">
        <v>5756</v>
      </c>
      <c r="M1496" s="12" t="s">
        <v>5757</v>
      </c>
    </row>
    <row r="1497" spans="1:13" ht="39.6">
      <c r="A1497" s="21" t="s">
        <v>4194</v>
      </c>
      <c r="B1497" s="21" t="s">
        <v>4197</v>
      </c>
      <c r="C1497" s="21" t="s">
        <v>4195</v>
      </c>
      <c r="D1497" s="21" t="s">
        <v>71</v>
      </c>
      <c r="E1497" s="22" t="s">
        <v>4196</v>
      </c>
      <c r="F1497" s="22" t="s">
        <v>4197</v>
      </c>
      <c r="G1497" s="21" t="s">
        <v>4198</v>
      </c>
      <c r="H1497" s="21" t="s">
        <v>4199</v>
      </c>
      <c r="I1497" s="12" t="s">
        <v>6832</v>
      </c>
      <c r="J1497" s="12" t="s">
        <v>7647</v>
      </c>
      <c r="K1497" s="12" t="s">
        <v>5758</v>
      </c>
      <c r="L1497" s="12" t="s">
        <v>5759</v>
      </c>
      <c r="M1497" s="12" t="s">
        <v>5758</v>
      </c>
    </row>
    <row r="1498" spans="1:13" ht="39.6">
      <c r="A1498" s="21" t="s">
        <v>4194</v>
      </c>
      <c r="B1498" s="21" t="s">
        <v>4197</v>
      </c>
      <c r="C1498" s="21" t="s">
        <v>4195</v>
      </c>
      <c r="D1498" s="21" t="s">
        <v>71</v>
      </c>
      <c r="E1498" s="22" t="s">
        <v>4196</v>
      </c>
      <c r="F1498" s="22" t="s">
        <v>4197</v>
      </c>
      <c r="G1498" s="21" t="s">
        <v>4198</v>
      </c>
      <c r="H1498" s="21" t="s">
        <v>4199</v>
      </c>
      <c r="I1498" s="12" t="s">
        <v>6833</v>
      </c>
      <c r="J1498" s="12" t="s">
        <v>7648</v>
      </c>
      <c r="K1498" s="12" t="s">
        <v>5760</v>
      </c>
      <c r="L1498" s="12" t="s">
        <v>5761</v>
      </c>
      <c r="M1498" s="12" t="s">
        <v>5760</v>
      </c>
    </row>
    <row r="1499" spans="1:13" ht="39.6">
      <c r="A1499" s="21" t="s">
        <v>4194</v>
      </c>
      <c r="B1499" s="21" t="s">
        <v>4197</v>
      </c>
      <c r="C1499" s="21" t="s">
        <v>4195</v>
      </c>
      <c r="D1499" s="21" t="s">
        <v>71</v>
      </c>
      <c r="E1499" s="22" t="s">
        <v>4196</v>
      </c>
      <c r="F1499" s="22" t="s">
        <v>4197</v>
      </c>
      <c r="G1499" s="21" t="s">
        <v>4198</v>
      </c>
      <c r="H1499" s="21" t="s">
        <v>4199</v>
      </c>
      <c r="I1499" s="12" t="s">
        <v>6834</v>
      </c>
      <c r="J1499" s="12" t="s">
        <v>7649</v>
      </c>
      <c r="K1499" s="12" t="s">
        <v>5762</v>
      </c>
      <c r="L1499" s="12" t="s">
        <v>5763</v>
      </c>
      <c r="M1499" s="12" t="s">
        <v>5762</v>
      </c>
    </row>
    <row r="1500" spans="1:13" ht="39.6">
      <c r="A1500" s="21" t="s">
        <v>4194</v>
      </c>
      <c r="B1500" s="21" t="s">
        <v>4197</v>
      </c>
      <c r="C1500" s="21" t="s">
        <v>4195</v>
      </c>
      <c r="D1500" s="21" t="s">
        <v>71</v>
      </c>
      <c r="E1500" s="22" t="s">
        <v>4196</v>
      </c>
      <c r="F1500" s="22" t="s">
        <v>4197</v>
      </c>
      <c r="G1500" s="21" t="s">
        <v>4198</v>
      </c>
      <c r="H1500" s="21" t="s">
        <v>4199</v>
      </c>
      <c r="I1500" s="12" t="s">
        <v>6835</v>
      </c>
      <c r="J1500" s="12" t="s">
        <v>7650</v>
      </c>
      <c r="K1500" s="12" t="s">
        <v>5764</v>
      </c>
      <c r="L1500" s="12" t="s">
        <v>5765</v>
      </c>
      <c r="M1500" s="12" t="s">
        <v>5764</v>
      </c>
    </row>
    <row r="1501" spans="1:13" ht="39.6">
      <c r="A1501" s="21" t="s">
        <v>4194</v>
      </c>
      <c r="B1501" s="21" t="s">
        <v>4197</v>
      </c>
      <c r="C1501" s="21" t="s">
        <v>4195</v>
      </c>
      <c r="D1501" s="21" t="s">
        <v>71</v>
      </c>
      <c r="E1501" s="22" t="s">
        <v>4196</v>
      </c>
      <c r="F1501" s="22" t="s">
        <v>4197</v>
      </c>
      <c r="G1501" s="21" t="s">
        <v>4198</v>
      </c>
      <c r="H1501" s="21" t="s">
        <v>4199</v>
      </c>
      <c r="I1501" s="12" t="s">
        <v>6836</v>
      </c>
      <c r="J1501" s="12" t="s">
        <v>7651</v>
      </c>
      <c r="K1501" s="12" t="s">
        <v>5766</v>
      </c>
      <c r="L1501" s="12" t="s">
        <v>5767</v>
      </c>
      <c r="M1501" s="12" t="s">
        <v>5766</v>
      </c>
    </row>
    <row r="1502" spans="1:13" ht="39.6">
      <c r="A1502" s="21" t="s">
        <v>4194</v>
      </c>
      <c r="B1502" s="21" t="s">
        <v>4197</v>
      </c>
      <c r="C1502" s="21" t="s">
        <v>4195</v>
      </c>
      <c r="D1502" s="21" t="s">
        <v>71</v>
      </c>
      <c r="E1502" s="22" t="s">
        <v>4196</v>
      </c>
      <c r="F1502" s="22" t="s">
        <v>4197</v>
      </c>
      <c r="G1502" s="21" t="s">
        <v>4198</v>
      </c>
      <c r="H1502" s="21" t="s">
        <v>4199</v>
      </c>
      <c r="I1502" s="12" t="s">
        <v>6837</v>
      </c>
      <c r="J1502" s="12" t="s">
        <v>7652</v>
      </c>
      <c r="K1502" s="12" t="s">
        <v>5768</v>
      </c>
      <c r="L1502" s="12" t="s">
        <v>5769</v>
      </c>
      <c r="M1502" s="12" t="s">
        <v>5768</v>
      </c>
    </row>
    <row r="1503" spans="1:13" ht="39.6">
      <c r="A1503" s="21" t="s">
        <v>4194</v>
      </c>
      <c r="B1503" s="21" t="s">
        <v>4197</v>
      </c>
      <c r="C1503" s="21" t="s">
        <v>4195</v>
      </c>
      <c r="D1503" s="21" t="s">
        <v>71</v>
      </c>
      <c r="E1503" s="22" t="s">
        <v>4196</v>
      </c>
      <c r="F1503" s="22" t="s">
        <v>4197</v>
      </c>
      <c r="G1503" s="21" t="s">
        <v>4198</v>
      </c>
      <c r="H1503" s="21" t="s">
        <v>4199</v>
      </c>
      <c r="I1503" s="12" t="s">
        <v>6838</v>
      </c>
      <c r="J1503" s="12" t="s">
        <v>7653</v>
      </c>
      <c r="K1503" s="12"/>
      <c r="L1503" s="12" t="s">
        <v>5770</v>
      </c>
      <c r="M1503" s="12" t="s">
        <v>5771</v>
      </c>
    </row>
    <row r="1504" spans="1:13" ht="39.6">
      <c r="A1504" s="21" t="s">
        <v>4194</v>
      </c>
      <c r="B1504" s="21" t="s">
        <v>4197</v>
      </c>
      <c r="C1504" s="21" t="s">
        <v>4195</v>
      </c>
      <c r="D1504" s="21" t="s">
        <v>71</v>
      </c>
      <c r="E1504" s="22" t="s">
        <v>4196</v>
      </c>
      <c r="F1504" s="22" t="s">
        <v>4197</v>
      </c>
      <c r="G1504" s="21" t="s">
        <v>4198</v>
      </c>
      <c r="H1504" s="21" t="s">
        <v>4199</v>
      </c>
      <c r="I1504" s="12" t="s">
        <v>6839</v>
      </c>
      <c r="J1504" s="12" t="s">
        <v>7654</v>
      </c>
      <c r="K1504" s="12"/>
      <c r="L1504" s="12" t="s">
        <v>5772</v>
      </c>
      <c r="M1504" s="12" t="s">
        <v>5773</v>
      </c>
    </row>
    <row r="1505" spans="1:13" ht="39.6">
      <c r="A1505" s="21" t="s">
        <v>4194</v>
      </c>
      <c r="B1505" s="21" t="s">
        <v>4197</v>
      </c>
      <c r="C1505" s="21" t="s">
        <v>4195</v>
      </c>
      <c r="D1505" s="21" t="s">
        <v>71</v>
      </c>
      <c r="E1505" s="22" t="s">
        <v>4196</v>
      </c>
      <c r="F1505" s="22" t="s">
        <v>4197</v>
      </c>
      <c r="G1505" s="21" t="s">
        <v>4198</v>
      </c>
      <c r="H1505" s="21" t="s">
        <v>4199</v>
      </c>
      <c r="I1505" s="12" t="s">
        <v>6840</v>
      </c>
      <c r="J1505" s="12" t="s">
        <v>7655</v>
      </c>
      <c r="K1505" s="12"/>
      <c r="L1505" s="12" t="s">
        <v>5774</v>
      </c>
      <c r="M1505" s="12" t="s">
        <v>5775</v>
      </c>
    </row>
    <row r="1506" spans="1:13" ht="39.6">
      <c r="A1506" s="21" t="s">
        <v>4194</v>
      </c>
      <c r="B1506" s="21" t="s">
        <v>4197</v>
      </c>
      <c r="C1506" s="21" t="s">
        <v>4195</v>
      </c>
      <c r="D1506" s="21" t="s">
        <v>71</v>
      </c>
      <c r="E1506" s="22" t="s">
        <v>4196</v>
      </c>
      <c r="F1506" s="22" t="s">
        <v>4197</v>
      </c>
      <c r="G1506" s="21" t="s">
        <v>4198</v>
      </c>
      <c r="H1506" s="21" t="s">
        <v>4199</v>
      </c>
      <c r="I1506" s="12" t="s">
        <v>6841</v>
      </c>
      <c r="J1506" s="12" t="s">
        <v>7656</v>
      </c>
      <c r="K1506" s="12" t="s">
        <v>5776</v>
      </c>
      <c r="L1506" s="12" t="s">
        <v>5777</v>
      </c>
      <c r="M1506" s="12" t="s">
        <v>5778</v>
      </c>
    </row>
    <row r="1507" spans="1:13" ht="39.6">
      <c r="A1507" s="21" t="s">
        <v>4194</v>
      </c>
      <c r="B1507" s="21" t="s">
        <v>4197</v>
      </c>
      <c r="C1507" s="21" t="s">
        <v>4195</v>
      </c>
      <c r="D1507" s="21" t="s">
        <v>71</v>
      </c>
      <c r="E1507" s="22" t="s">
        <v>4196</v>
      </c>
      <c r="F1507" s="22" t="s">
        <v>4197</v>
      </c>
      <c r="G1507" s="21" t="s">
        <v>4198</v>
      </c>
      <c r="H1507" s="21" t="s">
        <v>4199</v>
      </c>
      <c r="I1507" s="12" t="s">
        <v>6842</v>
      </c>
      <c r="J1507" s="12" t="s">
        <v>7657</v>
      </c>
      <c r="K1507" s="12" t="s">
        <v>5779</v>
      </c>
      <c r="L1507" s="12" t="s">
        <v>5780</v>
      </c>
      <c r="M1507" s="12" t="s">
        <v>5781</v>
      </c>
    </row>
    <row r="1508" spans="1:13" ht="39.6">
      <c r="A1508" s="21" t="s">
        <v>4194</v>
      </c>
      <c r="B1508" s="21" t="s">
        <v>4197</v>
      </c>
      <c r="C1508" s="21" t="s">
        <v>4195</v>
      </c>
      <c r="D1508" s="21" t="s">
        <v>71</v>
      </c>
      <c r="E1508" s="22" t="s">
        <v>4196</v>
      </c>
      <c r="F1508" s="22" t="s">
        <v>4197</v>
      </c>
      <c r="G1508" s="21" t="s">
        <v>4198</v>
      </c>
      <c r="H1508" s="21" t="s">
        <v>4199</v>
      </c>
      <c r="I1508" s="12" t="s">
        <v>6843</v>
      </c>
      <c r="J1508" s="12" t="s">
        <v>7658</v>
      </c>
      <c r="K1508" s="12" t="s">
        <v>5782</v>
      </c>
      <c r="L1508" s="12" t="s">
        <v>5783</v>
      </c>
      <c r="M1508" s="12" t="s">
        <v>5784</v>
      </c>
    </row>
    <row r="1509" spans="1:13" ht="39.6">
      <c r="A1509" s="21" t="s">
        <v>4194</v>
      </c>
      <c r="B1509" s="21" t="s">
        <v>4197</v>
      </c>
      <c r="C1509" s="21" t="s">
        <v>4195</v>
      </c>
      <c r="D1509" s="21" t="s">
        <v>71</v>
      </c>
      <c r="E1509" s="22" t="s">
        <v>4196</v>
      </c>
      <c r="F1509" s="22" t="s">
        <v>4197</v>
      </c>
      <c r="G1509" s="21" t="s">
        <v>4198</v>
      </c>
      <c r="H1509" s="21" t="s">
        <v>4199</v>
      </c>
      <c r="I1509" s="12" t="s">
        <v>6844</v>
      </c>
      <c r="J1509" s="12" t="s">
        <v>7659</v>
      </c>
      <c r="K1509" s="12" t="s">
        <v>5785</v>
      </c>
      <c r="L1509" s="12" t="s">
        <v>5786</v>
      </c>
      <c r="M1509" s="12" t="s">
        <v>5787</v>
      </c>
    </row>
    <row r="1510" spans="1:13" ht="39.6">
      <c r="A1510" s="21" t="s">
        <v>4194</v>
      </c>
      <c r="B1510" s="21" t="s">
        <v>4197</v>
      </c>
      <c r="C1510" s="21" t="s">
        <v>4195</v>
      </c>
      <c r="D1510" s="21" t="s">
        <v>71</v>
      </c>
      <c r="E1510" s="22" t="s">
        <v>4196</v>
      </c>
      <c r="F1510" s="22" t="s">
        <v>4197</v>
      </c>
      <c r="G1510" s="21" t="s">
        <v>4198</v>
      </c>
      <c r="H1510" s="21" t="s">
        <v>4199</v>
      </c>
      <c r="I1510" s="12" t="s">
        <v>6845</v>
      </c>
      <c r="J1510" s="12" t="s">
        <v>7660</v>
      </c>
      <c r="K1510" s="12" t="s">
        <v>5788</v>
      </c>
      <c r="L1510" s="12" t="s">
        <v>5789</v>
      </c>
      <c r="M1510" s="12" t="s">
        <v>5790</v>
      </c>
    </row>
    <row r="1511" spans="1:13" ht="39.6">
      <c r="A1511" s="21" t="s">
        <v>4194</v>
      </c>
      <c r="B1511" s="21" t="s">
        <v>4197</v>
      </c>
      <c r="C1511" s="21" t="s">
        <v>4195</v>
      </c>
      <c r="D1511" s="21" t="s">
        <v>71</v>
      </c>
      <c r="E1511" s="22" t="s">
        <v>4196</v>
      </c>
      <c r="F1511" s="22" t="s">
        <v>4197</v>
      </c>
      <c r="G1511" s="21" t="s">
        <v>4198</v>
      </c>
      <c r="H1511" s="21" t="s">
        <v>4199</v>
      </c>
      <c r="I1511" s="12" t="s">
        <v>6846</v>
      </c>
      <c r="J1511" s="12" t="s">
        <v>7661</v>
      </c>
      <c r="K1511" s="12"/>
      <c r="L1511" s="12" t="s">
        <v>5791</v>
      </c>
      <c r="M1511" s="12" t="s">
        <v>5792</v>
      </c>
    </row>
    <row r="1512" spans="1:13" ht="39.6">
      <c r="A1512" s="21" t="s">
        <v>4194</v>
      </c>
      <c r="B1512" s="21" t="s">
        <v>4197</v>
      </c>
      <c r="C1512" s="21" t="s">
        <v>4195</v>
      </c>
      <c r="D1512" s="21" t="s">
        <v>71</v>
      </c>
      <c r="E1512" s="22" t="s">
        <v>4196</v>
      </c>
      <c r="F1512" s="22" t="s">
        <v>4197</v>
      </c>
      <c r="G1512" s="21" t="s">
        <v>4198</v>
      </c>
      <c r="H1512" s="21" t="s">
        <v>4199</v>
      </c>
      <c r="I1512" s="12" t="s">
        <v>6847</v>
      </c>
      <c r="J1512" s="12" t="s">
        <v>7662</v>
      </c>
      <c r="K1512" s="12" t="s">
        <v>5793</v>
      </c>
      <c r="L1512" s="12" t="s">
        <v>5794</v>
      </c>
      <c r="M1512" s="12" t="s">
        <v>5793</v>
      </c>
    </row>
    <row r="1513" spans="1:13" ht="39.6">
      <c r="A1513" s="21" t="s">
        <v>4194</v>
      </c>
      <c r="B1513" s="21" t="s">
        <v>4197</v>
      </c>
      <c r="C1513" s="21" t="s">
        <v>4195</v>
      </c>
      <c r="D1513" s="21" t="s">
        <v>71</v>
      </c>
      <c r="E1513" s="22" t="s">
        <v>4196</v>
      </c>
      <c r="F1513" s="22" t="s">
        <v>4197</v>
      </c>
      <c r="G1513" s="21" t="s">
        <v>4198</v>
      </c>
      <c r="H1513" s="21" t="s">
        <v>4199</v>
      </c>
      <c r="I1513" s="12" t="s">
        <v>6848</v>
      </c>
      <c r="J1513" s="12" t="s">
        <v>7663</v>
      </c>
      <c r="K1513" s="12" t="s">
        <v>5795</v>
      </c>
      <c r="L1513" s="12" t="s">
        <v>5796</v>
      </c>
      <c r="M1513" s="12" t="s">
        <v>5797</v>
      </c>
    </row>
    <row r="1514" spans="1:13" ht="39.6">
      <c r="A1514" s="21" t="s">
        <v>4194</v>
      </c>
      <c r="B1514" s="21" t="s">
        <v>4197</v>
      </c>
      <c r="C1514" s="21" t="s">
        <v>4195</v>
      </c>
      <c r="D1514" s="21" t="s">
        <v>71</v>
      </c>
      <c r="E1514" s="22" t="s">
        <v>4196</v>
      </c>
      <c r="F1514" s="22" t="s">
        <v>4197</v>
      </c>
      <c r="G1514" s="21" t="s">
        <v>4198</v>
      </c>
      <c r="H1514" s="21" t="s">
        <v>4199</v>
      </c>
      <c r="I1514" s="12" t="s">
        <v>6849</v>
      </c>
      <c r="J1514" s="12" t="s">
        <v>7664</v>
      </c>
      <c r="K1514" s="12" t="s">
        <v>5798</v>
      </c>
      <c r="L1514" s="12" t="s">
        <v>5799</v>
      </c>
      <c r="M1514" s="12" t="s">
        <v>5800</v>
      </c>
    </row>
    <row r="1515" spans="1:13" ht="39.6">
      <c r="A1515" s="21" t="s">
        <v>4194</v>
      </c>
      <c r="B1515" s="21" t="s">
        <v>4197</v>
      </c>
      <c r="C1515" s="21" t="s">
        <v>4195</v>
      </c>
      <c r="D1515" s="21" t="s">
        <v>71</v>
      </c>
      <c r="E1515" s="22" t="s">
        <v>4196</v>
      </c>
      <c r="F1515" s="22" t="s">
        <v>4197</v>
      </c>
      <c r="G1515" s="21" t="s">
        <v>4198</v>
      </c>
      <c r="H1515" s="21" t="s">
        <v>4199</v>
      </c>
      <c r="I1515" s="12" t="s">
        <v>6850</v>
      </c>
      <c r="J1515" s="12" t="s">
        <v>7665</v>
      </c>
      <c r="K1515" s="12" t="s">
        <v>5801</v>
      </c>
      <c r="L1515" s="12" t="s">
        <v>5802</v>
      </c>
      <c r="M1515" s="12" t="s">
        <v>5803</v>
      </c>
    </row>
    <row r="1516" spans="1:13" ht="39.6">
      <c r="A1516" s="21" t="s">
        <v>4194</v>
      </c>
      <c r="B1516" s="21" t="s">
        <v>4197</v>
      </c>
      <c r="C1516" s="21" t="s">
        <v>4195</v>
      </c>
      <c r="D1516" s="21" t="s">
        <v>71</v>
      </c>
      <c r="E1516" s="22" t="s">
        <v>4196</v>
      </c>
      <c r="F1516" s="22" t="s">
        <v>4197</v>
      </c>
      <c r="G1516" s="21" t="s">
        <v>4198</v>
      </c>
      <c r="H1516" s="21" t="s">
        <v>4199</v>
      </c>
      <c r="I1516" s="12" t="s">
        <v>6851</v>
      </c>
      <c r="J1516" s="12" t="s">
        <v>7666</v>
      </c>
      <c r="K1516" s="12" t="s">
        <v>5804</v>
      </c>
      <c r="L1516" s="12" t="s">
        <v>5805</v>
      </c>
      <c r="M1516" s="12" t="s">
        <v>5806</v>
      </c>
    </row>
    <row r="1517" spans="1:13" ht="39.6">
      <c r="A1517" s="21" t="s">
        <v>4194</v>
      </c>
      <c r="B1517" s="21" t="s">
        <v>4197</v>
      </c>
      <c r="C1517" s="21" t="s">
        <v>4195</v>
      </c>
      <c r="D1517" s="21" t="s">
        <v>71</v>
      </c>
      <c r="E1517" s="22" t="s">
        <v>4196</v>
      </c>
      <c r="F1517" s="22" t="s">
        <v>4197</v>
      </c>
      <c r="G1517" s="21" t="s">
        <v>4198</v>
      </c>
      <c r="H1517" s="21" t="s">
        <v>4199</v>
      </c>
      <c r="I1517" s="12" t="s">
        <v>6852</v>
      </c>
      <c r="J1517" s="12" t="s">
        <v>7667</v>
      </c>
      <c r="K1517" s="12" t="s">
        <v>5807</v>
      </c>
      <c r="L1517" s="12" t="s">
        <v>5808</v>
      </c>
      <c r="M1517" s="12" t="s">
        <v>5807</v>
      </c>
    </row>
    <row r="1518" spans="1:13" ht="39.6">
      <c r="A1518" s="21" t="s">
        <v>4194</v>
      </c>
      <c r="B1518" s="21" t="s">
        <v>4197</v>
      </c>
      <c r="C1518" s="21" t="s">
        <v>4195</v>
      </c>
      <c r="D1518" s="21" t="s">
        <v>71</v>
      </c>
      <c r="E1518" s="22" t="s">
        <v>4196</v>
      </c>
      <c r="F1518" s="22" t="s">
        <v>4197</v>
      </c>
      <c r="G1518" s="21" t="s">
        <v>4198</v>
      </c>
      <c r="H1518" s="21" t="s">
        <v>4199</v>
      </c>
      <c r="I1518" s="12" t="s">
        <v>6853</v>
      </c>
      <c r="J1518" s="12" t="s">
        <v>7668</v>
      </c>
      <c r="K1518" s="12" t="s">
        <v>5809</v>
      </c>
      <c r="L1518" s="12" t="s">
        <v>5810</v>
      </c>
      <c r="M1518" s="12" t="s">
        <v>5811</v>
      </c>
    </row>
    <row r="1519" spans="1:13" ht="39.6">
      <c r="A1519" s="21" t="s">
        <v>4194</v>
      </c>
      <c r="B1519" s="21" t="s">
        <v>4197</v>
      </c>
      <c r="C1519" s="21" t="s">
        <v>4195</v>
      </c>
      <c r="D1519" s="21" t="s">
        <v>71</v>
      </c>
      <c r="E1519" s="22" t="s">
        <v>4196</v>
      </c>
      <c r="F1519" s="22" t="s">
        <v>4197</v>
      </c>
      <c r="G1519" s="21" t="s">
        <v>4198</v>
      </c>
      <c r="H1519" s="21" t="s">
        <v>4199</v>
      </c>
      <c r="I1519" s="12" t="s">
        <v>6854</v>
      </c>
      <c r="J1519" s="12" t="s">
        <v>7669</v>
      </c>
      <c r="K1519" s="12" t="s">
        <v>5812</v>
      </c>
      <c r="L1519" s="12" t="s">
        <v>5813</v>
      </c>
      <c r="M1519" s="12" t="s">
        <v>5814</v>
      </c>
    </row>
    <row r="1520" spans="1:13" ht="39.6">
      <c r="A1520" s="21" t="s">
        <v>4194</v>
      </c>
      <c r="B1520" s="21" t="s">
        <v>4197</v>
      </c>
      <c r="C1520" s="21" t="s">
        <v>4195</v>
      </c>
      <c r="D1520" s="21" t="s">
        <v>71</v>
      </c>
      <c r="E1520" s="22" t="s">
        <v>4196</v>
      </c>
      <c r="F1520" s="22" t="s">
        <v>4197</v>
      </c>
      <c r="G1520" s="21" t="s">
        <v>4198</v>
      </c>
      <c r="H1520" s="21" t="s">
        <v>4199</v>
      </c>
      <c r="I1520" s="12" t="s">
        <v>6855</v>
      </c>
      <c r="J1520" s="12" t="s">
        <v>7670</v>
      </c>
      <c r="K1520" s="12" t="s">
        <v>5815</v>
      </c>
      <c r="L1520" s="12" t="s">
        <v>5816</v>
      </c>
      <c r="M1520" s="12" t="s">
        <v>5817</v>
      </c>
    </row>
    <row r="1521" spans="1:13" ht="39.6">
      <c r="A1521" s="21" t="s">
        <v>4194</v>
      </c>
      <c r="B1521" s="21" t="s">
        <v>4197</v>
      </c>
      <c r="C1521" s="21" t="s">
        <v>4195</v>
      </c>
      <c r="D1521" s="21" t="s">
        <v>71</v>
      </c>
      <c r="E1521" s="22" t="s">
        <v>4196</v>
      </c>
      <c r="F1521" s="22" t="s">
        <v>4197</v>
      </c>
      <c r="G1521" s="21" t="s">
        <v>4198</v>
      </c>
      <c r="H1521" s="21" t="s">
        <v>4199</v>
      </c>
      <c r="I1521" s="12" t="s">
        <v>6856</v>
      </c>
      <c r="J1521" s="12" t="s">
        <v>7671</v>
      </c>
      <c r="K1521" s="12" t="s">
        <v>5818</v>
      </c>
      <c r="L1521" s="12" t="s">
        <v>5819</v>
      </c>
      <c r="M1521" s="12" t="s">
        <v>5820</v>
      </c>
    </row>
    <row r="1522" spans="1:13" ht="66">
      <c r="A1522" s="21" t="s">
        <v>4194</v>
      </c>
      <c r="B1522" s="21" t="s">
        <v>4197</v>
      </c>
      <c r="C1522" s="21" t="s">
        <v>4195</v>
      </c>
      <c r="D1522" s="21" t="s">
        <v>71</v>
      </c>
      <c r="E1522" s="22" t="s">
        <v>4196</v>
      </c>
      <c r="F1522" s="22" t="s">
        <v>4197</v>
      </c>
      <c r="G1522" s="21" t="s">
        <v>4198</v>
      </c>
      <c r="H1522" s="21" t="s">
        <v>4199</v>
      </c>
      <c r="I1522" s="12" t="s">
        <v>6857</v>
      </c>
      <c r="J1522" s="12" t="s">
        <v>7672</v>
      </c>
      <c r="K1522" s="12" t="s">
        <v>5821</v>
      </c>
      <c r="L1522" s="12" t="s">
        <v>5822</v>
      </c>
      <c r="M1522" s="12" t="s">
        <v>5821</v>
      </c>
    </row>
    <row r="1523" spans="1:13" ht="39.6">
      <c r="A1523" s="21" t="s">
        <v>4194</v>
      </c>
      <c r="B1523" s="21" t="s">
        <v>4197</v>
      </c>
      <c r="C1523" s="21" t="s">
        <v>4195</v>
      </c>
      <c r="D1523" s="21" t="s">
        <v>71</v>
      </c>
      <c r="E1523" s="22" t="s">
        <v>4196</v>
      </c>
      <c r="F1523" s="22" t="s">
        <v>4197</v>
      </c>
      <c r="G1523" s="21" t="s">
        <v>4198</v>
      </c>
      <c r="H1523" s="21" t="s">
        <v>4199</v>
      </c>
      <c r="I1523" s="12" t="s">
        <v>6858</v>
      </c>
      <c r="J1523" s="12" t="s">
        <v>7673</v>
      </c>
      <c r="K1523" s="12" t="s">
        <v>5823</v>
      </c>
      <c r="L1523" s="12" t="s">
        <v>5824</v>
      </c>
      <c r="M1523" s="12" t="s">
        <v>5823</v>
      </c>
    </row>
    <row r="1524" spans="1:13" ht="79.2">
      <c r="A1524" s="21" t="s">
        <v>4194</v>
      </c>
      <c r="B1524" s="21" t="s">
        <v>4197</v>
      </c>
      <c r="C1524" s="21" t="s">
        <v>4195</v>
      </c>
      <c r="D1524" s="21" t="s">
        <v>71</v>
      </c>
      <c r="E1524" s="22" t="s">
        <v>4196</v>
      </c>
      <c r="F1524" s="22" t="s">
        <v>4197</v>
      </c>
      <c r="G1524" s="21" t="s">
        <v>4198</v>
      </c>
      <c r="H1524" s="21" t="s">
        <v>4199</v>
      </c>
      <c r="I1524" s="12" t="s">
        <v>6859</v>
      </c>
      <c r="J1524" s="12" t="s">
        <v>7674</v>
      </c>
      <c r="K1524" s="12" t="s">
        <v>5825</v>
      </c>
      <c r="L1524" s="12" t="s">
        <v>5826</v>
      </c>
      <c r="M1524" s="12" t="s">
        <v>5825</v>
      </c>
    </row>
    <row r="1525" spans="1:13" ht="79.2">
      <c r="A1525" s="21" t="s">
        <v>4194</v>
      </c>
      <c r="B1525" s="21" t="s">
        <v>4197</v>
      </c>
      <c r="C1525" s="21" t="s">
        <v>4195</v>
      </c>
      <c r="D1525" s="21" t="s">
        <v>71</v>
      </c>
      <c r="E1525" s="22" t="s">
        <v>4196</v>
      </c>
      <c r="F1525" s="22" t="s">
        <v>4197</v>
      </c>
      <c r="G1525" s="21" t="s">
        <v>4198</v>
      </c>
      <c r="H1525" s="21" t="s">
        <v>4199</v>
      </c>
      <c r="I1525" s="12" t="s">
        <v>5827</v>
      </c>
      <c r="J1525" s="12" t="s">
        <v>7675</v>
      </c>
      <c r="K1525" s="12" t="s">
        <v>5827</v>
      </c>
      <c r="L1525" s="12" t="s">
        <v>5828</v>
      </c>
      <c r="M1525" s="12" t="s">
        <v>5827</v>
      </c>
    </row>
    <row r="1526" spans="1:13" ht="39.6">
      <c r="A1526" s="21" t="s">
        <v>4194</v>
      </c>
      <c r="B1526" s="21" t="s">
        <v>4197</v>
      </c>
      <c r="C1526" s="21" t="s">
        <v>4195</v>
      </c>
      <c r="D1526" s="21" t="s">
        <v>71</v>
      </c>
      <c r="E1526" s="22" t="s">
        <v>4196</v>
      </c>
      <c r="F1526" s="22" t="s">
        <v>4197</v>
      </c>
      <c r="G1526" s="21" t="s">
        <v>4198</v>
      </c>
      <c r="H1526" s="21" t="s">
        <v>4199</v>
      </c>
      <c r="I1526" s="12" t="s">
        <v>6860</v>
      </c>
      <c r="J1526" s="12" t="s">
        <v>7676</v>
      </c>
      <c r="K1526" s="12" t="s">
        <v>5829</v>
      </c>
      <c r="L1526" s="12" t="s">
        <v>5830</v>
      </c>
      <c r="M1526" s="12" t="s">
        <v>5831</v>
      </c>
    </row>
    <row r="1527" spans="1:13" ht="39.6">
      <c r="A1527" s="21" t="s">
        <v>4194</v>
      </c>
      <c r="B1527" s="21" t="s">
        <v>4197</v>
      </c>
      <c r="C1527" s="21" t="s">
        <v>4195</v>
      </c>
      <c r="D1527" s="21" t="s">
        <v>71</v>
      </c>
      <c r="E1527" s="22" t="s">
        <v>4196</v>
      </c>
      <c r="F1527" s="22" t="s">
        <v>4197</v>
      </c>
      <c r="G1527" s="21" t="s">
        <v>4198</v>
      </c>
      <c r="H1527" s="21" t="s">
        <v>4199</v>
      </c>
      <c r="I1527" s="12" t="s">
        <v>6861</v>
      </c>
      <c r="J1527" s="12" t="s">
        <v>7677</v>
      </c>
      <c r="K1527" s="12" t="s">
        <v>5832</v>
      </c>
      <c r="L1527" s="12" t="s">
        <v>5833</v>
      </c>
      <c r="M1527" s="12" t="s">
        <v>5832</v>
      </c>
    </row>
    <row r="1528" spans="1:13" ht="39.6">
      <c r="A1528" s="21" t="s">
        <v>4194</v>
      </c>
      <c r="B1528" s="21" t="s">
        <v>4197</v>
      </c>
      <c r="C1528" s="21" t="s">
        <v>4195</v>
      </c>
      <c r="D1528" s="21" t="s">
        <v>71</v>
      </c>
      <c r="E1528" s="22" t="s">
        <v>4196</v>
      </c>
      <c r="F1528" s="22" t="s">
        <v>4197</v>
      </c>
      <c r="G1528" s="21" t="s">
        <v>4198</v>
      </c>
      <c r="H1528" s="21" t="s">
        <v>4199</v>
      </c>
      <c r="I1528" s="12" t="s">
        <v>6862</v>
      </c>
      <c r="J1528" s="12" t="s">
        <v>7678</v>
      </c>
      <c r="K1528" s="12" t="s">
        <v>5834</v>
      </c>
      <c r="L1528" s="12" t="s">
        <v>5835</v>
      </c>
      <c r="M1528" s="12" t="s">
        <v>5836</v>
      </c>
    </row>
    <row r="1529" spans="1:13" ht="39.6">
      <c r="A1529" s="21" t="s">
        <v>4194</v>
      </c>
      <c r="B1529" s="21" t="s">
        <v>4197</v>
      </c>
      <c r="C1529" s="21" t="s">
        <v>4195</v>
      </c>
      <c r="D1529" s="21" t="s">
        <v>71</v>
      </c>
      <c r="E1529" s="22" t="s">
        <v>4196</v>
      </c>
      <c r="F1529" s="22" t="s">
        <v>4197</v>
      </c>
      <c r="G1529" s="21" t="s">
        <v>4198</v>
      </c>
      <c r="H1529" s="21" t="s">
        <v>4199</v>
      </c>
      <c r="I1529" s="12" t="s">
        <v>6863</v>
      </c>
      <c r="J1529" s="12" t="s">
        <v>7679</v>
      </c>
      <c r="K1529" s="12"/>
      <c r="L1529" s="12" t="s">
        <v>5837</v>
      </c>
      <c r="M1529" s="12" t="s">
        <v>5838</v>
      </c>
    </row>
    <row r="1530" spans="1:13" ht="92.4">
      <c r="A1530" s="21" t="s">
        <v>4194</v>
      </c>
      <c r="B1530" s="21" t="s">
        <v>4197</v>
      </c>
      <c r="C1530" s="21" t="s">
        <v>4195</v>
      </c>
      <c r="D1530" s="21" t="s">
        <v>71</v>
      </c>
      <c r="E1530" s="22" t="s">
        <v>4196</v>
      </c>
      <c r="F1530" s="22" t="s">
        <v>4197</v>
      </c>
      <c r="G1530" s="21" t="s">
        <v>4198</v>
      </c>
      <c r="H1530" s="21" t="s">
        <v>4199</v>
      </c>
      <c r="I1530" s="12" t="s">
        <v>6864</v>
      </c>
      <c r="J1530" s="12" t="s">
        <v>7680</v>
      </c>
      <c r="K1530" s="12" t="s">
        <v>5839</v>
      </c>
      <c r="L1530" s="12" t="s">
        <v>5840</v>
      </c>
      <c r="M1530" s="12" t="s">
        <v>5841</v>
      </c>
    </row>
    <row r="1531" spans="1:13" ht="39.6">
      <c r="A1531" s="21" t="s">
        <v>4194</v>
      </c>
      <c r="B1531" s="21" t="s">
        <v>4197</v>
      </c>
      <c r="C1531" s="21" t="s">
        <v>4195</v>
      </c>
      <c r="D1531" s="21" t="s">
        <v>71</v>
      </c>
      <c r="E1531" s="22" t="s">
        <v>4196</v>
      </c>
      <c r="F1531" s="22" t="s">
        <v>4197</v>
      </c>
      <c r="G1531" s="21" t="s">
        <v>4198</v>
      </c>
      <c r="H1531" s="21" t="s">
        <v>4199</v>
      </c>
      <c r="I1531" s="12" t="s">
        <v>3575</v>
      </c>
      <c r="J1531" s="12" t="s">
        <v>7681</v>
      </c>
      <c r="K1531" s="12" t="s">
        <v>5842</v>
      </c>
      <c r="L1531" s="12" t="s">
        <v>5843</v>
      </c>
      <c r="M1531" s="12" t="s">
        <v>5842</v>
      </c>
    </row>
    <row r="1532" spans="1:13" ht="66">
      <c r="A1532" s="21" t="s">
        <v>4194</v>
      </c>
      <c r="B1532" s="21" t="s">
        <v>4197</v>
      </c>
      <c r="C1532" s="21" t="s">
        <v>4195</v>
      </c>
      <c r="D1532" s="21" t="s">
        <v>71</v>
      </c>
      <c r="E1532" s="22" t="s">
        <v>4196</v>
      </c>
      <c r="F1532" s="22" t="s">
        <v>4197</v>
      </c>
      <c r="G1532" s="21" t="s">
        <v>4198</v>
      </c>
      <c r="H1532" s="21" t="s">
        <v>4199</v>
      </c>
      <c r="I1532" s="12" t="s">
        <v>6865</v>
      </c>
      <c r="J1532" s="12" t="s">
        <v>7682</v>
      </c>
      <c r="K1532" s="12" t="s">
        <v>5844</v>
      </c>
      <c r="L1532" s="12" t="s">
        <v>5845</v>
      </c>
      <c r="M1532" s="12" t="s">
        <v>5846</v>
      </c>
    </row>
    <row r="1533" spans="1:13" ht="39.6">
      <c r="A1533" s="21" t="s">
        <v>4194</v>
      </c>
      <c r="B1533" s="21" t="s">
        <v>4197</v>
      </c>
      <c r="C1533" s="21" t="s">
        <v>4195</v>
      </c>
      <c r="D1533" s="21" t="s">
        <v>71</v>
      </c>
      <c r="E1533" s="22" t="s">
        <v>4196</v>
      </c>
      <c r="F1533" s="22" t="s">
        <v>4197</v>
      </c>
      <c r="G1533" s="21" t="s">
        <v>4198</v>
      </c>
      <c r="H1533" s="21" t="s">
        <v>4199</v>
      </c>
      <c r="I1533" s="12" t="s">
        <v>6866</v>
      </c>
      <c r="J1533" s="12" t="s">
        <v>7683</v>
      </c>
      <c r="K1533" s="12" t="s">
        <v>5847</v>
      </c>
      <c r="L1533" s="12" t="s">
        <v>5848</v>
      </c>
      <c r="M1533" s="12" t="s">
        <v>5849</v>
      </c>
    </row>
    <row r="1534" spans="1:13" ht="52.8">
      <c r="A1534" s="21" t="s">
        <v>4194</v>
      </c>
      <c r="B1534" s="21" t="s">
        <v>4197</v>
      </c>
      <c r="C1534" s="21" t="s">
        <v>4195</v>
      </c>
      <c r="D1534" s="21" t="s">
        <v>71</v>
      </c>
      <c r="E1534" s="22" t="s">
        <v>4196</v>
      </c>
      <c r="F1534" s="22" t="s">
        <v>4197</v>
      </c>
      <c r="G1534" s="21" t="s">
        <v>4198</v>
      </c>
      <c r="H1534" s="21" t="s">
        <v>4199</v>
      </c>
      <c r="I1534" s="12" t="s">
        <v>5850</v>
      </c>
      <c r="J1534" s="12" t="s">
        <v>7684</v>
      </c>
      <c r="K1534" s="12" t="s">
        <v>5850</v>
      </c>
      <c r="L1534" s="12" t="s">
        <v>5851</v>
      </c>
      <c r="M1534" s="12" t="s">
        <v>5850</v>
      </c>
    </row>
    <row r="1535" spans="1:13" ht="39.6">
      <c r="A1535" s="21" t="s">
        <v>4194</v>
      </c>
      <c r="B1535" s="21" t="s">
        <v>4197</v>
      </c>
      <c r="C1535" s="21" t="s">
        <v>4195</v>
      </c>
      <c r="D1535" s="21" t="s">
        <v>71</v>
      </c>
      <c r="E1535" s="22" t="s">
        <v>4196</v>
      </c>
      <c r="F1535" s="22" t="s">
        <v>4197</v>
      </c>
      <c r="G1535" s="21" t="s">
        <v>4198</v>
      </c>
      <c r="H1535" s="21" t="s">
        <v>4199</v>
      </c>
      <c r="I1535" s="12" t="s">
        <v>6867</v>
      </c>
      <c r="J1535" s="12" t="s">
        <v>7685</v>
      </c>
      <c r="K1535" s="12" t="s">
        <v>5852</v>
      </c>
      <c r="L1535" s="12" t="s">
        <v>5853</v>
      </c>
      <c r="M1535" s="12" t="s">
        <v>5852</v>
      </c>
    </row>
    <row r="1536" spans="1:13" ht="66">
      <c r="A1536" s="21" t="s">
        <v>4194</v>
      </c>
      <c r="B1536" s="21" t="s">
        <v>4197</v>
      </c>
      <c r="C1536" s="21" t="s">
        <v>4195</v>
      </c>
      <c r="D1536" s="21" t="s">
        <v>71</v>
      </c>
      <c r="E1536" s="22" t="s">
        <v>4196</v>
      </c>
      <c r="F1536" s="22" t="s">
        <v>4197</v>
      </c>
      <c r="G1536" s="21" t="s">
        <v>4198</v>
      </c>
      <c r="H1536" s="21" t="s">
        <v>4199</v>
      </c>
      <c r="I1536" s="12" t="s">
        <v>6868</v>
      </c>
      <c r="J1536" s="12" t="s">
        <v>7686</v>
      </c>
      <c r="K1536" s="12" t="s">
        <v>5854</v>
      </c>
      <c r="L1536" s="12" t="s">
        <v>5855</v>
      </c>
      <c r="M1536" s="12" t="s">
        <v>5856</v>
      </c>
    </row>
    <row r="1537" spans="1:13" ht="39.6">
      <c r="A1537" s="21" t="s">
        <v>4194</v>
      </c>
      <c r="B1537" s="21" t="s">
        <v>4197</v>
      </c>
      <c r="C1537" s="21" t="s">
        <v>4195</v>
      </c>
      <c r="D1537" s="21" t="s">
        <v>71</v>
      </c>
      <c r="E1537" s="22" t="s">
        <v>4196</v>
      </c>
      <c r="F1537" s="22" t="s">
        <v>4197</v>
      </c>
      <c r="G1537" s="21" t="s">
        <v>4198</v>
      </c>
      <c r="H1537" s="21" t="s">
        <v>4199</v>
      </c>
      <c r="I1537" s="12" t="s">
        <v>6869</v>
      </c>
      <c r="J1537" s="12" t="s">
        <v>7687</v>
      </c>
      <c r="K1537" s="12"/>
      <c r="L1537" s="12" t="s">
        <v>5857</v>
      </c>
      <c r="M1537" s="12" t="s">
        <v>5858</v>
      </c>
    </row>
    <row r="1538" spans="1:13" ht="39.6">
      <c r="A1538" s="21" t="s">
        <v>4194</v>
      </c>
      <c r="B1538" s="21" t="s">
        <v>4197</v>
      </c>
      <c r="C1538" s="21" t="s">
        <v>4195</v>
      </c>
      <c r="D1538" s="21" t="s">
        <v>71</v>
      </c>
      <c r="E1538" s="22" t="s">
        <v>4196</v>
      </c>
      <c r="F1538" s="22" t="s">
        <v>4197</v>
      </c>
      <c r="G1538" s="21" t="s">
        <v>4198</v>
      </c>
      <c r="H1538" s="21" t="s">
        <v>4199</v>
      </c>
      <c r="I1538" s="12" t="s">
        <v>6870</v>
      </c>
      <c r="J1538" s="12" t="s">
        <v>7688</v>
      </c>
      <c r="K1538" s="12" t="s">
        <v>5859</v>
      </c>
      <c r="L1538" s="12" t="s">
        <v>5860</v>
      </c>
      <c r="M1538" s="12" t="s">
        <v>5861</v>
      </c>
    </row>
    <row r="1539" spans="1:13" ht="52.8">
      <c r="A1539" s="21" t="s">
        <v>4194</v>
      </c>
      <c r="B1539" s="21" t="s">
        <v>4197</v>
      </c>
      <c r="C1539" s="21" t="s">
        <v>4195</v>
      </c>
      <c r="D1539" s="21" t="s">
        <v>71</v>
      </c>
      <c r="E1539" s="22" t="s">
        <v>4196</v>
      </c>
      <c r="F1539" s="22" t="s">
        <v>4197</v>
      </c>
      <c r="G1539" s="21" t="s">
        <v>4198</v>
      </c>
      <c r="H1539" s="21" t="s">
        <v>4199</v>
      </c>
      <c r="I1539" s="12" t="s">
        <v>6871</v>
      </c>
      <c r="J1539" s="12" t="s">
        <v>7689</v>
      </c>
      <c r="K1539" s="12"/>
      <c r="L1539" s="12" t="s">
        <v>5862</v>
      </c>
      <c r="M1539" s="12" t="s">
        <v>5863</v>
      </c>
    </row>
    <row r="1540" spans="1:13" ht="39.6">
      <c r="A1540" s="21" t="s">
        <v>4194</v>
      </c>
      <c r="B1540" s="21" t="s">
        <v>4197</v>
      </c>
      <c r="C1540" s="21" t="s">
        <v>4195</v>
      </c>
      <c r="D1540" s="21" t="s">
        <v>71</v>
      </c>
      <c r="E1540" s="22" t="s">
        <v>4196</v>
      </c>
      <c r="F1540" s="22" t="s">
        <v>4197</v>
      </c>
      <c r="G1540" s="21" t="s">
        <v>4198</v>
      </c>
      <c r="H1540" s="21" t="s">
        <v>4199</v>
      </c>
      <c r="I1540" s="12" t="s">
        <v>6872</v>
      </c>
      <c r="J1540" s="12" t="s">
        <v>7690</v>
      </c>
      <c r="K1540" s="12" t="s">
        <v>5864</v>
      </c>
      <c r="L1540" s="12" t="s">
        <v>5865</v>
      </c>
      <c r="M1540" s="12" t="s">
        <v>5866</v>
      </c>
    </row>
    <row r="1541" spans="1:13" ht="39.6">
      <c r="A1541" s="21" t="s">
        <v>4194</v>
      </c>
      <c r="B1541" s="21" t="s">
        <v>4197</v>
      </c>
      <c r="C1541" s="21" t="s">
        <v>4195</v>
      </c>
      <c r="D1541" s="21" t="s">
        <v>71</v>
      </c>
      <c r="E1541" s="22" t="s">
        <v>4196</v>
      </c>
      <c r="F1541" s="22" t="s">
        <v>4197</v>
      </c>
      <c r="G1541" s="21" t="s">
        <v>4198</v>
      </c>
      <c r="H1541" s="21" t="s">
        <v>4199</v>
      </c>
      <c r="I1541" s="12" t="s">
        <v>6873</v>
      </c>
      <c r="J1541" s="12" t="s">
        <v>7691</v>
      </c>
      <c r="K1541" s="12" t="s">
        <v>5867</v>
      </c>
      <c r="L1541" s="12" t="s">
        <v>5868</v>
      </c>
      <c r="M1541" s="12" t="s">
        <v>5869</v>
      </c>
    </row>
    <row r="1542" spans="1:13" ht="52.8">
      <c r="A1542" s="21" t="s">
        <v>4194</v>
      </c>
      <c r="B1542" s="21" t="s">
        <v>4197</v>
      </c>
      <c r="C1542" s="21" t="s">
        <v>4195</v>
      </c>
      <c r="D1542" s="21" t="s">
        <v>71</v>
      </c>
      <c r="E1542" s="22" t="s">
        <v>4196</v>
      </c>
      <c r="F1542" s="22" t="s">
        <v>4197</v>
      </c>
      <c r="G1542" s="21" t="s">
        <v>4198</v>
      </c>
      <c r="H1542" s="21" t="s">
        <v>4199</v>
      </c>
      <c r="I1542" s="12" t="s">
        <v>6874</v>
      </c>
      <c r="J1542" s="12" t="s">
        <v>7692</v>
      </c>
      <c r="K1542" s="12" t="s">
        <v>5870</v>
      </c>
      <c r="L1542" s="12" t="s">
        <v>5871</v>
      </c>
      <c r="M1542" s="12" t="s">
        <v>5870</v>
      </c>
    </row>
    <row r="1543" spans="1:13" ht="39.6">
      <c r="A1543" s="21" t="s">
        <v>4194</v>
      </c>
      <c r="B1543" s="21" t="s">
        <v>4197</v>
      </c>
      <c r="C1543" s="21" t="s">
        <v>4195</v>
      </c>
      <c r="D1543" s="21" t="s">
        <v>71</v>
      </c>
      <c r="E1543" s="22" t="s">
        <v>4196</v>
      </c>
      <c r="F1543" s="22" t="s">
        <v>4197</v>
      </c>
      <c r="G1543" s="21" t="s">
        <v>4198</v>
      </c>
      <c r="H1543" s="21" t="s">
        <v>4199</v>
      </c>
      <c r="I1543" s="12" t="s">
        <v>6875</v>
      </c>
      <c r="J1543" s="12" t="s">
        <v>7693</v>
      </c>
      <c r="K1543" s="12" t="s">
        <v>5872</v>
      </c>
      <c r="L1543" s="12" t="s">
        <v>5873</v>
      </c>
      <c r="M1543" s="12" t="s">
        <v>5872</v>
      </c>
    </row>
    <row r="1544" spans="1:13" ht="39.6">
      <c r="A1544" s="21" t="s">
        <v>4194</v>
      </c>
      <c r="B1544" s="21" t="s">
        <v>4197</v>
      </c>
      <c r="C1544" s="21" t="s">
        <v>4195</v>
      </c>
      <c r="D1544" s="21" t="s">
        <v>71</v>
      </c>
      <c r="E1544" s="22" t="s">
        <v>4196</v>
      </c>
      <c r="F1544" s="22" t="s">
        <v>4197</v>
      </c>
      <c r="G1544" s="21" t="s">
        <v>4198</v>
      </c>
      <c r="H1544" s="21" t="s">
        <v>4199</v>
      </c>
      <c r="I1544" s="12" t="s">
        <v>6876</v>
      </c>
      <c r="J1544" s="12" t="s">
        <v>7694</v>
      </c>
      <c r="K1544" s="12"/>
      <c r="L1544" s="12" t="s">
        <v>5874</v>
      </c>
      <c r="M1544" s="12" t="s">
        <v>5875</v>
      </c>
    </row>
    <row r="1545" spans="1:13" ht="52.8">
      <c r="A1545" s="21" t="s">
        <v>4194</v>
      </c>
      <c r="B1545" s="21" t="s">
        <v>4197</v>
      </c>
      <c r="C1545" s="21" t="s">
        <v>4195</v>
      </c>
      <c r="D1545" s="21" t="s">
        <v>71</v>
      </c>
      <c r="E1545" s="22" t="s">
        <v>4196</v>
      </c>
      <c r="F1545" s="22" t="s">
        <v>4197</v>
      </c>
      <c r="G1545" s="21" t="s">
        <v>4198</v>
      </c>
      <c r="H1545" s="21" t="s">
        <v>4199</v>
      </c>
      <c r="I1545" s="12" t="s">
        <v>6877</v>
      </c>
      <c r="J1545" s="12" t="s">
        <v>7695</v>
      </c>
      <c r="K1545" s="12" t="s">
        <v>5876</v>
      </c>
      <c r="L1545" s="12" t="s">
        <v>5877</v>
      </c>
      <c r="M1545" s="12" t="s">
        <v>5878</v>
      </c>
    </row>
    <row r="1546" spans="1:13" ht="52.8">
      <c r="A1546" s="21" t="s">
        <v>4194</v>
      </c>
      <c r="B1546" s="21" t="s">
        <v>4197</v>
      </c>
      <c r="C1546" s="21" t="s">
        <v>4195</v>
      </c>
      <c r="D1546" s="21" t="s">
        <v>71</v>
      </c>
      <c r="E1546" s="22" t="s">
        <v>4196</v>
      </c>
      <c r="F1546" s="22" t="s">
        <v>4197</v>
      </c>
      <c r="G1546" s="21" t="s">
        <v>4198</v>
      </c>
      <c r="H1546" s="21" t="s">
        <v>4199</v>
      </c>
      <c r="I1546" s="12" t="s">
        <v>6878</v>
      </c>
      <c r="J1546" s="12" t="s">
        <v>7696</v>
      </c>
      <c r="K1546" s="12" t="s">
        <v>5879</v>
      </c>
      <c r="L1546" s="12" t="s">
        <v>5880</v>
      </c>
      <c r="M1546" s="12" t="s">
        <v>5881</v>
      </c>
    </row>
    <row r="1547" spans="1:13" ht="66">
      <c r="A1547" s="21" t="s">
        <v>4194</v>
      </c>
      <c r="B1547" s="21" t="s">
        <v>4197</v>
      </c>
      <c r="C1547" s="21" t="s">
        <v>4195</v>
      </c>
      <c r="D1547" s="21" t="s">
        <v>71</v>
      </c>
      <c r="E1547" s="22" t="s">
        <v>4196</v>
      </c>
      <c r="F1547" s="22" t="s">
        <v>4197</v>
      </c>
      <c r="G1547" s="21" t="s">
        <v>4198</v>
      </c>
      <c r="H1547" s="21" t="s">
        <v>4199</v>
      </c>
      <c r="I1547" s="12" t="s">
        <v>6879</v>
      </c>
      <c r="J1547" s="12" t="s">
        <v>7697</v>
      </c>
      <c r="K1547" s="12" t="s">
        <v>5882</v>
      </c>
      <c r="L1547" s="12" t="s">
        <v>5883</v>
      </c>
      <c r="M1547" s="12" t="s">
        <v>5884</v>
      </c>
    </row>
    <row r="1548" spans="1:13" ht="39.6">
      <c r="A1548" s="21" t="s">
        <v>4194</v>
      </c>
      <c r="B1548" s="21" t="s">
        <v>4197</v>
      </c>
      <c r="C1548" s="21" t="s">
        <v>4195</v>
      </c>
      <c r="D1548" s="21" t="s">
        <v>71</v>
      </c>
      <c r="E1548" s="22" t="s">
        <v>4196</v>
      </c>
      <c r="F1548" s="22" t="s">
        <v>4197</v>
      </c>
      <c r="G1548" s="21" t="s">
        <v>4198</v>
      </c>
      <c r="H1548" s="21" t="s">
        <v>4199</v>
      </c>
      <c r="I1548" s="12" t="s">
        <v>6880</v>
      </c>
      <c r="J1548" s="12" t="s">
        <v>7698</v>
      </c>
      <c r="K1548" s="12" t="s">
        <v>5885</v>
      </c>
      <c r="L1548" s="12" t="s">
        <v>5886</v>
      </c>
      <c r="M1548" s="12" t="s">
        <v>5885</v>
      </c>
    </row>
    <row r="1549" spans="1:13" ht="66">
      <c r="A1549" s="21" t="s">
        <v>4194</v>
      </c>
      <c r="B1549" s="21" t="s">
        <v>4197</v>
      </c>
      <c r="C1549" s="21" t="s">
        <v>4195</v>
      </c>
      <c r="D1549" s="21" t="s">
        <v>71</v>
      </c>
      <c r="E1549" s="22" t="s">
        <v>4196</v>
      </c>
      <c r="F1549" s="22" t="s">
        <v>4197</v>
      </c>
      <c r="G1549" s="21" t="s">
        <v>4198</v>
      </c>
      <c r="H1549" s="21" t="s">
        <v>4199</v>
      </c>
      <c r="I1549" s="12" t="s">
        <v>5887</v>
      </c>
      <c r="J1549" s="12" t="s">
        <v>7699</v>
      </c>
      <c r="K1549" s="12" t="s">
        <v>5887</v>
      </c>
      <c r="L1549" s="12" t="s">
        <v>5888</v>
      </c>
      <c r="M1549" s="12" t="s">
        <v>5887</v>
      </c>
    </row>
    <row r="1550" spans="1:13" ht="39.6">
      <c r="A1550" s="21" t="s">
        <v>4194</v>
      </c>
      <c r="B1550" s="21" t="s">
        <v>4197</v>
      </c>
      <c r="C1550" s="21" t="s">
        <v>4195</v>
      </c>
      <c r="D1550" s="21" t="s">
        <v>71</v>
      </c>
      <c r="E1550" s="22" t="s">
        <v>4196</v>
      </c>
      <c r="F1550" s="22" t="s">
        <v>4197</v>
      </c>
      <c r="G1550" s="21" t="s">
        <v>4198</v>
      </c>
      <c r="H1550" s="21" t="s">
        <v>4199</v>
      </c>
      <c r="I1550" s="12" t="s">
        <v>3589</v>
      </c>
      <c r="J1550" s="12" t="s">
        <v>7700</v>
      </c>
      <c r="K1550" s="12" t="s">
        <v>5889</v>
      </c>
      <c r="L1550" s="12" t="s">
        <v>5890</v>
      </c>
      <c r="M1550" s="12" t="s">
        <v>5889</v>
      </c>
    </row>
    <row r="1551" spans="1:13" ht="79.2">
      <c r="A1551" s="21" t="s">
        <v>4194</v>
      </c>
      <c r="B1551" s="21" t="s">
        <v>4197</v>
      </c>
      <c r="C1551" s="21" t="s">
        <v>4195</v>
      </c>
      <c r="D1551" s="21" t="s">
        <v>71</v>
      </c>
      <c r="E1551" s="22" t="s">
        <v>4196</v>
      </c>
      <c r="F1551" s="22" t="s">
        <v>4197</v>
      </c>
      <c r="G1551" s="21" t="s">
        <v>4198</v>
      </c>
      <c r="H1551" s="21" t="s">
        <v>4199</v>
      </c>
      <c r="I1551" s="12" t="s">
        <v>6881</v>
      </c>
      <c r="J1551" s="12" t="s">
        <v>7701</v>
      </c>
      <c r="K1551" s="12" t="s">
        <v>5891</v>
      </c>
      <c r="L1551" s="12" t="s">
        <v>5892</v>
      </c>
      <c r="M1551" s="12" t="s">
        <v>5893</v>
      </c>
    </row>
    <row r="1552" spans="1:13" ht="39.6">
      <c r="A1552" s="21" t="s">
        <v>4194</v>
      </c>
      <c r="B1552" s="21" t="s">
        <v>4197</v>
      </c>
      <c r="C1552" s="21" t="s">
        <v>4195</v>
      </c>
      <c r="D1552" s="21" t="s">
        <v>71</v>
      </c>
      <c r="E1552" s="22" t="s">
        <v>4196</v>
      </c>
      <c r="F1552" s="22" t="s">
        <v>4197</v>
      </c>
      <c r="G1552" s="21" t="s">
        <v>4198</v>
      </c>
      <c r="H1552" s="21" t="s">
        <v>4199</v>
      </c>
      <c r="I1552" s="12" t="s">
        <v>6882</v>
      </c>
      <c r="J1552" s="12" t="s">
        <v>7702</v>
      </c>
      <c r="K1552" s="12"/>
      <c r="L1552" s="12" t="s">
        <v>5894</v>
      </c>
      <c r="M1552" s="12" t="s">
        <v>5895</v>
      </c>
    </row>
    <row r="1553" spans="1:13" ht="39.6">
      <c r="A1553" s="21" t="s">
        <v>4194</v>
      </c>
      <c r="B1553" s="21" t="s">
        <v>4197</v>
      </c>
      <c r="C1553" s="21" t="s">
        <v>4195</v>
      </c>
      <c r="D1553" s="21" t="s">
        <v>71</v>
      </c>
      <c r="E1553" s="22" t="s">
        <v>4196</v>
      </c>
      <c r="F1553" s="22" t="s">
        <v>4197</v>
      </c>
      <c r="G1553" s="21" t="s">
        <v>4198</v>
      </c>
      <c r="H1553" s="21" t="s">
        <v>4199</v>
      </c>
      <c r="I1553" s="12" t="s">
        <v>6883</v>
      </c>
      <c r="J1553" s="12" t="s">
        <v>7703</v>
      </c>
      <c r="K1553" s="12"/>
      <c r="L1553" s="12" t="s">
        <v>5896</v>
      </c>
      <c r="M1553" s="12" t="s">
        <v>5897</v>
      </c>
    </row>
    <row r="1554" spans="1:13" ht="39.6">
      <c r="A1554" s="21" t="s">
        <v>4194</v>
      </c>
      <c r="B1554" s="21" t="s">
        <v>4197</v>
      </c>
      <c r="C1554" s="21" t="s">
        <v>4195</v>
      </c>
      <c r="D1554" s="21" t="s">
        <v>71</v>
      </c>
      <c r="E1554" s="22" t="s">
        <v>4196</v>
      </c>
      <c r="F1554" s="22" t="s">
        <v>4197</v>
      </c>
      <c r="G1554" s="21" t="s">
        <v>4198</v>
      </c>
      <c r="H1554" s="21" t="s">
        <v>4199</v>
      </c>
      <c r="I1554" s="12" t="s">
        <v>3593</v>
      </c>
      <c r="J1554" s="12" t="s">
        <v>7704</v>
      </c>
      <c r="K1554" s="12" t="s">
        <v>5898</v>
      </c>
      <c r="L1554" s="12" t="s">
        <v>5899</v>
      </c>
      <c r="M1554" s="12" t="s">
        <v>5898</v>
      </c>
    </row>
    <row r="1555" spans="1:13" ht="39.6">
      <c r="A1555" s="21" t="s">
        <v>4194</v>
      </c>
      <c r="B1555" s="21" t="s">
        <v>4197</v>
      </c>
      <c r="C1555" s="21" t="s">
        <v>4195</v>
      </c>
      <c r="D1555" s="21" t="s">
        <v>71</v>
      </c>
      <c r="E1555" s="22" t="s">
        <v>4196</v>
      </c>
      <c r="F1555" s="22" t="s">
        <v>4197</v>
      </c>
      <c r="G1555" s="21" t="s">
        <v>4198</v>
      </c>
      <c r="H1555" s="21" t="s">
        <v>4199</v>
      </c>
      <c r="I1555" s="12" t="s">
        <v>3594</v>
      </c>
      <c r="J1555" s="12" t="s">
        <v>7705</v>
      </c>
      <c r="K1555" s="12" t="s">
        <v>5900</v>
      </c>
      <c r="L1555" s="12" t="s">
        <v>5901</v>
      </c>
      <c r="M1555" s="12" t="s">
        <v>5900</v>
      </c>
    </row>
    <row r="1556" spans="1:13" ht="145.19999999999999">
      <c r="A1556" s="21" t="s">
        <v>4194</v>
      </c>
      <c r="B1556" s="21" t="s">
        <v>4197</v>
      </c>
      <c r="C1556" s="21" t="s">
        <v>4195</v>
      </c>
      <c r="D1556" s="21" t="s">
        <v>71</v>
      </c>
      <c r="E1556" s="22" t="s">
        <v>4196</v>
      </c>
      <c r="F1556" s="22" t="s">
        <v>4197</v>
      </c>
      <c r="G1556" s="21" t="s">
        <v>4198</v>
      </c>
      <c r="H1556" s="21" t="s">
        <v>4199</v>
      </c>
      <c r="I1556" s="12" t="s">
        <v>6884</v>
      </c>
      <c r="J1556" s="12" t="s">
        <v>7706</v>
      </c>
      <c r="K1556" s="12" t="s">
        <v>5902</v>
      </c>
      <c r="L1556" s="12" t="s">
        <v>5903</v>
      </c>
      <c r="M1556" s="12" t="s">
        <v>5902</v>
      </c>
    </row>
    <row r="1557" spans="1:13" ht="39.6">
      <c r="A1557" s="21" t="s">
        <v>4194</v>
      </c>
      <c r="B1557" s="21" t="s">
        <v>4197</v>
      </c>
      <c r="C1557" s="21" t="s">
        <v>4195</v>
      </c>
      <c r="D1557" s="21" t="s">
        <v>71</v>
      </c>
      <c r="E1557" s="22" t="s">
        <v>4196</v>
      </c>
      <c r="F1557" s="22" t="s">
        <v>4197</v>
      </c>
      <c r="G1557" s="21" t="s">
        <v>4198</v>
      </c>
      <c r="H1557" s="21" t="s">
        <v>4199</v>
      </c>
      <c r="I1557" s="12" t="s">
        <v>6885</v>
      </c>
      <c r="J1557" s="12" t="s">
        <v>7707</v>
      </c>
      <c r="K1557" s="12" t="s">
        <v>5904</v>
      </c>
      <c r="L1557" s="12" t="s">
        <v>5905</v>
      </c>
      <c r="M1557" s="12" t="s">
        <v>5904</v>
      </c>
    </row>
    <row r="1558" spans="1:13" ht="39.6">
      <c r="A1558" s="21" t="s">
        <v>4194</v>
      </c>
      <c r="B1558" s="21" t="s">
        <v>4197</v>
      </c>
      <c r="C1558" s="21" t="s">
        <v>4195</v>
      </c>
      <c r="D1558" s="21" t="s">
        <v>71</v>
      </c>
      <c r="E1558" s="22" t="s">
        <v>4196</v>
      </c>
      <c r="F1558" s="22" t="s">
        <v>4197</v>
      </c>
      <c r="G1558" s="21" t="s">
        <v>4198</v>
      </c>
      <c r="H1558" s="21" t="s">
        <v>4199</v>
      </c>
      <c r="I1558" s="12" t="s">
        <v>3602</v>
      </c>
      <c r="J1558" s="12" t="s">
        <v>7708</v>
      </c>
      <c r="K1558" s="12" t="s">
        <v>5906</v>
      </c>
      <c r="L1558" s="12" t="s">
        <v>5907</v>
      </c>
      <c r="M1558" s="12" t="s">
        <v>5908</v>
      </c>
    </row>
    <row r="1559" spans="1:13" ht="39.6">
      <c r="A1559" s="21" t="s">
        <v>4194</v>
      </c>
      <c r="B1559" s="21" t="s">
        <v>4197</v>
      </c>
      <c r="C1559" s="21" t="s">
        <v>4195</v>
      </c>
      <c r="D1559" s="21" t="s">
        <v>71</v>
      </c>
      <c r="E1559" s="22" t="s">
        <v>4196</v>
      </c>
      <c r="F1559" s="22" t="s">
        <v>4197</v>
      </c>
      <c r="G1559" s="21" t="s">
        <v>4198</v>
      </c>
      <c r="H1559" s="21" t="s">
        <v>4199</v>
      </c>
      <c r="I1559" s="12" t="s">
        <v>3625</v>
      </c>
      <c r="J1559" s="12" t="s">
        <v>7709</v>
      </c>
      <c r="K1559" s="12" t="s">
        <v>5909</v>
      </c>
      <c r="L1559" s="12" t="s">
        <v>5910</v>
      </c>
      <c r="M1559" s="12" t="s">
        <v>5909</v>
      </c>
    </row>
    <row r="1560" spans="1:13" ht="39.6">
      <c r="A1560" s="21" t="s">
        <v>4194</v>
      </c>
      <c r="B1560" s="21" t="s">
        <v>4197</v>
      </c>
      <c r="C1560" s="21" t="s">
        <v>4195</v>
      </c>
      <c r="D1560" s="21" t="s">
        <v>71</v>
      </c>
      <c r="E1560" s="22" t="s">
        <v>4196</v>
      </c>
      <c r="F1560" s="22" t="s">
        <v>4197</v>
      </c>
      <c r="G1560" s="21" t="s">
        <v>4198</v>
      </c>
      <c r="H1560" s="21" t="s">
        <v>4199</v>
      </c>
      <c r="I1560" s="12" t="s">
        <v>6886</v>
      </c>
      <c r="J1560" s="12" t="s">
        <v>7710</v>
      </c>
      <c r="K1560" s="12" t="s">
        <v>5911</v>
      </c>
      <c r="L1560" s="12" t="s">
        <v>5912</v>
      </c>
      <c r="M1560" s="12" t="s">
        <v>5911</v>
      </c>
    </row>
    <row r="1561" spans="1:13" ht="39.6">
      <c r="A1561" s="21" t="s">
        <v>4194</v>
      </c>
      <c r="B1561" s="21" t="s">
        <v>4197</v>
      </c>
      <c r="C1561" s="21" t="s">
        <v>4195</v>
      </c>
      <c r="D1561" s="21" t="s">
        <v>71</v>
      </c>
      <c r="E1561" s="22" t="s">
        <v>4196</v>
      </c>
      <c r="F1561" s="22" t="s">
        <v>4197</v>
      </c>
      <c r="G1561" s="21" t="s">
        <v>4198</v>
      </c>
      <c r="H1561" s="21" t="s">
        <v>4199</v>
      </c>
      <c r="I1561" s="12" t="s">
        <v>6887</v>
      </c>
      <c r="J1561" s="12" t="s">
        <v>7711</v>
      </c>
      <c r="K1561" s="12" t="s">
        <v>5913</v>
      </c>
      <c r="L1561" s="12" t="s">
        <v>5914</v>
      </c>
      <c r="M1561" s="12" t="s">
        <v>5913</v>
      </c>
    </row>
    <row r="1562" spans="1:13" ht="79.2">
      <c r="A1562" s="21" t="s">
        <v>4194</v>
      </c>
      <c r="B1562" s="21" t="s">
        <v>4197</v>
      </c>
      <c r="C1562" s="21" t="s">
        <v>4195</v>
      </c>
      <c r="D1562" s="21" t="s">
        <v>71</v>
      </c>
      <c r="E1562" s="22" t="s">
        <v>4196</v>
      </c>
      <c r="F1562" s="22" t="s">
        <v>4197</v>
      </c>
      <c r="G1562" s="21" t="s">
        <v>4198</v>
      </c>
      <c r="H1562" s="21" t="s">
        <v>4199</v>
      </c>
      <c r="I1562" s="12" t="s">
        <v>5915</v>
      </c>
      <c r="J1562" s="12" t="s">
        <v>7712</v>
      </c>
      <c r="K1562" s="12" t="s">
        <v>5915</v>
      </c>
      <c r="L1562" s="12" t="s">
        <v>5916</v>
      </c>
      <c r="M1562" s="12" t="s">
        <v>5915</v>
      </c>
    </row>
    <row r="1563" spans="1:13" ht="39.6">
      <c r="A1563" s="21" t="s">
        <v>4194</v>
      </c>
      <c r="B1563" s="21" t="s">
        <v>4197</v>
      </c>
      <c r="C1563" s="21" t="s">
        <v>4195</v>
      </c>
      <c r="D1563" s="21" t="s">
        <v>71</v>
      </c>
      <c r="E1563" s="22" t="s">
        <v>4196</v>
      </c>
      <c r="F1563" s="22" t="s">
        <v>4197</v>
      </c>
      <c r="G1563" s="21" t="s">
        <v>4198</v>
      </c>
      <c r="H1563" s="21" t="s">
        <v>4199</v>
      </c>
      <c r="I1563" s="12" t="s">
        <v>6888</v>
      </c>
      <c r="J1563" s="12" t="s">
        <v>7713</v>
      </c>
      <c r="K1563" s="12"/>
      <c r="L1563" s="12" t="s">
        <v>5917</v>
      </c>
      <c r="M1563" s="12" t="s">
        <v>5918</v>
      </c>
    </row>
    <row r="1564" spans="1:13" ht="39.6">
      <c r="A1564" s="21" t="s">
        <v>4194</v>
      </c>
      <c r="B1564" s="21" t="s">
        <v>4197</v>
      </c>
      <c r="C1564" s="21" t="s">
        <v>4195</v>
      </c>
      <c r="D1564" s="21" t="s">
        <v>71</v>
      </c>
      <c r="E1564" s="22" t="s">
        <v>4196</v>
      </c>
      <c r="F1564" s="22" t="s">
        <v>4197</v>
      </c>
      <c r="G1564" s="21" t="s">
        <v>4198</v>
      </c>
      <c r="H1564" s="21" t="s">
        <v>4199</v>
      </c>
      <c r="I1564" s="12" t="s">
        <v>6889</v>
      </c>
      <c r="J1564" s="12" t="s">
        <v>7714</v>
      </c>
      <c r="K1564" s="12"/>
      <c r="L1564" s="12" t="s">
        <v>5919</v>
      </c>
      <c r="M1564" s="12" t="s">
        <v>5920</v>
      </c>
    </row>
    <row r="1565" spans="1:13" ht="52.8">
      <c r="A1565" s="21" t="s">
        <v>4194</v>
      </c>
      <c r="B1565" s="21" t="s">
        <v>4197</v>
      </c>
      <c r="C1565" s="21" t="s">
        <v>4195</v>
      </c>
      <c r="D1565" s="21" t="s">
        <v>71</v>
      </c>
      <c r="E1565" s="22" t="s">
        <v>4196</v>
      </c>
      <c r="F1565" s="22" t="s">
        <v>4197</v>
      </c>
      <c r="G1565" s="21" t="s">
        <v>4198</v>
      </c>
      <c r="H1565" s="21" t="s">
        <v>4199</v>
      </c>
      <c r="I1565" s="12" t="s">
        <v>6890</v>
      </c>
      <c r="J1565" s="12" t="s">
        <v>7715</v>
      </c>
      <c r="K1565" s="12" t="s">
        <v>5921</v>
      </c>
      <c r="L1565" s="12" t="s">
        <v>5922</v>
      </c>
      <c r="M1565" s="12" t="s">
        <v>5923</v>
      </c>
    </row>
    <row r="1566" spans="1:13" ht="52.8">
      <c r="A1566" s="21" t="s">
        <v>4194</v>
      </c>
      <c r="B1566" s="21" t="s">
        <v>4197</v>
      </c>
      <c r="C1566" s="21" t="s">
        <v>4195</v>
      </c>
      <c r="D1566" s="21" t="s">
        <v>71</v>
      </c>
      <c r="E1566" s="22" t="s">
        <v>4196</v>
      </c>
      <c r="F1566" s="22" t="s">
        <v>4197</v>
      </c>
      <c r="G1566" s="21" t="s">
        <v>4198</v>
      </c>
      <c r="H1566" s="21" t="s">
        <v>4199</v>
      </c>
      <c r="I1566" s="12" t="s">
        <v>5924</v>
      </c>
      <c r="J1566" s="12" t="s">
        <v>7716</v>
      </c>
      <c r="K1566" s="12" t="s">
        <v>5924</v>
      </c>
      <c r="L1566" s="12" t="s">
        <v>5925</v>
      </c>
      <c r="M1566" s="12" t="s">
        <v>5924</v>
      </c>
    </row>
    <row r="1567" spans="1:13" ht="39.6">
      <c r="A1567" s="21" t="s">
        <v>4194</v>
      </c>
      <c r="B1567" s="21" t="s">
        <v>4197</v>
      </c>
      <c r="C1567" s="21" t="s">
        <v>4195</v>
      </c>
      <c r="D1567" s="21" t="s">
        <v>71</v>
      </c>
      <c r="E1567" s="22" t="s">
        <v>4196</v>
      </c>
      <c r="F1567" s="22" t="s">
        <v>4197</v>
      </c>
      <c r="G1567" s="21" t="s">
        <v>4198</v>
      </c>
      <c r="H1567" s="21" t="s">
        <v>4199</v>
      </c>
      <c r="I1567" s="12" t="s">
        <v>6891</v>
      </c>
      <c r="J1567" s="12" t="s">
        <v>7717</v>
      </c>
      <c r="K1567" s="12" t="s">
        <v>5926</v>
      </c>
      <c r="L1567" s="12" t="s">
        <v>5927</v>
      </c>
      <c r="M1567" s="12" t="s">
        <v>5926</v>
      </c>
    </row>
    <row r="1568" spans="1:13" ht="39.6">
      <c r="A1568" s="21" t="s">
        <v>4194</v>
      </c>
      <c r="B1568" s="21" t="s">
        <v>4197</v>
      </c>
      <c r="C1568" s="21" t="s">
        <v>4195</v>
      </c>
      <c r="D1568" s="21" t="s">
        <v>71</v>
      </c>
      <c r="E1568" s="22" t="s">
        <v>4196</v>
      </c>
      <c r="F1568" s="22" t="s">
        <v>4197</v>
      </c>
      <c r="G1568" s="21" t="s">
        <v>4198</v>
      </c>
      <c r="H1568" s="21" t="s">
        <v>4199</v>
      </c>
      <c r="I1568" s="12" t="s">
        <v>6892</v>
      </c>
      <c r="J1568" s="12" t="s">
        <v>7718</v>
      </c>
      <c r="K1568" s="12"/>
      <c r="L1568" s="12" t="s">
        <v>5928</v>
      </c>
      <c r="M1568" s="12" t="s">
        <v>5929</v>
      </c>
    </row>
    <row r="1569" spans="1:13" ht="39.6">
      <c r="A1569" s="21" t="s">
        <v>4194</v>
      </c>
      <c r="B1569" s="21" t="s">
        <v>4197</v>
      </c>
      <c r="C1569" s="21" t="s">
        <v>4195</v>
      </c>
      <c r="D1569" s="21" t="s">
        <v>71</v>
      </c>
      <c r="E1569" s="22" t="s">
        <v>4196</v>
      </c>
      <c r="F1569" s="22" t="s">
        <v>4197</v>
      </c>
      <c r="G1569" s="21" t="s">
        <v>4198</v>
      </c>
      <c r="H1569" s="21" t="s">
        <v>4199</v>
      </c>
      <c r="I1569" s="12" t="s">
        <v>6893</v>
      </c>
      <c r="J1569" s="12" t="s">
        <v>7719</v>
      </c>
      <c r="K1569" s="12"/>
      <c r="L1569" s="12" t="s">
        <v>5930</v>
      </c>
      <c r="M1569" s="12" t="s">
        <v>5931</v>
      </c>
    </row>
    <row r="1570" spans="1:13" ht="39.6">
      <c r="A1570" s="21" t="s">
        <v>4194</v>
      </c>
      <c r="B1570" s="21" t="s">
        <v>4197</v>
      </c>
      <c r="C1570" s="21" t="s">
        <v>4195</v>
      </c>
      <c r="D1570" s="21" t="s">
        <v>71</v>
      </c>
      <c r="E1570" s="22" t="s">
        <v>4196</v>
      </c>
      <c r="F1570" s="22" t="s">
        <v>4197</v>
      </c>
      <c r="G1570" s="21" t="s">
        <v>4198</v>
      </c>
      <c r="H1570" s="21" t="s">
        <v>4199</v>
      </c>
      <c r="I1570" s="12" t="s">
        <v>3628</v>
      </c>
      <c r="J1570" s="12" t="s">
        <v>7720</v>
      </c>
      <c r="K1570" s="12" t="s">
        <v>5932</v>
      </c>
      <c r="L1570" s="12" t="s">
        <v>5933</v>
      </c>
      <c r="M1570" s="12" t="s">
        <v>5932</v>
      </c>
    </row>
    <row r="1571" spans="1:13" ht="39.6">
      <c r="A1571" s="21" t="s">
        <v>4194</v>
      </c>
      <c r="B1571" s="21" t="s">
        <v>4197</v>
      </c>
      <c r="C1571" s="21" t="s">
        <v>4195</v>
      </c>
      <c r="D1571" s="21" t="s">
        <v>71</v>
      </c>
      <c r="E1571" s="22" t="s">
        <v>4196</v>
      </c>
      <c r="F1571" s="22" t="s">
        <v>4197</v>
      </c>
      <c r="G1571" s="21" t="s">
        <v>4198</v>
      </c>
      <c r="H1571" s="21" t="s">
        <v>4199</v>
      </c>
      <c r="I1571" s="12" t="s">
        <v>6894</v>
      </c>
      <c r="J1571" s="12" t="s">
        <v>7721</v>
      </c>
      <c r="K1571" s="12" t="s">
        <v>5934</v>
      </c>
      <c r="L1571" s="12" t="s">
        <v>5935</v>
      </c>
      <c r="M1571" s="12" t="s">
        <v>5936</v>
      </c>
    </row>
    <row r="1572" spans="1:13" ht="39.6">
      <c r="A1572" s="21" t="s">
        <v>4194</v>
      </c>
      <c r="B1572" s="21" t="s">
        <v>4197</v>
      </c>
      <c r="C1572" s="21" t="s">
        <v>4195</v>
      </c>
      <c r="D1572" s="21" t="s">
        <v>71</v>
      </c>
      <c r="E1572" s="22" t="s">
        <v>4196</v>
      </c>
      <c r="F1572" s="22" t="s">
        <v>4197</v>
      </c>
      <c r="G1572" s="21" t="s">
        <v>4198</v>
      </c>
      <c r="H1572" s="21" t="s">
        <v>4199</v>
      </c>
      <c r="I1572" s="12" t="s">
        <v>6895</v>
      </c>
      <c r="J1572" s="12" t="s">
        <v>7722</v>
      </c>
      <c r="K1572" s="12" t="s">
        <v>5937</v>
      </c>
      <c r="L1572" s="12" t="s">
        <v>5938</v>
      </c>
      <c r="M1572" s="12" t="s">
        <v>5937</v>
      </c>
    </row>
    <row r="1573" spans="1:13" ht="39.6">
      <c r="A1573" s="21" t="s">
        <v>4194</v>
      </c>
      <c r="B1573" s="21" t="s">
        <v>4197</v>
      </c>
      <c r="C1573" s="21" t="s">
        <v>4195</v>
      </c>
      <c r="D1573" s="21" t="s">
        <v>71</v>
      </c>
      <c r="E1573" s="22" t="s">
        <v>4196</v>
      </c>
      <c r="F1573" s="22" t="s">
        <v>4197</v>
      </c>
      <c r="G1573" s="21" t="s">
        <v>4198</v>
      </c>
      <c r="H1573" s="21" t="s">
        <v>4199</v>
      </c>
      <c r="I1573" s="12" t="s">
        <v>6896</v>
      </c>
      <c r="J1573" s="12" t="s">
        <v>7723</v>
      </c>
      <c r="K1573" s="12" t="s">
        <v>5939</v>
      </c>
      <c r="L1573" s="12" t="s">
        <v>5940</v>
      </c>
      <c r="M1573" s="12" t="s">
        <v>5939</v>
      </c>
    </row>
    <row r="1574" spans="1:13" ht="52.8">
      <c r="A1574" s="21" t="s">
        <v>4194</v>
      </c>
      <c r="B1574" s="21" t="s">
        <v>4197</v>
      </c>
      <c r="C1574" s="21" t="s">
        <v>4195</v>
      </c>
      <c r="D1574" s="21" t="s">
        <v>71</v>
      </c>
      <c r="E1574" s="22" t="s">
        <v>4196</v>
      </c>
      <c r="F1574" s="22" t="s">
        <v>4197</v>
      </c>
      <c r="G1574" s="21" t="s">
        <v>4198</v>
      </c>
      <c r="H1574" s="21" t="s">
        <v>4199</v>
      </c>
      <c r="I1574" s="12" t="s">
        <v>6897</v>
      </c>
      <c r="J1574" s="12" t="s">
        <v>7724</v>
      </c>
      <c r="K1574" s="12" t="s">
        <v>5941</v>
      </c>
      <c r="L1574" s="12" t="s">
        <v>5942</v>
      </c>
      <c r="M1574" s="12" t="s">
        <v>5941</v>
      </c>
    </row>
    <row r="1575" spans="1:13" ht="39.6">
      <c r="A1575" s="21" t="s">
        <v>4194</v>
      </c>
      <c r="B1575" s="21" t="s">
        <v>4197</v>
      </c>
      <c r="C1575" s="21" t="s">
        <v>4195</v>
      </c>
      <c r="D1575" s="21" t="s">
        <v>71</v>
      </c>
      <c r="E1575" s="22" t="s">
        <v>4196</v>
      </c>
      <c r="F1575" s="22" t="s">
        <v>4197</v>
      </c>
      <c r="G1575" s="21" t="s">
        <v>4198</v>
      </c>
      <c r="H1575" s="21" t="s">
        <v>4199</v>
      </c>
      <c r="I1575" s="12" t="s">
        <v>6898</v>
      </c>
      <c r="J1575" s="12" t="s">
        <v>7725</v>
      </c>
      <c r="K1575" s="12" t="s">
        <v>5943</v>
      </c>
      <c r="L1575" s="12" t="s">
        <v>5944</v>
      </c>
      <c r="M1575" s="12" t="s">
        <v>5943</v>
      </c>
    </row>
    <row r="1576" spans="1:13" ht="39.6">
      <c r="A1576" s="21" t="s">
        <v>4194</v>
      </c>
      <c r="B1576" s="21" t="s">
        <v>4197</v>
      </c>
      <c r="C1576" s="21" t="s">
        <v>4195</v>
      </c>
      <c r="D1576" s="21" t="s">
        <v>71</v>
      </c>
      <c r="E1576" s="22" t="s">
        <v>4196</v>
      </c>
      <c r="F1576" s="22" t="s">
        <v>4197</v>
      </c>
      <c r="G1576" s="21" t="s">
        <v>4198</v>
      </c>
      <c r="H1576" s="21" t="s">
        <v>4199</v>
      </c>
      <c r="I1576" s="12" t="s">
        <v>6899</v>
      </c>
      <c r="J1576" s="12" t="s">
        <v>7726</v>
      </c>
      <c r="K1576" s="12" t="s">
        <v>5945</v>
      </c>
      <c r="L1576" s="12" t="s">
        <v>5946</v>
      </c>
      <c r="M1576" s="12" t="s">
        <v>5945</v>
      </c>
    </row>
    <row r="1577" spans="1:13" ht="39.6">
      <c r="A1577" s="21" t="s">
        <v>4194</v>
      </c>
      <c r="B1577" s="21" t="s">
        <v>4197</v>
      </c>
      <c r="C1577" s="21" t="s">
        <v>4195</v>
      </c>
      <c r="D1577" s="21" t="s">
        <v>71</v>
      </c>
      <c r="E1577" s="22" t="s">
        <v>4196</v>
      </c>
      <c r="F1577" s="22" t="s">
        <v>4197</v>
      </c>
      <c r="G1577" s="21" t="s">
        <v>4198</v>
      </c>
      <c r="H1577" s="21" t="s">
        <v>4199</v>
      </c>
      <c r="I1577" s="12" t="s">
        <v>346</v>
      </c>
      <c r="J1577" s="12" t="s">
        <v>7727</v>
      </c>
      <c r="K1577" s="12" t="s">
        <v>4197</v>
      </c>
      <c r="L1577" s="12" t="s">
        <v>5947</v>
      </c>
      <c r="M1577" s="12" t="s">
        <v>4197</v>
      </c>
    </row>
    <row r="1578" spans="1:13" ht="52.8">
      <c r="A1578" s="21" t="s">
        <v>4194</v>
      </c>
      <c r="B1578" s="21" t="s">
        <v>4197</v>
      </c>
      <c r="C1578" s="21" t="s">
        <v>4195</v>
      </c>
      <c r="D1578" s="21" t="s">
        <v>71</v>
      </c>
      <c r="E1578" s="22" t="s">
        <v>4196</v>
      </c>
      <c r="F1578" s="22" t="s">
        <v>4197</v>
      </c>
      <c r="G1578" s="21" t="s">
        <v>4198</v>
      </c>
      <c r="H1578" s="21" t="s">
        <v>4199</v>
      </c>
      <c r="I1578" s="12" t="s">
        <v>6900</v>
      </c>
      <c r="J1578" s="12" t="s">
        <v>7728</v>
      </c>
      <c r="K1578" s="12" t="s">
        <v>5948</v>
      </c>
      <c r="L1578" s="12" t="s">
        <v>5949</v>
      </c>
      <c r="M1578" s="12" t="s">
        <v>5950</v>
      </c>
    </row>
    <row r="1579" spans="1:13" ht="39.6">
      <c r="A1579" s="21" t="s">
        <v>4194</v>
      </c>
      <c r="B1579" s="21" t="s">
        <v>4197</v>
      </c>
      <c r="C1579" s="21" t="s">
        <v>4195</v>
      </c>
      <c r="D1579" s="21" t="s">
        <v>71</v>
      </c>
      <c r="E1579" s="22" t="s">
        <v>4196</v>
      </c>
      <c r="F1579" s="22" t="s">
        <v>4197</v>
      </c>
      <c r="G1579" s="21" t="s">
        <v>4198</v>
      </c>
      <c r="H1579" s="21" t="s">
        <v>4199</v>
      </c>
      <c r="I1579" s="12" t="s">
        <v>6901</v>
      </c>
      <c r="J1579" s="12" t="s">
        <v>7729</v>
      </c>
      <c r="K1579" s="12"/>
      <c r="L1579" s="12" t="s">
        <v>5951</v>
      </c>
      <c r="M1579" s="12" t="s">
        <v>5952</v>
      </c>
    </row>
    <row r="1580" spans="1:13" ht="39.6">
      <c r="A1580" s="21" t="s">
        <v>4194</v>
      </c>
      <c r="B1580" s="21" t="s">
        <v>4197</v>
      </c>
      <c r="C1580" s="21" t="s">
        <v>4195</v>
      </c>
      <c r="D1580" s="21" t="s">
        <v>71</v>
      </c>
      <c r="E1580" s="22" t="s">
        <v>4196</v>
      </c>
      <c r="F1580" s="22" t="s">
        <v>4197</v>
      </c>
      <c r="G1580" s="21" t="s">
        <v>4198</v>
      </c>
      <c r="H1580" s="21" t="s">
        <v>4199</v>
      </c>
      <c r="I1580" s="12" t="s">
        <v>6902</v>
      </c>
      <c r="J1580" s="12" t="s">
        <v>7730</v>
      </c>
      <c r="K1580" s="12" t="s">
        <v>5953</v>
      </c>
      <c r="L1580" s="12" t="s">
        <v>5954</v>
      </c>
      <c r="M1580" s="12" t="s">
        <v>5953</v>
      </c>
    </row>
    <row r="1581" spans="1:13" ht="39.6">
      <c r="A1581" s="21" t="s">
        <v>4194</v>
      </c>
      <c r="B1581" s="21" t="s">
        <v>4197</v>
      </c>
      <c r="C1581" s="21" t="s">
        <v>4195</v>
      </c>
      <c r="D1581" s="21" t="s">
        <v>71</v>
      </c>
      <c r="E1581" s="22" t="s">
        <v>4196</v>
      </c>
      <c r="F1581" s="22" t="s">
        <v>4197</v>
      </c>
      <c r="G1581" s="21" t="s">
        <v>4198</v>
      </c>
      <c r="H1581" s="21" t="s">
        <v>4199</v>
      </c>
      <c r="I1581" s="12" t="s">
        <v>6903</v>
      </c>
      <c r="J1581" s="12" t="s">
        <v>7731</v>
      </c>
      <c r="K1581" s="12" t="s">
        <v>5955</v>
      </c>
      <c r="L1581" s="12" t="s">
        <v>5956</v>
      </c>
      <c r="M1581" s="12" t="s">
        <v>5957</v>
      </c>
    </row>
    <row r="1582" spans="1:13" ht="39.6">
      <c r="A1582" s="21" t="s">
        <v>4194</v>
      </c>
      <c r="B1582" s="21" t="s">
        <v>4197</v>
      </c>
      <c r="C1582" s="21" t="s">
        <v>4195</v>
      </c>
      <c r="D1582" s="21" t="s">
        <v>71</v>
      </c>
      <c r="E1582" s="22" t="s">
        <v>4196</v>
      </c>
      <c r="F1582" s="22" t="s">
        <v>4197</v>
      </c>
      <c r="G1582" s="21" t="s">
        <v>4198</v>
      </c>
      <c r="H1582" s="21" t="s">
        <v>4199</v>
      </c>
      <c r="I1582" s="12" t="s">
        <v>6904</v>
      </c>
      <c r="J1582" s="12" t="s">
        <v>7732</v>
      </c>
      <c r="K1582" s="12" t="s">
        <v>5958</v>
      </c>
      <c r="L1582" s="12" t="s">
        <v>5959</v>
      </c>
      <c r="M1582" s="12" t="s">
        <v>5960</v>
      </c>
    </row>
    <row r="1583" spans="1:13" ht="39.6">
      <c r="A1583" s="21" t="s">
        <v>4194</v>
      </c>
      <c r="B1583" s="21" t="s">
        <v>4197</v>
      </c>
      <c r="C1583" s="21" t="s">
        <v>4195</v>
      </c>
      <c r="D1583" s="21" t="s">
        <v>71</v>
      </c>
      <c r="E1583" s="22" t="s">
        <v>4196</v>
      </c>
      <c r="F1583" s="22" t="s">
        <v>4197</v>
      </c>
      <c r="G1583" s="21" t="s">
        <v>4198</v>
      </c>
      <c r="H1583" s="21" t="s">
        <v>4199</v>
      </c>
      <c r="I1583" s="12" t="s">
        <v>6905</v>
      </c>
      <c r="J1583" s="12" t="s">
        <v>7733</v>
      </c>
      <c r="K1583" s="12"/>
      <c r="L1583" s="12" t="s">
        <v>5961</v>
      </c>
      <c r="M1583" s="12" t="s">
        <v>5962</v>
      </c>
    </row>
    <row r="1584" spans="1:13" ht="39.6">
      <c r="A1584" s="21" t="s">
        <v>4194</v>
      </c>
      <c r="B1584" s="21" t="s">
        <v>4197</v>
      </c>
      <c r="C1584" s="21" t="s">
        <v>4195</v>
      </c>
      <c r="D1584" s="21" t="s">
        <v>71</v>
      </c>
      <c r="E1584" s="22" t="s">
        <v>4196</v>
      </c>
      <c r="F1584" s="22" t="s">
        <v>4197</v>
      </c>
      <c r="G1584" s="21" t="s">
        <v>4198</v>
      </c>
      <c r="H1584" s="21" t="s">
        <v>4199</v>
      </c>
      <c r="I1584" s="12" t="s">
        <v>6906</v>
      </c>
      <c r="J1584" s="12" t="s">
        <v>7734</v>
      </c>
      <c r="K1584" s="12" t="s">
        <v>5963</v>
      </c>
      <c r="L1584" s="12" t="s">
        <v>5964</v>
      </c>
      <c r="M1584" s="12" t="s">
        <v>5963</v>
      </c>
    </row>
    <row r="1585" spans="1:13" ht="39.6">
      <c r="A1585" s="21" t="s">
        <v>4194</v>
      </c>
      <c r="B1585" s="21" t="s">
        <v>4197</v>
      </c>
      <c r="C1585" s="21" t="s">
        <v>4195</v>
      </c>
      <c r="D1585" s="21" t="s">
        <v>71</v>
      </c>
      <c r="E1585" s="22" t="s">
        <v>4196</v>
      </c>
      <c r="F1585" s="22" t="s">
        <v>4197</v>
      </c>
      <c r="G1585" s="21" t="s">
        <v>4198</v>
      </c>
      <c r="H1585" s="21" t="s">
        <v>4199</v>
      </c>
      <c r="I1585" s="12" t="s">
        <v>6907</v>
      </c>
      <c r="J1585" s="12" t="s">
        <v>7735</v>
      </c>
      <c r="K1585" s="12" t="s">
        <v>5965</v>
      </c>
      <c r="L1585" s="12" t="s">
        <v>5966</v>
      </c>
      <c r="M1585" s="12" t="s">
        <v>5965</v>
      </c>
    </row>
    <row r="1586" spans="1:13" ht="39.6">
      <c r="A1586" s="21" t="s">
        <v>4194</v>
      </c>
      <c r="B1586" s="21" t="s">
        <v>4197</v>
      </c>
      <c r="C1586" s="21" t="s">
        <v>4195</v>
      </c>
      <c r="D1586" s="21" t="s">
        <v>71</v>
      </c>
      <c r="E1586" s="22" t="s">
        <v>4196</v>
      </c>
      <c r="F1586" s="22" t="s">
        <v>4197</v>
      </c>
      <c r="G1586" s="21" t="s">
        <v>4198</v>
      </c>
      <c r="H1586" s="21" t="s">
        <v>4199</v>
      </c>
      <c r="I1586" s="12" t="s">
        <v>6908</v>
      </c>
      <c r="J1586" s="12" t="s">
        <v>7736</v>
      </c>
      <c r="K1586" s="12" t="s">
        <v>5967</v>
      </c>
      <c r="L1586" s="12" t="s">
        <v>5968</v>
      </c>
      <c r="M1586" s="12" t="s">
        <v>5967</v>
      </c>
    </row>
    <row r="1587" spans="1:13" ht="39.6">
      <c r="A1587" s="21" t="s">
        <v>4194</v>
      </c>
      <c r="B1587" s="21" t="s">
        <v>4197</v>
      </c>
      <c r="C1587" s="21" t="s">
        <v>4195</v>
      </c>
      <c r="D1587" s="21" t="s">
        <v>71</v>
      </c>
      <c r="E1587" s="22" t="s">
        <v>4196</v>
      </c>
      <c r="F1587" s="22" t="s">
        <v>4197</v>
      </c>
      <c r="G1587" s="21" t="s">
        <v>4198</v>
      </c>
      <c r="H1587" s="21" t="s">
        <v>4199</v>
      </c>
      <c r="I1587" s="12" t="s">
        <v>6909</v>
      </c>
      <c r="J1587" s="12" t="s">
        <v>7737</v>
      </c>
      <c r="K1587" s="12" t="s">
        <v>5969</v>
      </c>
      <c r="L1587" s="12" t="s">
        <v>5970</v>
      </c>
      <c r="M1587" s="12" t="s">
        <v>5969</v>
      </c>
    </row>
    <row r="1588" spans="1:13" ht="39.6">
      <c r="A1588" s="21" t="s">
        <v>4194</v>
      </c>
      <c r="B1588" s="21" t="s">
        <v>4197</v>
      </c>
      <c r="C1588" s="21" t="s">
        <v>4195</v>
      </c>
      <c r="D1588" s="21" t="s">
        <v>71</v>
      </c>
      <c r="E1588" s="22" t="s">
        <v>4196</v>
      </c>
      <c r="F1588" s="22" t="s">
        <v>4197</v>
      </c>
      <c r="G1588" s="21" t="s">
        <v>4198</v>
      </c>
      <c r="H1588" s="21" t="s">
        <v>4199</v>
      </c>
      <c r="I1588" s="12" t="s">
        <v>6910</v>
      </c>
      <c r="J1588" s="12" t="s">
        <v>7738</v>
      </c>
      <c r="K1588" s="12" t="s">
        <v>5971</v>
      </c>
      <c r="L1588" s="12" t="s">
        <v>5972</v>
      </c>
      <c r="M1588" s="12" t="s">
        <v>5973</v>
      </c>
    </row>
    <row r="1589" spans="1:13" ht="52.8">
      <c r="A1589" s="21" t="s">
        <v>4194</v>
      </c>
      <c r="B1589" s="21" t="s">
        <v>4197</v>
      </c>
      <c r="C1589" s="21" t="s">
        <v>4195</v>
      </c>
      <c r="D1589" s="21" t="s">
        <v>71</v>
      </c>
      <c r="E1589" s="22" t="s">
        <v>4196</v>
      </c>
      <c r="F1589" s="22" t="s">
        <v>4197</v>
      </c>
      <c r="G1589" s="21" t="s">
        <v>4198</v>
      </c>
      <c r="H1589" s="21" t="s">
        <v>4199</v>
      </c>
      <c r="I1589" s="12" t="s">
        <v>6911</v>
      </c>
      <c r="J1589" s="12" t="s">
        <v>7739</v>
      </c>
      <c r="K1589" s="12" t="s">
        <v>5974</v>
      </c>
      <c r="L1589" s="12" t="s">
        <v>5975</v>
      </c>
      <c r="M1589" s="12" t="s">
        <v>5974</v>
      </c>
    </row>
    <row r="1590" spans="1:13" ht="39.6">
      <c r="A1590" s="21" t="s">
        <v>4194</v>
      </c>
      <c r="B1590" s="21" t="s">
        <v>4197</v>
      </c>
      <c r="C1590" s="21" t="s">
        <v>4195</v>
      </c>
      <c r="D1590" s="21" t="s">
        <v>71</v>
      </c>
      <c r="E1590" s="22" t="s">
        <v>4196</v>
      </c>
      <c r="F1590" s="22" t="s">
        <v>4197</v>
      </c>
      <c r="G1590" s="21" t="s">
        <v>4198</v>
      </c>
      <c r="H1590" s="21" t="s">
        <v>4199</v>
      </c>
      <c r="I1590" s="12" t="s">
        <v>6912</v>
      </c>
      <c r="J1590" s="12" t="s">
        <v>7740</v>
      </c>
      <c r="K1590" s="12" t="s">
        <v>5976</v>
      </c>
      <c r="L1590" s="12" t="s">
        <v>5977</v>
      </c>
      <c r="M1590" s="12" t="s">
        <v>5976</v>
      </c>
    </row>
    <row r="1591" spans="1:13" ht="39.6">
      <c r="A1591" s="21" t="s">
        <v>4194</v>
      </c>
      <c r="B1591" s="21" t="s">
        <v>4197</v>
      </c>
      <c r="C1591" s="21" t="s">
        <v>4195</v>
      </c>
      <c r="D1591" s="21" t="s">
        <v>71</v>
      </c>
      <c r="E1591" s="22" t="s">
        <v>4196</v>
      </c>
      <c r="F1591" s="22" t="s">
        <v>4197</v>
      </c>
      <c r="G1591" s="21" t="s">
        <v>4198</v>
      </c>
      <c r="H1591" s="21" t="s">
        <v>4199</v>
      </c>
      <c r="I1591" s="12" t="s">
        <v>6913</v>
      </c>
      <c r="J1591" s="12" t="s">
        <v>7741</v>
      </c>
      <c r="K1591" s="12" t="s">
        <v>5978</v>
      </c>
      <c r="L1591" s="12" t="s">
        <v>5979</v>
      </c>
      <c r="M1591" s="12" t="s">
        <v>5978</v>
      </c>
    </row>
    <row r="1592" spans="1:13" ht="39.6">
      <c r="A1592" s="21" t="s">
        <v>4194</v>
      </c>
      <c r="B1592" s="21" t="s">
        <v>4197</v>
      </c>
      <c r="C1592" s="21" t="s">
        <v>4195</v>
      </c>
      <c r="D1592" s="21" t="s">
        <v>71</v>
      </c>
      <c r="E1592" s="22" t="s">
        <v>4196</v>
      </c>
      <c r="F1592" s="22" t="s">
        <v>4197</v>
      </c>
      <c r="G1592" s="21" t="s">
        <v>4198</v>
      </c>
      <c r="H1592" s="21" t="s">
        <v>4199</v>
      </c>
      <c r="I1592" s="12" t="s">
        <v>6914</v>
      </c>
      <c r="J1592" s="12" t="s">
        <v>7742</v>
      </c>
      <c r="K1592" s="12" t="s">
        <v>5980</v>
      </c>
      <c r="L1592" s="12" t="s">
        <v>5981</v>
      </c>
      <c r="M1592" s="12" t="s">
        <v>5980</v>
      </c>
    </row>
    <row r="1593" spans="1:13" ht="39.6">
      <c r="A1593" s="21" t="s">
        <v>4194</v>
      </c>
      <c r="B1593" s="21" t="s">
        <v>4197</v>
      </c>
      <c r="C1593" s="21" t="s">
        <v>4195</v>
      </c>
      <c r="D1593" s="21" t="s">
        <v>71</v>
      </c>
      <c r="E1593" s="22" t="s">
        <v>4196</v>
      </c>
      <c r="F1593" s="22" t="s">
        <v>4197</v>
      </c>
      <c r="G1593" s="21" t="s">
        <v>4198</v>
      </c>
      <c r="H1593" s="21" t="s">
        <v>4199</v>
      </c>
      <c r="I1593" s="12" t="s">
        <v>6915</v>
      </c>
      <c r="J1593" s="12" t="s">
        <v>7743</v>
      </c>
      <c r="K1593" s="12" t="s">
        <v>5982</v>
      </c>
      <c r="L1593" s="12" t="s">
        <v>5983</v>
      </c>
      <c r="M1593" s="12" t="s">
        <v>5984</v>
      </c>
    </row>
    <row r="1594" spans="1:13" ht="39.6">
      <c r="A1594" s="21" t="s">
        <v>4194</v>
      </c>
      <c r="B1594" s="21" t="s">
        <v>4197</v>
      </c>
      <c r="C1594" s="21" t="s">
        <v>4195</v>
      </c>
      <c r="D1594" s="21" t="s">
        <v>71</v>
      </c>
      <c r="E1594" s="22" t="s">
        <v>4196</v>
      </c>
      <c r="F1594" s="22" t="s">
        <v>4197</v>
      </c>
      <c r="G1594" s="21" t="s">
        <v>4198</v>
      </c>
      <c r="H1594" s="21" t="s">
        <v>4199</v>
      </c>
      <c r="I1594" s="12" t="s">
        <v>6916</v>
      </c>
      <c r="J1594" s="12" t="s">
        <v>7744</v>
      </c>
      <c r="K1594" s="12" t="s">
        <v>5985</v>
      </c>
      <c r="L1594" s="12" t="s">
        <v>5986</v>
      </c>
      <c r="M1594" s="12" t="s">
        <v>5985</v>
      </c>
    </row>
    <row r="1595" spans="1:13" ht="39.6">
      <c r="A1595" s="21" t="s">
        <v>4194</v>
      </c>
      <c r="B1595" s="21" t="s">
        <v>4197</v>
      </c>
      <c r="C1595" s="21" t="s">
        <v>4195</v>
      </c>
      <c r="D1595" s="21" t="s">
        <v>71</v>
      </c>
      <c r="E1595" s="22" t="s">
        <v>4196</v>
      </c>
      <c r="F1595" s="22" t="s">
        <v>4197</v>
      </c>
      <c r="G1595" s="21" t="s">
        <v>4198</v>
      </c>
      <c r="H1595" s="21" t="s">
        <v>4199</v>
      </c>
      <c r="I1595" s="12" t="s">
        <v>6917</v>
      </c>
      <c r="J1595" s="12" t="s">
        <v>7745</v>
      </c>
      <c r="K1595" s="12" t="s">
        <v>5987</v>
      </c>
      <c r="L1595" s="12" t="s">
        <v>5988</v>
      </c>
      <c r="M1595" s="12" t="s">
        <v>5987</v>
      </c>
    </row>
    <row r="1596" spans="1:13" ht="39.6">
      <c r="A1596" s="21" t="s">
        <v>4194</v>
      </c>
      <c r="B1596" s="21" t="s">
        <v>4197</v>
      </c>
      <c r="C1596" s="21" t="s">
        <v>4195</v>
      </c>
      <c r="D1596" s="21" t="s">
        <v>71</v>
      </c>
      <c r="E1596" s="22" t="s">
        <v>4196</v>
      </c>
      <c r="F1596" s="22" t="s">
        <v>4197</v>
      </c>
      <c r="G1596" s="21" t="s">
        <v>4198</v>
      </c>
      <c r="H1596" s="21" t="s">
        <v>4199</v>
      </c>
      <c r="I1596" s="12" t="s">
        <v>6918</v>
      </c>
      <c r="J1596" s="12" t="s">
        <v>7746</v>
      </c>
      <c r="K1596" s="12" t="s">
        <v>5989</v>
      </c>
      <c r="L1596" s="12" t="s">
        <v>5990</v>
      </c>
      <c r="M1596" s="12" t="s">
        <v>5989</v>
      </c>
    </row>
    <row r="1597" spans="1:13" ht="39.6">
      <c r="A1597" s="21" t="s">
        <v>4194</v>
      </c>
      <c r="B1597" s="21" t="s">
        <v>4197</v>
      </c>
      <c r="C1597" s="21" t="s">
        <v>4195</v>
      </c>
      <c r="D1597" s="21" t="s">
        <v>71</v>
      </c>
      <c r="E1597" s="22" t="s">
        <v>4196</v>
      </c>
      <c r="F1597" s="22" t="s">
        <v>4197</v>
      </c>
      <c r="G1597" s="21" t="s">
        <v>4198</v>
      </c>
      <c r="H1597" s="21" t="s">
        <v>4199</v>
      </c>
      <c r="I1597" s="12" t="s">
        <v>6919</v>
      </c>
      <c r="J1597" s="12" t="s">
        <v>7747</v>
      </c>
      <c r="K1597" s="12" t="s">
        <v>5991</v>
      </c>
      <c r="L1597" s="12" t="s">
        <v>5992</v>
      </c>
      <c r="M1597" s="12" t="s">
        <v>5991</v>
      </c>
    </row>
    <row r="1598" spans="1:13" ht="39.6">
      <c r="A1598" s="21" t="s">
        <v>4194</v>
      </c>
      <c r="B1598" s="21" t="s">
        <v>4197</v>
      </c>
      <c r="C1598" s="21" t="s">
        <v>4195</v>
      </c>
      <c r="D1598" s="21" t="s">
        <v>71</v>
      </c>
      <c r="E1598" s="22" t="s">
        <v>4196</v>
      </c>
      <c r="F1598" s="22" t="s">
        <v>4197</v>
      </c>
      <c r="G1598" s="21" t="s">
        <v>4198</v>
      </c>
      <c r="H1598" s="21" t="s">
        <v>4199</v>
      </c>
      <c r="I1598" s="12" t="s">
        <v>6920</v>
      </c>
      <c r="J1598" s="12" t="s">
        <v>7748</v>
      </c>
      <c r="K1598" s="12" t="s">
        <v>5993</v>
      </c>
      <c r="L1598" s="12" t="s">
        <v>5994</v>
      </c>
      <c r="M1598" s="12" t="s">
        <v>5993</v>
      </c>
    </row>
    <row r="1599" spans="1:13" ht="39.6">
      <c r="A1599" s="21" t="s">
        <v>4194</v>
      </c>
      <c r="B1599" s="21" t="s">
        <v>4197</v>
      </c>
      <c r="C1599" s="21" t="s">
        <v>4195</v>
      </c>
      <c r="D1599" s="21" t="s">
        <v>71</v>
      </c>
      <c r="E1599" s="22" t="s">
        <v>4196</v>
      </c>
      <c r="F1599" s="22" t="s">
        <v>4197</v>
      </c>
      <c r="G1599" s="21" t="s">
        <v>4198</v>
      </c>
      <c r="H1599" s="21" t="s">
        <v>4199</v>
      </c>
      <c r="I1599" s="12" t="s">
        <v>6921</v>
      </c>
      <c r="J1599" s="12" t="s">
        <v>7749</v>
      </c>
      <c r="K1599" s="12" t="s">
        <v>5995</v>
      </c>
      <c r="L1599" s="12" t="s">
        <v>5996</v>
      </c>
      <c r="M1599" s="12" t="s">
        <v>5997</v>
      </c>
    </row>
    <row r="1600" spans="1:13" ht="39.6">
      <c r="A1600" s="21" t="s">
        <v>4194</v>
      </c>
      <c r="B1600" s="21" t="s">
        <v>4197</v>
      </c>
      <c r="C1600" s="21" t="s">
        <v>4195</v>
      </c>
      <c r="D1600" s="21" t="s">
        <v>71</v>
      </c>
      <c r="E1600" s="22" t="s">
        <v>4196</v>
      </c>
      <c r="F1600" s="22" t="s">
        <v>4197</v>
      </c>
      <c r="G1600" s="21" t="s">
        <v>4198</v>
      </c>
      <c r="H1600" s="21" t="s">
        <v>4199</v>
      </c>
      <c r="I1600" s="12" t="s">
        <v>6922</v>
      </c>
      <c r="J1600" s="12" t="s">
        <v>7750</v>
      </c>
      <c r="K1600" s="12" t="s">
        <v>5998</v>
      </c>
      <c r="L1600" s="12" t="s">
        <v>5999</v>
      </c>
      <c r="M1600" s="12" t="s">
        <v>5998</v>
      </c>
    </row>
    <row r="1601" spans="1:13" ht="39.6">
      <c r="A1601" s="21" t="s">
        <v>4194</v>
      </c>
      <c r="B1601" s="21" t="s">
        <v>4197</v>
      </c>
      <c r="C1601" s="21" t="s">
        <v>4195</v>
      </c>
      <c r="D1601" s="21" t="s">
        <v>71</v>
      </c>
      <c r="E1601" s="22" t="s">
        <v>4196</v>
      </c>
      <c r="F1601" s="22" t="s">
        <v>4197</v>
      </c>
      <c r="G1601" s="21" t="s">
        <v>4198</v>
      </c>
      <c r="H1601" s="21" t="s">
        <v>4199</v>
      </c>
      <c r="I1601" s="12" t="s">
        <v>6923</v>
      </c>
      <c r="J1601" s="12" t="s">
        <v>7751</v>
      </c>
      <c r="K1601" s="12" t="s">
        <v>6000</v>
      </c>
      <c r="L1601" s="12" t="s">
        <v>6001</v>
      </c>
      <c r="M1601" s="12" t="s">
        <v>6002</v>
      </c>
    </row>
    <row r="1602" spans="1:13" ht="39.6">
      <c r="A1602" s="21" t="s">
        <v>4194</v>
      </c>
      <c r="B1602" s="21" t="s">
        <v>4197</v>
      </c>
      <c r="C1602" s="21" t="s">
        <v>4195</v>
      </c>
      <c r="D1602" s="21" t="s">
        <v>71</v>
      </c>
      <c r="E1602" s="22" t="s">
        <v>4196</v>
      </c>
      <c r="F1602" s="22" t="s">
        <v>4197</v>
      </c>
      <c r="G1602" s="21" t="s">
        <v>4198</v>
      </c>
      <c r="H1602" s="21" t="s">
        <v>4199</v>
      </c>
      <c r="I1602" s="12" t="s">
        <v>6924</v>
      </c>
      <c r="J1602" s="12" t="s">
        <v>7752</v>
      </c>
      <c r="K1602" s="12" t="s">
        <v>6003</v>
      </c>
      <c r="L1602" s="12" t="s">
        <v>6004</v>
      </c>
      <c r="M1602" s="12" t="s">
        <v>6005</v>
      </c>
    </row>
    <row r="1603" spans="1:13" ht="39.6">
      <c r="A1603" s="21" t="s">
        <v>4194</v>
      </c>
      <c r="B1603" s="21" t="s">
        <v>4197</v>
      </c>
      <c r="C1603" s="21" t="s">
        <v>4195</v>
      </c>
      <c r="D1603" s="21" t="s">
        <v>71</v>
      </c>
      <c r="E1603" s="22" t="s">
        <v>4196</v>
      </c>
      <c r="F1603" s="22" t="s">
        <v>4197</v>
      </c>
      <c r="G1603" s="21" t="s">
        <v>4198</v>
      </c>
      <c r="H1603" s="21" t="s">
        <v>4199</v>
      </c>
      <c r="I1603" s="12" t="s">
        <v>6925</v>
      </c>
      <c r="J1603" s="12" t="s">
        <v>7753</v>
      </c>
      <c r="K1603" s="12" t="s">
        <v>6006</v>
      </c>
      <c r="L1603" s="12" t="s">
        <v>6007</v>
      </c>
      <c r="M1603" s="12" t="s">
        <v>6008</v>
      </c>
    </row>
    <row r="1604" spans="1:13" ht="39.6">
      <c r="A1604" s="21" t="s">
        <v>4194</v>
      </c>
      <c r="B1604" s="21" t="s">
        <v>4197</v>
      </c>
      <c r="C1604" s="21" t="s">
        <v>4195</v>
      </c>
      <c r="D1604" s="21" t="s">
        <v>71</v>
      </c>
      <c r="E1604" s="22" t="s">
        <v>4196</v>
      </c>
      <c r="F1604" s="22" t="s">
        <v>4197</v>
      </c>
      <c r="G1604" s="21" t="s">
        <v>4198</v>
      </c>
      <c r="H1604" s="21" t="s">
        <v>4199</v>
      </c>
      <c r="I1604" s="12" t="s">
        <v>6926</v>
      </c>
      <c r="J1604" s="12" t="s">
        <v>7754</v>
      </c>
      <c r="K1604" s="12" t="s">
        <v>6009</v>
      </c>
      <c r="L1604" s="12" t="s">
        <v>6010</v>
      </c>
      <c r="M1604" s="12" t="s">
        <v>6009</v>
      </c>
    </row>
    <row r="1605" spans="1:13" ht="52.8">
      <c r="A1605" s="21" t="s">
        <v>4194</v>
      </c>
      <c r="B1605" s="21" t="s">
        <v>4197</v>
      </c>
      <c r="C1605" s="21" t="s">
        <v>4195</v>
      </c>
      <c r="D1605" s="21" t="s">
        <v>71</v>
      </c>
      <c r="E1605" s="22" t="s">
        <v>4196</v>
      </c>
      <c r="F1605" s="22" t="s">
        <v>4197</v>
      </c>
      <c r="G1605" s="21" t="s">
        <v>4198</v>
      </c>
      <c r="H1605" s="21" t="s">
        <v>4199</v>
      </c>
      <c r="I1605" s="12" t="s">
        <v>6927</v>
      </c>
      <c r="J1605" s="12" t="s">
        <v>7755</v>
      </c>
      <c r="K1605" s="12" t="s">
        <v>6011</v>
      </c>
      <c r="L1605" s="12" t="s">
        <v>6012</v>
      </c>
      <c r="M1605" s="12" t="s">
        <v>6013</v>
      </c>
    </row>
    <row r="1606" spans="1:13" ht="39.6">
      <c r="A1606" s="21" t="s">
        <v>4194</v>
      </c>
      <c r="B1606" s="21" t="s">
        <v>4197</v>
      </c>
      <c r="C1606" s="21" t="s">
        <v>4195</v>
      </c>
      <c r="D1606" s="21" t="s">
        <v>71</v>
      </c>
      <c r="E1606" s="22" t="s">
        <v>4196</v>
      </c>
      <c r="F1606" s="22" t="s">
        <v>4197</v>
      </c>
      <c r="G1606" s="21" t="s">
        <v>4198</v>
      </c>
      <c r="H1606" s="21" t="s">
        <v>4199</v>
      </c>
      <c r="I1606" s="12" t="s">
        <v>6928</v>
      </c>
      <c r="J1606" s="12" t="s">
        <v>7756</v>
      </c>
      <c r="K1606" s="12" t="s">
        <v>6014</v>
      </c>
      <c r="L1606" s="12" t="s">
        <v>6015</v>
      </c>
      <c r="M1606" s="12" t="s">
        <v>6016</v>
      </c>
    </row>
    <row r="1607" spans="1:13" ht="39.6">
      <c r="A1607" s="21" t="s">
        <v>4194</v>
      </c>
      <c r="B1607" s="21" t="s">
        <v>4197</v>
      </c>
      <c r="C1607" s="21" t="s">
        <v>4195</v>
      </c>
      <c r="D1607" s="21" t="s">
        <v>71</v>
      </c>
      <c r="E1607" s="22" t="s">
        <v>4196</v>
      </c>
      <c r="F1607" s="22" t="s">
        <v>4197</v>
      </c>
      <c r="G1607" s="21" t="s">
        <v>4198</v>
      </c>
      <c r="H1607" s="21" t="s">
        <v>4199</v>
      </c>
      <c r="I1607" s="12" t="s">
        <v>6929</v>
      </c>
      <c r="J1607" s="12" t="s">
        <v>7757</v>
      </c>
      <c r="K1607" s="12" t="s">
        <v>6017</v>
      </c>
      <c r="L1607" s="12" t="s">
        <v>6018</v>
      </c>
      <c r="M1607" s="12" t="s">
        <v>6017</v>
      </c>
    </row>
    <row r="1608" spans="1:13" ht="52.8">
      <c r="A1608" s="21" t="s">
        <v>4194</v>
      </c>
      <c r="B1608" s="21" t="s">
        <v>4197</v>
      </c>
      <c r="C1608" s="21" t="s">
        <v>4195</v>
      </c>
      <c r="D1608" s="21" t="s">
        <v>71</v>
      </c>
      <c r="E1608" s="22" t="s">
        <v>4196</v>
      </c>
      <c r="F1608" s="22" t="s">
        <v>4197</v>
      </c>
      <c r="G1608" s="21" t="s">
        <v>4198</v>
      </c>
      <c r="H1608" s="21" t="s">
        <v>4199</v>
      </c>
      <c r="I1608" s="12" t="s">
        <v>6930</v>
      </c>
      <c r="J1608" s="12" t="s">
        <v>7758</v>
      </c>
      <c r="K1608" s="12" t="s">
        <v>6019</v>
      </c>
      <c r="L1608" s="12" t="s">
        <v>6020</v>
      </c>
      <c r="M1608" s="12" t="s">
        <v>6021</v>
      </c>
    </row>
    <row r="1609" spans="1:13" ht="39.6">
      <c r="A1609" s="21" t="s">
        <v>4194</v>
      </c>
      <c r="B1609" s="21" t="s">
        <v>4197</v>
      </c>
      <c r="C1609" s="21" t="s">
        <v>4195</v>
      </c>
      <c r="D1609" s="21" t="s">
        <v>71</v>
      </c>
      <c r="E1609" s="22" t="s">
        <v>4196</v>
      </c>
      <c r="F1609" s="22" t="s">
        <v>4197</v>
      </c>
      <c r="G1609" s="21" t="s">
        <v>4198</v>
      </c>
      <c r="H1609" s="21" t="s">
        <v>4199</v>
      </c>
      <c r="I1609" s="12" t="s">
        <v>6931</v>
      </c>
      <c r="J1609" s="12" t="s">
        <v>7759</v>
      </c>
      <c r="K1609" s="12" t="s">
        <v>6022</v>
      </c>
      <c r="L1609" s="12" t="s">
        <v>6023</v>
      </c>
      <c r="M1609" s="12" t="s">
        <v>6024</v>
      </c>
    </row>
    <row r="1610" spans="1:13" ht="79.2">
      <c r="A1610" s="21" t="s">
        <v>4194</v>
      </c>
      <c r="B1610" s="21" t="s">
        <v>4197</v>
      </c>
      <c r="C1610" s="21" t="s">
        <v>4195</v>
      </c>
      <c r="D1610" s="21" t="s">
        <v>71</v>
      </c>
      <c r="E1610" s="22" t="s">
        <v>4196</v>
      </c>
      <c r="F1610" s="22" t="s">
        <v>4197</v>
      </c>
      <c r="G1610" s="21" t="s">
        <v>4198</v>
      </c>
      <c r="H1610" s="21" t="s">
        <v>4199</v>
      </c>
      <c r="I1610" s="12" t="s">
        <v>6932</v>
      </c>
      <c r="J1610" s="12" t="s">
        <v>7760</v>
      </c>
      <c r="K1610" s="12" t="s">
        <v>6025</v>
      </c>
      <c r="L1610" s="12" t="s">
        <v>6026</v>
      </c>
      <c r="M1610" s="12" t="s">
        <v>6025</v>
      </c>
    </row>
    <row r="1611" spans="1:13" ht="39.6">
      <c r="A1611" s="21" t="s">
        <v>4194</v>
      </c>
      <c r="B1611" s="21" t="s">
        <v>4197</v>
      </c>
      <c r="C1611" s="21" t="s">
        <v>4195</v>
      </c>
      <c r="D1611" s="21" t="s">
        <v>71</v>
      </c>
      <c r="E1611" s="22" t="s">
        <v>4196</v>
      </c>
      <c r="F1611" s="22" t="s">
        <v>4197</v>
      </c>
      <c r="G1611" s="21" t="s">
        <v>4198</v>
      </c>
      <c r="H1611" s="21" t="s">
        <v>4199</v>
      </c>
      <c r="I1611" s="12" t="s">
        <v>6933</v>
      </c>
      <c r="J1611" s="12" t="s">
        <v>7761</v>
      </c>
      <c r="K1611" s="12"/>
      <c r="L1611" s="12" t="s">
        <v>6027</v>
      </c>
      <c r="M1611" s="12" t="s">
        <v>6028</v>
      </c>
    </row>
    <row r="1612" spans="1:13" ht="39.6">
      <c r="A1612" s="21" t="s">
        <v>4194</v>
      </c>
      <c r="B1612" s="21" t="s">
        <v>4197</v>
      </c>
      <c r="C1612" s="21" t="s">
        <v>4195</v>
      </c>
      <c r="D1612" s="21" t="s">
        <v>71</v>
      </c>
      <c r="E1612" s="22" t="s">
        <v>4196</v>
      </c>
      <c r="F1612" s="22" t="s">
        <v>4197</v>
      </c>
      <c r="G1612" s="21" t="s">
        <v>4198</v>
      </c>
      <c r="H1612" s="21" t="s">
        <v>4199</v>
      </c>
      <c r="I1612" s="12" t="s">
        <v>6934</v>
      </c>
      <c r="J1612" s="12" t="s">
        <v>7762</v>
      </c>
      <c r="K1612" s="12" t="s">
        <v>6029</v>
      </c>
      <c r="L1612" s="12" t="s">
        <v>6030</v>
      </c>
      <c r="M1612" s="12" t="s">
        <v>6029</v>
      </c>
    </row>
    <row r="1613" spans="1:13" ht="39.6">
      <c r="A1613" s="21" t="s">
        <v>4194</v>
      </c>
      <c r="B1613" s="21" t="s">
        <v>4197</v>
      </c>
      <c r="C1613" s="21" t="s">
        <v>4195</v>
      </c>
      <c r="D1613" s="21" t="s">
        <v>71</v>
      </c>
      <c r="E1613" s="22" t="s">
        <v>4196</v>
      </c>
      <c r="F1613" s="22" t="s">
        <v>4197</v>
      </c>
      <c r="G1613" s="21" t="s">
        <v>4198</v>
      </c>
      <c r="H1613" s="21" t="s">
        <v>4199</v>
      </c>
      <c r="I1613" s="12" t="s">
        <v>6935</v>
      </c>
      <c r="J1613" s="12" t="s">
        <v>7763</v>
      </c>
      <c r="K1613" s="12" t="s">
        <v>6031</v>
      </c>
      <c r="L1613" s="12" t="s">
        <v>6032</v>
      </c>
      <c r="M1613" s="12" t="s">
        <v>6031</v>
      </c>
    </row>
    <row r="1614" spans="1:13" ht="39.6">
      <c r="A1614" s="21" t="s">
        <v>4194</v>
      </c>
      <c r="B1614" s="21" t="s">
        <v>4197</v>
      </c>
      <c r="C1614" s="21" t="s">
        <v>4195</v>
      </c>
      <c r="D1614" s="21" t="s">
        <v>71</v>
      </c>
      <c r="E1614" s="22" t="s">
        <v>4196</v>
      </c>
      <c r="F1614" s="22" t="s">
        <v>4197</v>
      </c>
      <c r="G1614" s="21" t="s">
        <v>4198</v>
      </c>
      <c r="H1614" s="21" t="s">
        <v>4199</v>
      </c>
      <c r="I1614" s="12" t="s">
        <v>6936</v>
      </c>
      <c r="J1614" s="12" t="s">
        <v>7764</v>
      </c>
      <c r="K1614" s="12" t="s">
        <v>6033</v>
      </c>
      <c r="L1614" s="12" t="s">
        <v>6034</v>
      </c>
      <c r="M1614" s="12" t="s">
        <v>6033</v>
      </c>
    </row>
    <row r="1615" spans="1:13" ht="39.6">
      <c r="A1615" s="21" t="s">
        <v>4194</v>
      </c>
      <c r="B1615" s="21" t="s">
        <v>4197</v>
      </c>
      <c r="C1615" s="21" t="s">
        <v>4195</v>
      </c>
      <c r="D1615" s="21" t="s">
        <v>71</v>
      </c>
      <c r="E1615" s="22" t="s">
        <v>4196</v>
      </c>
      <c r="F1615" s="22" t="s">
        <v>4197</v>
      </c>
      <c r="G1615" s="21" t="s">
        <v>4198</v>
      </c>
      <c r="H1615" s="21" t="s">
        <v>4199</v>
      </c>
      <c r="I1615" s="12" t="s">
        <v>6937</v>
      </c>
      <c r="J1615" s="12" t="s">
        <v>7765</v>
      </c>
      <c r="K1615" s="12" t="s">
        <v>6035</v>
      </c>
      <c r="L1615" s="12" t="s">
        <v>6036</v>
      </c>
      <c r="M1615" s="12" t="s">
        <v>6037</v>
      </c>
    </row>
    <row r="1616" spans="1:13" ht="52.8">
      <c r="A1616" s="21" t="s">
        <v>4194</v>
      </c>
      <c r="B1616" s="21" t="s">
        <v>4197</v>
      </c>
      <c r="C1616" s="21" t="s">
        <v>4195</v>
      </c>
      <c r="D1616" s="21" t="s">
        <v>71</v>
      </c>
      <c r="E1616" s="22" t="s">
        <v>4196</v>
      </c>
      <c r="F1616" s="22" t="s">
        <v>4197</v>
      </c>
      <c r="G1616" s="21" t="s">
        <v>4198</v>
      </c>
      <c r="H1616" s="21" t="s">
        <v>4199</v>
      </c>
      <c r="I1616" s="12" t="s">
        <v>6938</v>
      </c>
      <c r="J1616" s="12" t="s">
        <v>7766</v>
      </c>
      <c r="K1616" s="12" t="s">
        <v>6038</v>
      </c>
      <c r="L1616" s="12" t="s">
        <v>6039</v>
      </c>
      <c r="M1616" s="12" t="s">
        <v>6040</v>
      </c>
    </row>
    <row r="1617" spans="1:13" ht="39.6">
      <c r="A1617" s="21" t="s">
        <v>4194</v>
      </c>
      <c r="B1617" s="21" t="s">
        <v>4197</v>
      </c>
      <c r="C1617" s="21" t="s">
        <v>4195</v>
      </c>
      <c r="D1617" s="21" t="s">
        <v>71</v>
      </c>
      <c r="E1617" s="22" t="s">
        <v>4196</v>
      </c>
      <c r="F1617" s="22" t="s">
        <v>4197</v>
      </c>
      <c r="G1617" s="21" t="s">
        <v>4198</v>
      </c>
      <c r="H1617" s="21" t="s">
        <v>4199</v>
      </c>
      <c r="I1617" s="12" t="s">
        <v>6939</v>
      </c>
      <c r="J1617" s="12" t="s">
        <v>7767</v>
      </c>
      <c r="K1617" s="12" t="s">
        <v>6041</v>
      </c>
      <c r="L1617" s="12" t="s">
        <v>6042</v>
      </c>
      <c r="M1617" s="12" t="s">
        <v>6041</v>
      </c>
    </row>
    <row r="1618" spans="1:13" ht="39.6">
      <c r="A1618" s="21" t="s">
        <v>4194</v>
      </c>
      <c r="B1618" s="21" t="s">
        <v>4197</v>
      </c>
      <c r="C1618" s="21" t="s">
        <v>4195</v>
      </c>
      <c r="D1618" s="21" t="s">
        <v>71</v>
      </c>
      <c r="E1618" s="22" t="s">
        <v>4196</v>
      </c>
      <c r="F1618" s="22" t="s">
        <v>4197</v>
      </c>
      <c r="G1618" s="21" t="s">
        <v>4198</v>
      </c>
      <c r="H1618" s="21" t="s">
        <v>4199</v>
      </c>
      <c r="I1618" s="12" t="s">
        <v>6940</v>
      </c>
      <c r="J1618" s="12" t="s">
        <v>7768</v>
      </c>
      <c r="K1618" s="12" t="s">
        <v>6043</v>
      </c>
      <c r="L1618" s="12" t="s">
        <v>6044</v>
      </c>
      <c r="M1618" s="12" t="s">
        <v>6043</v>
      </c>
    </row>
    <row r="1619" spans="1:13" ht="105.6">
      <c r="A1619" s="21" t="s">
        <v>4194</v>
      </c>
      <c r="B1619" s="21" t="s">
        <v>4197</v>
      </c>
      <c r="C1619" s="21" t="s">
        <v>4195</v>
      </c>
      <c r="D1619" s="21" t="s">
        <v>71</v>
      </c>
      <c r="E1619" s="22" t="s">
        <v>4196</v>
      </c>
      <c r="F1619" s="22" t="s">
        <v>4197</v>
      </c>
      <c r="G1619" s="21" t="s">
        <v>4198</v>
      </c>
      <c r="H1619" s="21" t="s">
        <v>4199</v>
      </c>
      <c r="I1619" s="12" t="s">
        <v>6941</v>
      </c>
      <c r="J1619" s="12" t="s">
        <v>7769</v>
      </c>
      <c r="K1619" s="12" t="s">
        <v>6045</v>
      </c>
      <c r="L1619" s="12" t="s">
        <v>6046</v>
      </c>
      <c r="M1619" s="12" t="s">
        <v>6047</v>
      </c>
    </row>
    <row r="1620" spans="1:13" ht="39.6">
      <c r="A1620" s="21" t="s">
        <v>4194</v>
      </c>
      <c r="B1620" s="21" t="s">
        <v>4197</v>
      </c>
      <c r="C1620" s="21" t="s">
        <v>4195</v>
      </c>
      <c r="D1620" s="21" t="s">
        <v>71</v>
      </c>
      <c r="E1620" s="22" t="s">
        <v>4196</v>
      </c>
      <c r="F1620" s="22" t="s">
        <v>4197</v>
      </c>
      <c r="G1620" s="21" t="s">
        <v>4198</v>
      </c>
      <c r="H1620" s="21" t="s">
        <v>4199</v>
      </c>
      <c r="I1620" s="12" t="s">
        <v>6942</v>
      </c>
      <c r="J1620" s="12" t="s">
        <v>7770</v>
      </c>
      <c r="K1620" s="12" t="s">
        <v>6048</v>
      </c>
      <c r="L1620" s="12" t="s">
        <v>6049</v>
      </c>
      <c r="M1620" s="12" t="s">
        <v>6048</v>
      </c>
    </row>
    <row r="1621" spans="1:13" ht="39.6">
      <c r="A1621" s="21" t="s">
        <v>4194</v>
      </c>
      <c r="B1621" s="21" t="s">
        <v>4197</v>
      </c>
      <c r="C1621" s="21" t="s">
        <v>4195</v>
      </c>
      <c r="D1621" s="21" t="s">
        <v>71</v>
      </c>
      <c r="E1621" s="22" t="s">
        <v>4196</v>
      </c>
      <c r="F1621" s="22" t="s">
        <v>4197</v>
      </c>
      <c r="G1621" s="21" t="s">
        <v>4198</v>
      </c>
      <c r="H1621" s="21" t="s">
        <v>4199</v>
      </c>
      <c r="I1621" s="12" t="s">
        <v>6943</v>
      </c>
      <c r="J1621" s="12" t="s">
        <v>7771</v>
      </c>
      <c r="K1621" s="12"/>
      <c r="L1621" s="12" t="s">
        <v>6050</v>
      </c>
      <c r="M1621" s="12" t="s">
        <v>6051</v>
      </c>
    </row>
    <row r="1622" spans="1:13" ht="39.6">
      <c r="A1622" s="21" t="s">
        <v>4194</v>
      </c>
      <c r="B1622" s="21" t="s">
        <v>4197</v>
      </c>
      <c r="C1622" s="21" t="s">
        <v>4195</v>
      </c>
      <c r="D1622" s="21" t="s">
        <v>71</v>
      </c>
      <c r="E1622" s="22" t="s">
        <v>4196</v>
      </c>
      <c r="F1622" s="22" t="s">
        <v>4197</v>
      </c>
      <c r="G1622" s="21" t="s">
        <v>4198</v>
      </c>
      <c r="H1622" s="21" t="s">
        <v>4199</v>
      </c>
      <c r="I1622" s="12" t="s">
        <v>6944</v>
      </c>
      <c r="J1622" s="12" t="s">
        <v>7772</v>
      </c>
      <c r="K1622" s="12" t="s">
        <v>6052</v>
      </c>
      <c r="L1622" s="12" t="s">
        <v>6053</v>
      </c>
      <c r="M1622" s="12" t="s">
        <v>6054</v>
      </c>
    </row>
    <row r="1623" spans="1:13" ht="92.4">
      <c r="A1623" s="21" t="s">
        <v>4194</v>
      </c>
      <c r="B1623" s="21" t="s">
        <v>4197</v>
      </c>
      <c r="C1623" s="21" t="s">
        <v>4195</v>
      </c>
      <c r="D1623" s="21" t="s">
        <v>71</v>
      </c>
      <c r="E1623" s="22" t="s">
        <v>4196</v>
      </c>
      <c r="F1623" s="22" t="s">
        <v>4197</v>
      </c>
      <c r="G1623" s="21" t="s">
        <v>4198</v>
      </c>
      <c r="H1623" s="21" t="s">
        <v>4199</v>
      </c>
      <c r="I1623" s="12" t="s">
        <v>6945</v>
      </c>
      <c r="J1623" s="12" t="s">
        <v>7773</v>
      </c>
      <c r="K1623" s="12" t="s">
        <v>6055</v>
      </c>
      <c r="L1623" s="12" t="s">
        <v>6056</v>
      </c>
      <c r="M1623" s="12" t="s">
        <v>6057</v>
      </c>
    </row>
    <row r="1624" spans="1:13" ht="39.6">
      <c r="A1624" s="21" t="s">
        <v>4194</v>
      </c>
      <c r="B1624" s="21" t="s">
        <v>4197</v>
      </c>
      <c r="C1624" s="21" t="s">
        <v>4195</v>
      </c>
      <c r="D1624" s="21" t="s">
        <v>71</v>
      </c>
      <c r="E1624" s="22" t="s">
        <v>4196</v>
      </c>
      <c r="F1624" s="22" t="s">
        <v>4197</v>
      </c>
      <c r="G1624" s="21" t="s">
        <v>4198</v>
      </c>
      <c r="H1624" s="21" t="s">
        <v>4199</v>
      </c>
      <c r="I1624" s="12" t="s">
        <v>6946</v>
      </c>
      <c r="J1624" s="12" t="s">
        <v>7774</v>
      </c>
      <c r="K1624" s="12" t="s">
        <v>6058</v>
      </c>
      <c r="L1624" s="12" t="s">
        <v>6059</v>
      </c>
      <c r="M1624" s="12" t="s">
        <v>6060</v>
      </c>
    </row>
    <row r="1625" spans="1:13" ht="39.6">
      <c r="A1625" s="21" t="s">
        <v>4194</v>
      </c>
      <c r="B1625" s="21" t="s">
        <v>4197</v>
      </c>
      <c r="C1625" s="21" t="s">
        <v>4195</v>
      </c>
      <c r="D1625" s="21" t="s">
        <v>71</v>
      </c>
      <c r="E1625" s="22" t="s">
        <v>4196</v>
      </c>
      <c r="F1625" s="22" t="s">
        <v>4197</v>
      </c>
      <c r="G1625" s="21" t="s">
        <v>4198</v>
      </c>
      <c r="H1625" s="21" t="s">
        <v>4199</v>
      </c>
      <c r="I1625" s="12" t="s">
        <v>6947</v>
      </c>
      <c r="J1625" s="12" t="s">
        <v>7775</v>
      </c>
      <c r="K1625" s="12" t="s">
        <v>6061</v>
      </c>
      <c r="L1625" s="12" t="s">
        <v>6062</v>
      </c>
      <c r="M1625" s="12" t="s">
        <v>6061</v>
      </c>
    </row>
    <row r="1626" spans="1:13" ht="39.6">
      <c r="A1626" s="21" t="s">
        <v>4194</v>
      </c>
      <c r="B1626" s="21" t="s">
        <v>4197</v>
      </c>
      <c r="C1626" s="21" t="s">
        <v>4195</v>
      </c>
      <c r="D1626" s="21" t="s">
        <v>71</v>
      </c>
      <c r="E1626" s="22" t="s">
        <v>4196</v>
      </c>
      <c r="F1626" s="22" t="s">
        <v>4197</v>
      </c>
      <c r="G1626" s="21" t="s">
        <v>4198</v>
      </c>
      <c r="H1626" s="21" t="s">
        <v>4199</v>
      </c>
      <c r="I1626" s="12" t="s">
        <v>6948</v>
      </c>
      <c r="J1626" s="12" t="s">
        <v>7776</v>
      </c>
      <c r="K1626" s="12" t="s">
        <v>6063</v>
      </c>
      <c r="L1626" s="12" t="s">
        <v>6064</v>
      </c>
      <c r="M1626" s="12" t="s">
        <v>6063</v>
      </c>
    </row>
    <row r="1627" spans="1:13" ht="39.6">
      <c r="A1627" s="21" t="s">
        <v>4194</v>
      </c>
      <c r="B1627" s="21" t="s">
        <v>4197</v>
      </c>
      <c r="C1627" s="21" t="s">
        <v>4195</v>
      </c>
      <c r="D1627" s="21" t="s">
        <v>71</v>
      </c>
      <c r="E1627" s="22" t="s">
        <v>4196</v>
      </c>
      <c r="F1627" s="22" t="s">
        <v>4197</v>
      </c>
      <c r="G1627" s="21" t="s">
        <v>4198</v>
      </c>
      <c r="H1627" s="21" t="s">
        <v>4199</v>
      </c>
      <c r="I1627" s="12" t="s">
        <v>6949</v>
      </c>
      <c r="J1627" s="12" t="s">
        <v>7777</v>
      </c>
      <c r="K1627" s="12" t="s">
        <v>6065</v>
      </c>
      <c r="L1627" s="12" t="s">
        <v>6066</v>
      </c>
      <c r="M1627" s="12" t="s">
        <v>6065</v>
      </c>
    </row>
    <row r="1628" spans="1:13" ht="39.6">
      <c r="A1628" s="21" t="s">
        <v>4194</v>
      </c>
      <c r="B1628" s="21" t="s">
        <v>4197</v>
      </c>
      <c r="C1628" s="21" t="s">
        <v>4195</v>
      </c>
      <c r="D1628" s="21" t="s">
        <v>71</v>
      </c>
      <c r="E1628" s="22" t="s">
        <v>4196</v>
      </c>
      <c r="F1628" s="22" t="s">
        <v>4197</v>
      </c>
      <c r="G1628" s="21" t="s">
        <v>4198</v>
      </c>
      <c r="H1628" s="21" t="s">
        <v>4199</v>
      </c>
      <c r="I1628" s="12" t="s">
        <v>6950</v>
      </c>
      <c r="J1628" s="12" t="s">
        <v>7778</v>
      </c>
      <c r="K1628" s="12" t="s">
        <v>6067</v>
      </c>
      <c r="L1628" s="12" t="s">
        <v>6068</v>
      </c>
      <c r="M1628" s="12" t="s">
        <v>6067</v>
      </c>
    </row>
    <row r="1629" spans="1:13" ht="39.6">
      <c r="A1629" s="21" t="s">
        <v>4194</v>
      </c>
      <c r="B1629" s="21" t="s">
        <v>4197</v>
      </c>
      <c r="C1629" s="21" t="s">
        <v>4195</v>
      </c>
      <c r="D1629" s="21" t="s">
        <v>71</v>
      </c>
      <c r="E1629" s="22" t="s">
        <v>4196</v>
      </c>
      <c r="F1629" s="22" t="s">
        <v>4197</v>
      </c>
      <c r="G1629" s="21" t="s">
        <v>4198</v>
      </c>
      <c r="H1629" s="21" t="s">
        <v>4199</v>
      </c>
      <c r="I1629" s="12" t="s">
        <v>6951</v>
      </c>
      <c r="J1629" s="12" t="s">
        <v>7779</v>
      </c>
      <c r="K1629" s="12" t="s">
        <v>6069</v>
      </c>
      <c r="L1629" s="12" t="s">
        <v>6070</v>
      </c>
      <c r="M1629" s="12" t="s">
        <v>6071</v>
      </c>
    </row>
    <row r="1630" spans="1:13" ht="39.6">
      <c r="A1630" s="21" t="s">
        <v>4194</v>
      </c>
      <c r="B1630" s="21" t="s">
        <v>4197</v>
      </c>
      <c r="C1630" s="21" t="s">
        <v>4195</v>
      </c>
      <c r="D1630" s="21" t="s">
        <v>71</v>
      </c>
      <c r="E1630" s="22" t="s">
        <v>4196</v>
      </c>
      <c r="F1630" s="22" t="s">
        <v>4197</v>
      </c>
      <c r="G1630" s="21" t="s">
        <v>4198</v>
      </c>
      <c r="H1630" s="21" t="s">
        <v>4199</v>
      </c>
      <c r="I1630" s="12" t="s">
        <v>6952</v>
      </c>
      <c r="J1630" s="12" t="s">
        <v>7780</v>
      </c>
      <c r="K1630" s="12" t="s">
        <v>6072</v>
      </c>
      <c r="L1630" s="12" t="s">
        <v>6073</v>
      </c>
      <c r="M1630" s="12" t="s">
        <v>6072</v>
      </c>
    </row>
    <row r="1631" spans="1:13" ht="39.6">
      <c r="A1631" s="21" t="s">
        <v>4194</v>
      </c>
      <c r="B1631" s="21" t="s">
        <v>4197</v>
      </c>
      <c r="C1631" s="21" t="s">
        <v>4195</v>
      </c>
      <c r="D1631" s="21" t="s">
        <v>71</v>
      </c>
      <c r="E1631" s="22" t="s">
        <v>4196</v>
      </c>
      <c r="F1631" s="22" t="s">
        <v>4197</v>
      </c>
      <c r="G1631" s="21" t="s">
        <v>4198</v>
      </c>
      <c r="H1631" s="21" t="s">
        <v>4199</v>
      </c>
      <c r="I1631" s="12" t="s">
        <v>6953</v>
      </c>
      <c r="J1631" s="12" t="s">
        <v>7781</v>
      </c>
      <c r="K1631" s="12" t="s">
        <v>6074</v>
      </c>
      <c r="L1631" s="12" t="s">
        <v>6075</v>
      </c>
      <c r="M1631" s="12" t="s">
        <v>6076</v>
      </c>
    </row>
    <row r="1632" spans="1:13" ht="39.6">
      <c r="A1632" s="21" t="s">
        <v>4194</v>
      </c>
      <c r="B1632" s="21" t="s">
        <v>4197</v>
      </c>
      <c r="C1632" s="21" t="s">
        <v>4195</v>
      </c>
      <c r="D1632" s="21" t="s">
        <v>71</v>
      </c>
      <c r="E1632" s="22" t="s">
        <v>4196</v>
      </c>
      <c r="F1632" s="22" t="s">
        <v>4197</v>
      </c>
      <c r="G1632" s="21" t="s">
        <v>4198</v>
      </c>
      <c r="H1632" s="21" t="s">
        <v>4199</v>
      </c>
      <c r="I1632" s="12" t="s">
        <v>6954</v>
      </c>
      <c r="J1632" s="12" t="s">
        <v>7782</v>
      </c>
      <c r="K1632" s="12" t="s">
        <v>6077</v>
      </c>
      <c r="L1632" s="12" t="s">
        <v>6078</v>
      </c>
      <c r="M1632" s="12" t="s">
        <v>6077</v>
      </c>
    </row>
    <row r="1633" spans="1:13" ht="52.8">
      <c r="A1633" s="21" t="s">
        <v>4194</v>
      </c>
      <c r="B1633" s="21" t="s">
        <v>4197</v>
      </c>
      <c r="C1633" s="21" t="s">
        <v>4195</v>
      </c>
      <c r="D1633" s="21" t="s">
        <v>71</v>
      </c>
      <c r="E1633" s="22" t="s">
        <v>4196</v>
      </c>
      <c r="F1633" s="22" t="s">
        <v>4197</v>
      </c>
      <c r="G1633" s="21" t="s">
        <v>4198</v>
      </c>
      <c r="H1633" s="21" t="s">
        <v>4199</v>
      </c>
      <c r="I1633" s="12" t="s">
        <v>6955</v>
      </c>
      <c r="J1633" s="12" t="s">
        <v>7783</v>
      </c>
      <c r="K1633" s="12" t="s">
        <v>6079</v>
      </c>
      <c r="L1633" s="12" t="s">
        <v>6080</v>
      </c>
      <c r="M1633" s="12" t="s">
        <v>6081</v>
      </c>
    </row>
    <row r="1634" spans="1:13" ht="39.6">
      <c r="A1634" s="21" t="s">
        <v>4194</v>
      </c>
      <c r="B1634" s="21" t="s">
        <v>4197</v>
      </c>
      <c r="C1634" s="21" t="s">
        <v>4195</v>
      </c>
      <c r="D1634" s="21" t="s">
        <v>71</v>
      </c>
      <c r="E1634" s="22" t="s">
        <v>4196</v>
      </c>
      <c r="F1634" s="22" t="s">
        <v>4197</v>
      </c>
      <c r="G1634" s="21" t="s">
        <v>4198</v>
      </c>
      <c r="H1634" s="21" t="s">
        <v>4199</v>
      </c>
      <c r="I1634" s="12" t="s">
        <v>6956</v>
      </c>
      <c r="J1634" s="12" t="s">
        <v>7784</v>
      </c>
      <c r="K1634" s="12"/>
      <c r="L1634" s="12" t="s">
        <v>6082</v>
      </c>
      <c r="M1634" s="12" t="s">
        <v>6083</v>
      </c>
    </row>
    <row r="1635" spans="1:13" ht="39.6">
      <c r="A1635" s="21" t="s">
        <v>4194</v>
      </c>
      <c r="B1635" s="21" t="s">
        <v>4197</v>
      </c>
      <c r="C1635" s="21" t="s">
        <v>4195</v>
      </c>
      <c r="D1635" s="21" t="s">
        <v>71</v>
      </c>
      <c r="E1635" s="22" t="s">
        <v>4196</v>
      </c>
      <c r="F1635" s="22" t="s">
        <v>4197</v>
      </c>
      <c r="G1635" s="21" t="s">
        <v>4198</v>
      </c>
      <c r="H1635" s="21" t="s">
        <v>4199</v>
      </c>
      <c r="I1635" s="12" t="s">
        <v>6957</v>
      </c>
      <c r="J1635" s="12" t="s">
        <v>7785</v>
      </c>
      <c r="K1635" s="12"/>
      <c r="L1635" s="12" t="s">
        <v>6084</v>
      </c>
      <c r="M1635" s="12" t="s">
        <v>6085</v>
      </c>
    </row>
    <row r="1636" spans="1:13" ht="39.6">
      <c r="A1636" s="21" t="s">
        <v>4194</v>
      </c>
      <c r="B1636" s="21" t="s">
        <v>4197</v>
      </c>
      <c r="C1636" s="21" t="s">
        <v>4195</v>
      </c>
      <c r="D1636" s="21" t="s">
        <v>71</v>
      </c>
      <c r="E1636" s="22" t="s">
        <v>4196</v>
      </c>
      <c r="F1636" s="22" t="s">
        <v>4197</v>
      </c>
      <c r="G1636" s="21" t="s">
        <v>4198</v>
      </c>
      <c r="H1636" s="21" t="s">
        <v>4199</v>
      </c>
      <c r="I1636" s="12" t="s">
        <v>6958</v>
      </c>
      <c r="J1636" s="12" t="s">
        <v>7786</v>
      </c>
      <c r="K1636" s="12" t="s">
        <v>6086</v>
      </c>
      <c r="L1636" s="12" t="s">
        <v>6087</v>
      </c>
      <c r="M1636" s="12" t="s">
        <v>6088</v>
      </c>
    </row>
    <row r="1637" spans="1:13" ht="39.6">
      <c r="A1637" s="21" t="s">
        <v>4194</v>
      </c>
      <c r="B1637" s="21" t="s">
        <v>4197</v>
      </c>
      <c r="C1637" s="21" t="s">
        <v>4195</v>
      </c>
      <c r="D1637" s="21" t="s">
        <v>71</v>
      </c>
      <c r="E1637" s="22" t="s">
        <v>4196</v>
      </c>
      <c r="F1637" s="22" t="s">
        <v>4197</v>
      </c>
      <c r="G1637" s="21" t="s">
        <v>4198</v>
      </c>
      <c r="H1637" s="21" t="s">
        <v>4199</v>
      </c>
      <c r="I1637" s="12" t="s">
        <v>6959</v>
      </c>
      <c r="J1637" s="12" t="s">
        <v>7787</v>
      </c>
      <c r="K1637" s="12" t="s">
        <v>6089</v>
      </c>
      <c r="L1637" s="12" t="s">
        <v>6090</v>
      </c>
      <c r="M1637" s="12" t="s">
        <v>6091</v>
      </c>
    </row>
    <row r="1638" spans="1:13" ht="39.6">
      <c r="A1638" s="21" t="s">
        <v>4194</v>
      </c>
      <c r="B1638" s="21" t="s">
        <v>4197</v>
      </c>
      <c r="C1638" s="21" t="s">
        <v>4195</v>
      </c>
      <c r="D1638" s="21" t="s">
        <v>71</v>
      </c>
      <c r="E1638" s="22" t="s">
        <v>4196</v>
      </c>
      <c r="F1638" s="22" t="s">
        <v>4197</v>
      </c>
      <c r="G1638" s="21" t="s">
        <v>4198</v>
      </c>
      <c r="H1638" s="21" t="s">
        <v>4199</v>
      </c>
      <c r="I1638" s="12" t="s">
        <v>6960</v>
      </c>
      <c r="J1638" s="12" t="s">
        <v>7788</v>
      </c>
      <c r="K1638" s="12" t="s">
        <v>6092</v>
      </c>
      <c r="L1638" s="12" t="s">
        <v>6093</v>
      </c>
      <c r="M1638" s="12" t="s">
        <v>6094</v>
      </c>
    </row>
    <row r="1639" spans="1:13" ht="39.6">
      <c r="A1639" s="21" t="s">
        <v>4194</v>
      </c>
      <c r="B1639" s="21" t="s">
        <v>4197</v>
      </c>
      <c r="C1639" s="21" t="s">
        <v>4195</v>
      </c>
      <c r="D1639" s="21" t="s">
        <v>71</v>
      </c>
      <c r="E1639" s="22" t="s">
        <v>4196</v>
      </c>
      <c r="F1639" s="22" t="s">
        <v>4197</v>
      </c>
      <c r="G1639" s="21" t="s">
        <v>4198</v>
      </c>
      <c r="H1639" s="21" t="s">
        <v>4199</v>
      </c>
      <c r="I1639" s="12" t="s">
        <v>6961</v>
      </c>
      <c r="J1639" s="12" t="s">
        <v>7789</v>
      </c>
      <c r="K1639" s="12" t="s">
        <v>6095</v>
      </c>
      <c r="L1639" s="12" t="s">
        <v>6096</v>
      </c>
      <c r="M1639" s="12" t="s">
        <v>6097</v>
      </c>
    </row>
    <row r="1640" spans="1:13" ht="39.6">
      <c r="A1640" s="21" t="s">
        <v>4194</v>
      </c>
      <c r="B1640" s="21" t="s">
        <v>4197</v>
      </c>
      <c r="C1640" s="21" t="s">
        <v>4195</v>
      </c>
      <c r="D1640" s="21" t="s">
        <v>71</v>
      </c>
      <c r="E1640" s="22" t="s">
        <v>4196</v>
      </c>
      <c r="F1640" s="22" t="s">
        <v>4197</v>
      </c>
      <c r="G1640" s="21" t="s">
        <v>4198</v>
      </c>
      <c r="H1640" s="21" t="s">
        <v>4199</v>
      </c>
      <c r="I1640" s="12" t="s">
        <v>6962</v>
      </c>
      <c r="J1640" s="12" t="s">
        <v>7790</v>
      </c>
      <c r="K1640" s="12" t="s">
        <v>6098</v>
      </c>
      <c r="L1640" s="12" t="s">
        <v>6099</v>
      </c>
      <c r="M1640" s="12" t="s">
        <v>6100</v>
      </c>
    </row>
    <row r="1641" spans="1:13" ht="39.6">
      <c r="A1641" s="21" t="s">
        <v>4194</v>
      </c>
      <c r="B1641" s="21" t="s">
        <v>4197</v>
      </c>
      <c r="C1641" s="21" t="s">
        <v>4195</v>
      </c>
      <c r="D1641" s="21" t="s">
        <v>71</v>
      </c>
      <c r="E1641" s="22" t="s">
        <v>4196</v>
      </c>
      <c r="F1641" s="22" t="s">
        <v>4197</v>
      </c>
      <c r="G1641" s="21" t="s">
        <v>4198</v>
      </c>
      <c r="H1641" s="21" t="s">
        <v>4199</v>
      </c>
      <c r="I1641" s="12" t="s">
        <v>6963</v>
      </c>
      <c r="J1641" s="12" t="s">
        <v>7791</v>
      </c>
      <c r="K1641" s="12"/>
      <c r="L1641" s="12" t="s">
        <v>6101</v>
      </c>
      <c r="M1641" s="12" t="s">
        <v>6102</v>
      </c>
    </row>
    <row r="1642" spans="1:13" ht="39.6">
      <c r="A1642" s="21" t="s">
        <v>4194</v>
      </c>
      <c r="B1642" s="21" t="s">
        <v>4197</v>
      </c>
      <c r="C1642" s="21" t="s">
        <v>4195</v>
      </c>
      <c r="D1642" s="21" t="s">
        <v>71</v>
      </c>
      <c r="E1642" s="22" t="s">
        <v>4196</v>
      </c>
      <c r="F1642" s="22" t="s">
        <v>4197</v>
      </c>
      <c r="G1642" s="21" t="s">
        <v>4198</v>
      </c>
      <c r="H1642" s="21" t="s">
        <v>4199</v>
      </c>
      <c r="I1642" s="12" t="s">
        <v>6964</v>
      </c>
      <c r="J1642" s="12" t="s">
        <v>7792</v>
      </c>
      <c r="K1642" s="12" t="s">
        <v>6103</v>
      </c>
      <c r="L1642" s="12" t="s">
        <v>6104</v>
      </c>
      <c r="M1642" s="12" t="s">
        <v>6105</v>
      </c>
    </row>
    <row r="1643" spans="1:13" ht="39.6">
      <c r="A1643" s="21" t="s">
        <v>4194</v>
      </c>
      <c r="B1643" s="21" t="s">
        <v>4197</v>
      </c>
      <c r="C1643" s="21" t="s">
        <v>4195</v>
      </c>
      <c r="D1643" s="21" t="s">
        <v>71</v>
      </c>
      <c r="E1643" s="22" t="s">
        <v>4196</v>
      </c>
      <c r="F1643" s="22" t="s">
        <v>4197</v>
      </c>
      <c r="G1643" s="21" t="s">
        <v>4198</v>
      </c>
      <c r="H1643" s="21" t="s">
        <v>4199</v>
      </c>
      <c r="I1643" s="12" t="s">
        <v>6965</v>
      </c>
      <c r="J1643" s="12" t="s">
        <v>7793</v>
      </c>
      <c r="K1643" s="12" t="s">
        <v>6106</v>
      </c>
      <c r="L1643" s="12" t="s">
        <v>6107</v>
      </c>
      <c r="M1643" s="12" t="s">
        <v>6108</v>
      </c>
    </row>
    <row r="1644" spans="1:13" ht="39.6">
      <c r="A1644" s="21" t="s">
        <v>4194</v>
      </c>
      <c r="B1644" s="21" t="s">
        <v>4197</v>
      </c>
      <c r="C1644" s="21" t="s">
        <v>4195</v>
      </c>
      <c r="D1644" s="21" t="s">
        <v>71</v>
      </c>
      <c r="E1644" s="22" t="s">
        <v>4196</v>
      </c>
      <c r="F1644" s="22" t="s">
        <v>4197</v>
      </c>
      <c r="G1644" s="21" t="s">
        <v>4198</v>
      </c>
      <c r="H1644" s="21" t="s">
        <v>4199</v>
      </c>
      <c r="I1644" s="12" t="s">
        <v>6966</v>
      </c>
      <c r="J1644" s="12" t="s">
        <v>7794</v>
      </c>
      <c r="K1644" s="12" t="s">
        <v>6109</v>
      </c>
      <c r="L1644" s="12" t="s">
        <v>6110</v>
      </c>
      <c r="M1644" s="12" t="s">
        <v>6111</v>
      </c>
    </row>
    <row r="1645" spans="1:13" ht="39.6">
      <c r="A1645" s="21" t="s">
        <v>4194</v>
      </c>
      <c r="B1645" s="21" t="s">
        <v>4197</v>
      </c>
      <c r="C1645" s="21" t="s">
        <v>4195</v>
      </c>
      <c r="D1645" s="21" t="s">
        <v>71</v>
      </c>
      <c r="E1645" s="22" t="s">
        <v>4196</v>
      </c>
      <c r="F1645" s="22" t="s">
        <v>4197</v>
      </c>
      <c r="G1645" s="21" t="s">
        <v>4198</v>
      </c>
      <c r="H1645" s="21" t="s">
        <v>4199</v>
      </c>
      <c r="I1645" s="12" t="s">
        <v>6967</v>
      </c>
      <c r="J1645" s="12" t="s">
        <v>7795</v>
      </c>
      <c r="K1645" s="12"/>
      <c r="L1645" s="12" t="s">
        <v>6112</v>
      </c>
      <c r="M1645" s="12" t="s">
        <v>6113</v>
      </c>
    </row>
    <row r="1646" spans="1:13" ht="52.8">
      <c r="A1646" s="21" t="s">
        <v>4194</v>
      </c>
      <c r="B1646" s="21" t="s">
        <v>4197</v>
      </c>
      <c r="C1646" s="21" t="s">
        <v>4195</v>
      </c>
      <c r="D1646" s="21" t="s">
        <v>71</v>
      </c>
      <c r="E1646" s="22" t="s">
        <v>4196</v>
      </c>
      <c r="F1646" s="22" t="s">
        <v>4197</v>
      </c>
      <c r="G1646" s="21" t="s">
        <v>4198</v>
      </c>
      <c r="H1646" s="21" t="s">
        <v>4199</v>
      </c>
      <c r="I1646" s="12" t="s">
        <v>6968</v>
      </c>
      <c r="J1646" s="12" t="s">
        <v>7796</v>
      </c>
      <c r="K1646" s="12" t="s">
        <v>6114</v>
      </c>
      <c r="L1646" s="12" t="s">
        <v>6115</v>
      </c>
      <c r="M1646" s="12" t="s">
        <v>6116</v>
      </c>
    </row>
    <row r="1647" spans="1:13" ht="39.6">
      <c r="A1647" s="21" t="s">
        <v>4194</v>
      </c>
      <c r="B1647" s="21" t="s">
        <v>4197</v>
      </c>
      <c r="C1647" s="21" t="s">
        <v>4195</v>
      </c>
      <c r="D1647" s="21" t="s">
        <v>71</v>
      </c>
      <c r="E1647" s="22" t="s">
        <v>4196</v>
      </c>
      <c r="F1647" s="22" t="s">
        <v>4197</v>
      </c>
      <c r="G1647" s="21" t="s">
        <v>4198</v>
      </c>
      <c r="H1647" s="21" t="s">
        <v>4199</v>
      </c>
      <c r="I1647" s="12" t="s">
        <v>6969</v>
      </c>
      <c r="J1647" s="12" t="s">
        <v>7797</v>
      </c>
      <c r="K1647" s="12" t="s">
        <v>6117</v>
      </c>
      <c r="L1647" s="12" t="s">
        <v>6118</v>
      </c>
      <c r="M1647" s="12" t="s">
        <v>6119</v>
      </c>
    </row>
    <row r="1648" spans="1:13" ht="39.6">
      <c r="A1648" s="21" t="s">
        <v>4194</v>
      </c>
      <c r="B1648" s="21" t="s">
        <v>4197</v>
      </c>
      <c r="C1648" s="21" t="s">
        <v>4195</v>
      </c>
      <c r="D1648" s="21" t="s">
        <v>71</v>
      </c>
      <c r="E1648" s="22" t="s">
        <v>4196</v>
      </c>
      <c r="F1648" s="22" t="s">
        <v>4197</v>
      </c>
      <c r="G1648" s="21" t="s">
        <v>4198</v>
      </c>
      <c r="H1648" s="21" t="s">
        <v>4199</v>
      </c>
      <c r="I1648" s="12" t="s">
        <v>6970</v>
      </c>
      <c r="J1648" s="12" t="s">
        <v>7798</v>
      </c>
      <c r="K1648" s="12" t="s">
        <v>6120</v>
      </c>
      <c r="L1648" s="12" t="s">
        <v>6121</v>
      </c>
      <c r="M1648" s="12" t="s">
        <v>6122</v>
      </c>
    </row>
    <row r="1649" spans="1:13" ht="39.6">
      <c r="A1649" s="21" t="s">
        <v>4194</v>
      </c>
      <c r="B1649" s="21" t="s">
        <v>4197</v>
      </c>
      <c r="C1649" s="21" t="s">
        <v>4195</v>
      </c>
      <c r="D1649" s="21" t="s">
        <v>71</v>
      </c>
      <c r="E1649" s="22" t="s">
        <v>4196</v>
      </c>
      <c r="F1649" s="22" t="s">
        <v>4197</v>
      </c>
      <c r="G1649" s="21" t="s">
        <v>4198</v>
      </c>
      <c r="H1649" s="21" t="s">
        <v>4199</v>
      </c>
      <c r="I1649" s="12" t="s">
        <v>6971</v>
      </c>
      <c r="J1649" s="12" t="s">
        <v>7799</v>
      </c>
      <c r="K1649" s="12" t="s">
        <v>6123</v>
      </c>
      <c r="L1649" s="12" t="s">
        <v>6124</v>
      </c>
      <c r="M1649" s="12" t="s">
        <v>6125</v>
      </c>
    </row>
    <row r="1650" spans="1:13" ht="39.6">
      <c r="A1650" s="21" t="s">
        <v>4194</v>
      </c>
      <c r="B1650" s="21" t="s">
        <v>4197</v>
      </c>
      <c r="C1650" s="21" t="s">
        <v>4195</v>
      </c>
      <c r="D1650" s="21" t="s">
        <v>71</v>
      </c>
      <c r="E1650" s="22" t="s">
        <v>4196</v>
      </c>
      <c r="F1650" s="22" t="s">
        <v>4197</v>
      </c>
      <c r="G1650" s="21" t="s">
        <v>4198</v>
      </c>
      <c r="H1650" s="21" t="s">
        <v>4199</v>
      </c>
      <c r="I1650" s="12" t="s">
        <v>6972</v>
      </c>
      <c r="J1650" s="12" t="s">
        <v>7800</v>
      </c>
      <c r="K1650" s="12"/>
      <c r="L1650" s="12" t="s">
        <v>6126</v>
      </c>
      <c r="M1650" s="12" t="s">
        <v>6127</v>
      </c>
    </row>
    <row r="1651" spans="1:13" ht="39.6">
      <c r="A1651" s="21" t="s">
        <v>4194</v>
      </c>
      <c r="B1651" s="21" t="s">
        <v>4197</v>
      </c>
      <c r="C1651" s="21" t="s">
        <v>4195</v>
      </c>
      <c r="D1651" s="21" t="s">
        <v>71</v>
      </c>
      <c r="E1651" s="22" t="s">
        <v>4196</v>
      </c>
      <c r="F1651" s="22" t="s">
        <v>4197</v>
      </c>
      <c r="G1651" s="21" t="s">
        <v>4198</v>
      </c>
      <c r="H1651" s="21" t="s">
        <v>4199</v>
      </c>
      <c r="I1651" s="12" t="s">
        <v>6973</v>
      </c>
      <c r="J1651" s="12" t="s">
        <v>7801</v>
      </c>
      <c r="K1651" s="12"/>
      <c r="L1651" s="12" t="s">
        <v>6128</v>
      </c>
      <c r="M1651" s="12" t="s">
        <v>6129</v>
      </c>
    </row>
    <row r="1652" spans="1:13" ht="39.6">
      <c r="A1652" s="21" t="s">
        <v>4194</v>
      </c>
      <c r="B1652" s="21" t="s">
        <v>4197</v>
      </c>
      <c r="C1652" s="21" t="s">
        <v>4195</v>
      </c>
      <c r="D1652" s="21" t="s">
        <v>71</v>
      </c>
      <c r="E1652" s="22" t="s">
        <v>4196</v>
      </c>
      <c r="F1652" s="22" t="s">
        <v>4197</v>
      </c>
      <c r="G1652" s="21" t="s">
        <v>4198</v>
      </c>
      <c r="H1652" s="21" t="s">
        <v>4199</v>
      </c>
      <c r="I1652" s="12" t="s">
        <v>6974</v>
      </c>
      <c r="J1652" s="12" t="s">
        <v>7802</v>
      </c>
      <c r="K1652" s="12"/>
      <c r="L1652" s="12" t="s">
        <v>6130</v>
      </c>
      <c r="M1652" s="12" t="s">
        <v>6131</v>
      </c>
    </row>
    <row r="1653" spans="1:13" ht="39.6">
      <c r="A1653" s="21" t="s">
        <v>4194</v>
      </c>
      <c r="B1653" s="21" t="s">
        <v>4197</v>
      </c>
      <c r="C1653" s="21" t="s">
        <v>4195</v>
      </c>
      <c r="D1653" s="21" t="s">
        <v>71</v>
      </c>
      <c r="E1653" s="22" t="s">
        <v>4196</v>
      </c>
      <c r="F1653" s="22" t="s">
        <v>4197</v>
      </c>
      <c r="G1653" s="21" t="s">
        <v>4198</v>
      </c>
      <c r="H1653" s="21" t="s">
        <v>4199</v>
      </c>
      <c r="I1653" s="12" t="s">
        <v>6975</v>
      </c>
      <c r="J1653" s="12" t="s">
        <v>7803</v>
      </c>
      <c r="K1653" s="12" t="s">
        <v>6132</v>
      </c>
      <c r="L1653" s="12" t="s">
        <v>6133</v>
      </c>
      <c r="M1653" s="12" t="s">
        <v>6134</v>
      </c>
    </row>
    <row r="1654" spans="1:13" ht="39.6">
      <c r="A1654" s="21" t="s">
        <v>4194</v>
      </c>
      <c r="B1654" s="21" t="s">
        <v>4197</v>
      </c>
      <c r="C1654" s="21" t="s">
        <v>4195</v>
      </c>
      <c r="D1654" s="21" t="s">
        <v>71</v>
      </c>
      <c r="E1654" s="22" t="s">
        <v>4196</v>
      </c>
      <c r="F1654" s="22" t="s">
        <v>4197</v>
      </c>
      <c r="G1654" s="21" t="s">
        <v>4198</v>
      </c>
      <c r="H1654" s="21" t="s">
        <v>4199</v>
      </c>
      <c r="I1654" s="12" t="s">
        <v>6976</v>
      </c>
      <c r="J1654" s="12" t="s">
        <v>7804</v>
      </c>
      <c r="K1654" s="12"/>
      <c r="L1654" s="12" t="s">
        <v>6135</v>
      </c>
      <c r="M1654" s="12" t="s">
        <v>6136</v>
      </c>
    </row>
    <row r="1655" spans="1:13" ht="39.6">
      <c r="A1655" s="21" t="s">
        <v>4194</v>
      </c>
      <c r="B1655" s="21" t="s">
        <v>4197</v>
      </c>
      <c r="C1655" s="21" t="s">
        <v>4195</v>
      </c>
      <c r="D1655" s="21" t="s">
        <v>71</v>
      </c>
      <c r="E1655" s="22" t="s">
        <v>4196</v>
      </c>
      <c r="F1655" s="22" t="s">
        <v>4197</v>
      </c>
      <c r="G1655" s="21" t="s">
        <v>4198</v>
      </c>
      <c r="H1655" s="21" t="s">
        <v>4199</v>
      </c>
      <c r="I1655" s="12" t="s">
        <v>6977</v>
      </c>
      <c r="J1655" s="12" t="s">
        <v>7805</v>
      </c>
      <c r="K1655" s="12"/>
      <c r="L1655" s="12" t="s">
        <v>6137</v>
      </c>
      <c r="M1655" s="12" t="s">
        <v>6138</v>
      </c>
    </row>
    <row r="1656" spans="1:13" ht="79.2">
      <c r="A1656" s="21" t="s">
        <v>4194</v>
      </c>
      <c r="B1656" s="21" t="s">
        <v>4197</v>
      </c>
      <c r="C1656" s="21" t="s">
        <v>4195</v>
      </c>
      <c r="D1656" s="21" t="s">
        <v>71</v>
      </c>
      <c r="E1656" s="22" t="s">
        <v>4196</v>
      </c>
      <c r="F1656" s="22" t="s">
        <v>4197</v>
      </c>
      <c r="G1656" s="21" t="s">
        <v>4198</v>
      </c>
      <c r="H1656" s="21" t="s">
        <v>4199</v>
      </c>
      <c r="I1656" s="12" t="s">
        <v>6978</v>
      </c>
      <c r="J1656" s="12" t="s">
        <v>7806</v>
      </c>
      <c r="K1656" s="12" t="s">
        <v>6139</v>
      </c>
      <c r="L1656" s="12" t="s">
        <v>6140</v>
      </c>
      <c r="M1656" s="12" t="s">
        <v>6141</v>
      </c>
    </row>
    <row r="1657" spans="1:13" ht="39.6">
      <c r="A1657" s="21" t="s">
        <v>4194</v>
      </c>
      <c r="B1657" s="21" t="s">
        <v>4197</v>
      </c>
      <c r="C1657" s="21" t="s">
        <v>4195</v>
      </c>
      <c r="D1657" s="21" t="s">
        <v>71</v>
      </c>
      <c r="E1657" s="22" t="s">
        <v>4196</v>
      </c>
      <c r="F1657" s="22" t="s">
        <v>4197</v>
      </c>
      <c r="G1657" s="21" t="s">
        <v>4198</v>
      </c>
      <c r="H1657" s="21" t="s">
        <v>4199</v>
      </c>
      <c r="I1657" s="12" t="s">
        <v>6979</v>
      </c>
      <c r="J1657" s="12" t="s">
        <v>7807</v>
      </c>
      <c r="K1657" s="12" t="s">
        <v>6142</v>
      </c>
      <c r="L1657" s="12" t="s">
        <v>6143</v>
      </c>
      <c r="M1657" s="12" t="s">
        <v>6142</v>
      </c>
    </row>
    <row r="1658" spans="1:13" ht="39.6">
      <c r="A1658" s="21" t="s">
        <v>4194</v>
      </c>
      <c r="B1658" s="21" t="s">
        <v>4197</v>
      </c>
      <c r="C1658" s="21" t="s">
        <v>4195</v>
      </c>
      <c r="D1658" s="21" t="s">
        <v>71</v>
      </c>
      <c r="E1658" s="22" t="s">
        <v>4196</v>
      </c>
      <c r="F1658" s="22" t="s">
        <v>4197</v>
      </c>
      <c r="G1658" s="21" t="s">
        <v>4198</v>
      </c>
      <c r="H1658" s="21" t="s">
        <v>4199</v>
      </c>
      <c r="I1658" s="12" t="s">
        <v>6980</v>
      </c>
      <c r="J1658" s="12" t="s">
        <v>7808</v>
      </c>
      <c r="K1658" s="12" t="s">
        <v>6144</v>
      </c>
      <c r="L1658" s="12" t="s">
        <v>6145</v>
      </c>
      <c r="M1658" s="12" t="s">
        <v>6146</v>
      </c>
    </row>
    <row r="1659" spans="1:13" ht="39.6">
      <c r="A1659" s="21" t="s">
        <v>4194</v>
      </c>
      <c r="B1659" s="21" t="s">
        <v>4197</v>
      </c>
      <c r="C1659" s="21" t="s">
        <v>4195</v>
      </c>
      <c r="D1659" s="21" t="s">
        <v>71</v>
      </c>
      <c r="E1659" s="22" t="s">
        <v>4196</v>
      </c>
      <c r="F1659" s="22" t="s">
        <v>4197</v>
      </c>
      <c r="G1659" s="21" t="s">
        <v>4198</v>
      </c>
      <c r="H1659" s="21" t="s">
        <v>4199</v>
      </c>
      <c r="I1659" s="12" t="s">
        <v>6981</v>
      </c>
      <c r="J1659" s="12" t="s">
        <v>7809</v>
      </c>
      <c r="K1659" s="12" t="s">
        <v>6147</v>
      </c>
      <c r="L1659" s="12" t="s">
        <v>6148</v>
      </c>
      <c r="M1659" s="12" t="s">
        <v>6149</v>
      </c>
    </row>
    <row r="1660" spans="1:13" ht="39.6">
      <c r="A1660" s="21" t="s">
        <v>4194</v>
      </c>
      <c r="B1660" s="21" t="s">
        <v>4197</v>
      </c>
      <c r="C1660" s="21" t="s">
        <v>4195</v>
      </c>
      <c r="D1660" s="21" t="s">
        <v>71</v>
      </c>
      <c r="E1660" s="22" t="s">
        <v>4196</v>
      </c>
      <c r="F1660" s="22" t="s">
        <v>4197</v>
      </c>
      <c r="G1660" s="21" t="s">
        <v>4198</v>
      </c>
      <c r="H1660" s="21" t="s">
        <v>4199</v>
      </c>
      <c r="I1660" s="12" t="s">
        <v>6982</v>
      </c>
      <c r="J1660" s="12" t="s">
        <v>7810</v>
      </c>
      <c r="K1660" s="12" t="s">
        <v>6150</v>
      </c>
      <c r="L1660" s="12" t="s">
        <v>6151</v>
      </c>
      <c r="M1660" s="12" t="s">
        <v>6150</v>
      </c>
    </row>
    <row r="1661" spans="1:13" ht="39.6">
      <c r="A1661" s="21" t="s">
        <v>4194</v>
      </c>
      <c r="B1661" s="21" t="s">
        <v>4197</v>
      </c>
      <c r="C1661" s="21" t="s">
        <v>4195</v>
      </c>
      <c r="D1661" s="21" t="s">
        <v>71</v>
      </c>
      <c r="E1661" s="22" t="s">
        <v>4196</v>
      </c>
      <c r="F1661" s="22" t="s">
        <v>4197</v>
      </c>
      <c r="G1661" s="21" t="s">
        <v>4198</v>
      </c>
      <c r="H1661" s="21" t="s">
        <v>4199</v>
      </c>
      <c r="I1661" s="12" t="s">
        <v>6983</v>
      </c>
      <c r="J1661" s="12" t="s">
        <v>7811</v>
      </c>
      <c r="K1661" s="12" t="s">
        <v>6152</v>
      </c>
      <c r="L1661" s="12" t="s">
        <v>6153</v>
      </c>
      <c r="M1661" s="12" t="s">
        <v>6154</v>
      </c>
    </row>
    <row r="1662" spans="1:13" ht="39.6">
      <c r="A1662" s="21" t="s">
        <v>4194</v>
      </c>
      <c r="B1662" s="21" t="s">
        <v>4197</v>
      </c>
      <c r="C1662" s="21" t="s">
        <v>4195</v>
      </c>
      <c r="D1662" s="21" t="s">
        <v>71</v>
      </c>
      <c r="E1662" s="22" t="s">
        <v>4196</v>
      </c>
      <c r="F1662" s="22" t="s">
        <v>4197</v>
      </c>
      <c r="G1662" s="21" t="s">
        <v>4198</v>
      </c>
      <c r="H1662" s="21" t="s">
        <v>4199</v>
      </c>
      <c r="I1662" s="12" t="s">
        <v>6984</v>
      </c>
      <c r="J1662" s="12" t="s">
        <v>7812</v>
      </c>
      <c r="K1662" s="12" t="s">
        <v>6155</v>
      </c>
      <c r="L1662" s="12" t="s">
        <v>6156</v>
      </c>
      <c r="M1662" s="12" t="s">
        <v>6157</v>
      </c>
    </row>
    <row r="1663" spans="1:13" ht="39.6">
      <c r="A1663" s="21" t="s">
        <v>4194</v>
      </c>
      <c r="B1663" s="21" t="s">
        <v>4197</v>
      </c>
      <c r="C1663" s="21" t="s">
        <v>4195</v>
      </c>
      <c r="D1663" s="21" t="s">
        <v>71</v>
      </c>
      <c r="E1663" s="22" t="s">
        <v>4196</v>
      </c>
      <c r="F1663" s="22" t="s">
        <v>4197</v>
      </c>
      <c r="G1663" s="21" t="s">
        <v>4198</v>
      </c>
      <c r="H1663" s="21" t="s">
        <v>4199</v>
      </c>
      <c r="I1663" s="12" t="s">
        <v>6985</v>
      </c>
      <c r="J1663" s="12" t="s">
        <v>7813</v>
      </c>
      <c r="K1663" s="12" t="s">
        <v>6158</v>
      </c>
      <c r="L1663" s="12" t="s">
        <v>6159</v>
      </c>
      <c r="M1663" s="12" t="s">
        <v>6158</v>
      </c>
    </row>
    <row r="1664" spans="1:13" ht="39.6">
      <c r="A1664" s="21" t="s">
        <v>4194</v>
      </c>
      <c r="B1664" s="21" t="s">
        <v>4197</v>
      </c>
      <c r="C1664" s="21" t="s">
        <v>4195</v>
      </c>
      <c r="D1664" s="21" t="s">
        <v>71</v>
      </c>
      <c r="E1664" s="22" t="s">
        <v>4196</v>
      </c>
      <c r="F1664" s="22" t="s">
        <v>4197</v>
      </c>
      <c r="G1664" s="21" t="s">
        <v>4198</v>
      </c>
      <c r="H1664" s="21" t="s">
        <v>4199</v>
      </c>
      <c r="I1664" s="12" t="s">
        <v>6986</v>
      </c>
      <c r="J1664" s="12" t="s">
        <v>7814</v>
      </c>
      <c r="K1664" s="12"/>
      <c r="L1664" s="12" t="s">
        <v>6160</v>
      </c>
      <c r="M1664" s="12" t="s">
        <v>6161</v>
      </c>
    </row>
    <row r="1665" spans="1:13" ht="39.6">
      <c r="A1665" s="21" t="s">
        <v>4194</v>
      </c>
      <c r="B1665" s="21" t="s">
        <v>4197</v>
      </c>
      <c r="C1665" s="21" t="s">
        <v>4195</v>
      </c>
      <c r="D1665" s="21" t="s">
        <v>71</v>
      </c>
      <c r="E1665" s="22" t="s">
        <v>4196</v>
      </c>
      <c r="F1665" s="22" t="s">
        <v>4197</v>
      </c>
      <c r="G1665" s="21" t="s">
        <v>4198</v>
      </c>
      <c r="H1665" s="21" t="s">
        <v>4199</v>
      </c>
      <c r="I1665" s="12" t="s">
        <v>6987</v>
      </c>
      <c r="J1665" s="12" t="s">
        <v>7815</v>
      </c>
      <c r="K1665" s="12"/>
      <c r="L1665" s="12" t="s">
        <v>6162</v>
      </c>
      <c r="M1665" s="12" t="s">
        <v>6163</v>
      </c>
    </row>
    <row r="1666" spans="1:13" ht="39.6">
      <c r="A1666" s="21" t="s">
        <v>4194</v>
      </c>
      <c r="B1666" s="21" t="s">
        <v>4197</v>
      </c>
      <c r="C1666" s="21" t="s">
        <v>4195</v>
      </c>
      <c r="D1666" s="21" t="s">
        <v>71</v>
      </c>
      <c r="E1666" s="22" t="s">
        <v>4196</v>
      </c>
      <c r="F1666" s="22" t="s">
        <v>4197</v>
      </c>
      <c r="G1666" s="21" t="s">
        <v>4198</v>
      </c>
      <c r="H1666" s="21" t="s">
        <v>4199</v>
      </c>
      <c r="I1666" s="12" t="s">
        <v>6988</v>
      </c>
      <c r="J1666" s="12" t="s">
        <v>7816</v>
      </c>
      <c r="K1666" s="12" t="s">
        <v>6164</v>
      </c>
      <c r="L1666" s="12" t="s">
        <v>6165</v>
      </c>
      <c r="M1666" s="12" t="s">
        <v>6166</v>
      </c>
    </row>
    <row r="1667" spans="1:13" ht="52.8">
      <c r="A1667" s="21" t="s">
        <v>4194</v>
      </c>
      <c r="B1667" s="21" t="s">
        <v>4197</v>
      </c>
      <c r="C1667" s="21" t="s">
        <v>4195</v>
      </c>
      <c r="D1667" s="21" t="s">
        <v>71</v>
      </c>
      <c r="E1667" s="22" t="s">
        <v>4196</v>
      </c>
      <c r="F1667" s="22" t="s">
        <v>4197</v>
      </c>
      <c r="G1667" s="21" t="s">
        <v>4198</v>
      </c>
      <c r="H1667" s="21" t="s">
        <v>4199</v>
      </c>
      <c r="I1667" s="12" t="s">
        <v>6989</v>
      </c>
      <c r="J1667" s="12" t="s">
        <v>7817</v>
      </c>
      <c r="K1667" s="12" t="s">
        <v>6167</v>
      </c>
      <c r="L1667" s="12" t="s">
        <v>6168</v>
      </c>
      <c r="M1667" s="12" t="s">
        <v>6169</v>
      </c>
    </row>
    <row r="1668" spans="1:13" ht="39.6">
      <c r="A1668" s="21" t="s">
        <v>4194</v>
      </c>
      <c r="B1668" s="21" t="s">
        <v>4197</v>
      </c>
      <c r="C1668" s="21" t="s">
        <v>4195</v>
      </c>
      <c r="D1668" s="21" t="s">
        <v>71</v>
      </c>
      <c r="E1668" s="22" t="s">
        <v>4196</v>
      </c>
      <c r="F1668" s="22" t="s">
        <v>4197</v>
      </c>
      <c r="G1668" s="21" t="s">
        <v>4198</v>
      </c>
      <c r="H1668" s="21" t="s">
        <v>4199</v>
      </c>
      <c r="I1668" s="12" t="s">
        <v>6990</v>
      </c>
      <c r="J1668" s="12" t="s">
        <v>7818</v>
      </c>
      <c r="K1668" s="12"/>
      <c r="L1668" s="12" t="s">
        <v>6170</v>
      </c>
      <c r="M1668" s="12" t="s">
        <v>6171</v>
      </c>
    </row>
    <row r="1669" spans="1:13" ht="92.4">
      <c r="A1669" s="21" t="s">
        <v>4194</v>
      </c>
      <c r="B1669" s="21" t="s">
        <v>4197</v>
      </c>
      <c r="C1669" s="21" t="s">
        <v>4195</v>
      </c>
      <c r="D1669" s="21" t="s">
        <v>71</v>
      </c>
      <c r="E1669" s="22" t="s">
        <v>4196</v>
      </c>
      <c r="F1669" s="22" t="s">
        <v>4197</v>
      </c>
      <c r="G1669" s="21" t="s">
        <v>4198</v>
      </c>
      <c r="H1669" s="21" t="s">
        <v>4199</v>
      </c>
      <c r="I1669" s="12" t="s">
        <v>6991</v>
      </c>
      <c r="J1669" s="12" t="s">
        <v>7819</v>
      </c>
      <c r="K1669" s="12" t="s">
        <v>6172</v>
      </c>
      <c r="L1669" s="12" t="s">
        <v>6173</v>
      </c>
      <c r="M1669" s="12" t="s">
        <v>6172</v>
      </c>
    </row>
    <row r="1670" spans="1:13" ht="39.6">
      <c r="A1670" s="21" t="s">
        <v>4194</v>
      </c>
      <c r="B1670" s="21" t="s">
        <v>4197</v>
      </c>
      <c r="C1670" s="21" t="s">
        <v>4195</v>
      </c>
      <c r="D1670" s="21" t="s">
        <v>71</v>
      </c>
      <c r="E1670" s="22" t="s">
        <v>4196</v>
      </c>
      <c r="F1670" s="22" t="s">
        <v>4197</v>
      </c>
      <c r="G1670" s="21" t="s">
        <v>4198</v>
      </c>
      <c r="H1670" s="21" t="s">
        <v>4199</v>
      </c>
      <c r="I1670" s="12" t="s">
        <v>6992</v>
      </c>
      <c r="J1670" s="12" t="s">
        <v>7820</v>
      </c>
      <c r="K1670" s="12" t="s">
        <v>6174</v>
      </c>
      <c r="L1670" s="12" t="s">
        <v>6175</v>
      </c>
      <c r="M1670" s="12" t="s">
        <v>6176</v>
      </c>
    </row>
    <row r="1671" spans="1:13" ht="39.6">
      <c r="A1671" s="21" t="s">
        <v>4194</v>
      </c>
      <c r="B1671" s="21" t="s">
        <v>4197</v>
      </c>
      <c r="C1671" s="21" t="s">
        <v>4195</v>
      </c>
      <c r="D1671" s="21" t="s">
        <v>71</v>
      </c>
      <c r="E1671" s="22" t="s">
        <v>4196</v>
      </c>
      <c r="F1671" s="22" t="s">
        <v>4197</v>
      </c>
      <c r="G1671" s="21" t="s">
        <v>4198</v>
      </c>
      <c r="H1671" s="21" t="s">
        <v>4199</v>
      </c>
      <c r="I1671" s="12" t="s">
        <v>6993</v>
      </c>
      <c r="J1671" s="12" t="s">
        <v>7821</v>
      </c>
      <c r="K1671" s="12" t="s">
        <v>6177</v>
      </c>
      <c r="L1671" s="12" t="s">
        <v>6178</v>
      </c>
      <c r="M1671" s="12" t="s">
        <v>6179</v>
      </c>
    </row>
    <row r="1672" spans="1:13" ht="39.6">
      <c r="A1672" s="21" t="s">
        <v>4194</v>
      </c>
      <c r="B1672" s="21" t="s">
        <v>4197</v>
      </c>
      <c r="C1672" s="21" t="s">
        <v>4195</v>
      </c>
      <c r="D1672" s="21" t="s">
        <v>71</v>
      </c>
      <c r="E1672" s="22" t="s">
        <v>4196</v>
      </c>
      <c r="F1672" s="22" t="s">
        <v>4197</v>
      </c>
      <c r="G1672" s="21" t="s">
        <v>4198</v>
      </c>
      <c r="H1672" s="21" t="s">
        <v>4199</v>
      </c>
      <c r="I1672" s="12" t="s">
        <v>6994</v>
      </c>
      <c r="J1672" s="12" t="s">
        <v>7822</v>
      </c>
      <c r="K1672" s="12" t="s">
        <v>6180</v>
      </c>
      <c r="L1672" s="12" t="s">
        <v>6181</v>
      </c>
      <c r="M1672" s="12" t="s">
        <v>6180</v>
      </c>
    </row>
    <row r="1673" spans="1:13" ht="39.6">
      <c r="A1673" s="21" t="s">
        <v>4194</v>
      </c>
      <c r="B1673" s="21" t="s">
        <v>4197</v>
      </c>
      <c r="C1673" s="21" t="s">
        <v>4195</v>
      </c>
      <c r="D1673" s="21" t="s">
        <v>71</v>
      </c>
      <c r="E1673" s="22" t="s">
        <v>4196</v>
      </c>
      <c r="F1673" s="22" t="s">
        <v>4197</v>
      </c>
      <c r="G1673" s="21" t="s">
        <v>4198</v>
      </c>
      <c r="H1673" s="21" t="s">
        <v>4199</v>
      </c>
      <c r="I1673" s="12" t="s">
        <v>6995</v>
      </c>
      <c r="J1673" s="12" t="s">
        <v>7823</v>
      </c>
      <c r="K1673" s="12" t="s">
        <v>6182</v>
      </c>
      <c r="L1673" s="12" t="s">
        <v>6183</v>
      </c>
      <c r="M1673" s="12" t="s">
        <v>6184</v>
      </c>
    </row>
    <row r="1674" spans="1:13" ht="39.6">
      <c r="A1674" s="21" t="s">
        <v>4194</v>
      </c>
      <c r="B1674" s="21" t="s">
        <v>4197</v>
      </c>
      <c r="C1674" s="21" t="s">
        <v>4195</v>
      </c>
      <c r="D1674" s="21" t="s">
        <v>71</v>
      </c>
      <c r="E1674" s="22" t="s">
        <v>4196</v>
      </c>
      <c r="F1674" s="22" t="s">
        <v>4197</v>
      </c>
      <c r="G1674" s="21" t="s">
        <v>4198</v>
      </c>
      <c r="H1674" s="21" t="s">
        <v>4199</v>
      </c>
      <c r="I1674" s="12" t="s">
        <v>6996</v>
      </c>
      <c r="J1674" s="12" t="s">
        <v>7824</v>
      </c>
      <c r="K1674" s="12" t="s">
        <v>6185</v>
      </c>
      <c r="L1674" s="12" t="s">
        <v>6186</v>
      </c>
      <c r="M1674" s="12" t="s">
        <v>6185</v>
      </c>
    </row>
    <row r="1675" spans="1:13" ht="39.6">
      <c r="A1675" s="21" t="s">
        <v>4194</v>
      </c>
      <c r="B1675" s="21" t="s">
        <v>4197</v>
      </c>
      <c r="C1675" s="21" t="s">
        <v>4195</v>
      </c>
      <c r="D1675" s="21" t="s">
        <v>71</v>
      </c>
      <c r="E1675" s="22" t="s">
        <v>4196</v>
      </c>
      <c r="F1675" s="22" t="s">
        <v>4197</v>
      </c>
      <c r="G1675" s="21" t="s">
        <v>4198</v>
      </c>
      <c r="H1675" s="21" t="s">
        <v>4199</v>
      </c>
      <c r="I1675" s="12" t="s">
        <v>6997</v>
      </c>
      <c r="J1675" s="12" t="s">
        <v>7825</v>
      </c>
      <c r="K1675" s="12"/>
      <c r="L1675" s="12" t="s">
        <v>6187</v>
      </c>
      <c r="M1675" s="12" t="s">
        <v>6188</v>
      </c>
    </row>
    <row r="1676" spans="1:13" ht="39.6">
      <c r="A1676" s="21" t="s">
        <v>4194</v>
      </c>
      <c r="B1676" s="21" t="s">
        <v>4197</v>
      </c>
      <c r="C1676" s="21" t="s">
        <v>4195</v>
      </c>
      <c r="D1676" s="21" t="s">
        <v>71</v>
      </c>
      <c r="E1676" s="22" t="s">
        <v>4196</v>
      </c>
      <c r="F1676" s="22" t="s">
        <v>4197</v>
      </c>
      <c r="G1676" s="21" t="s">
        <v>4198</v>
      </c>
      <c r="H1676" s="21" t="s">
        <v>4199</v>
      </c>
      <c r="I1676" s="12" t="s">
        <v>6998</v>
      </c>
      <c r="J1676" s="12" t="s">
        <v>7826</v>
      </c>
      <c r="K1676" s="12" t="s">
        <v>6189</v>
      </c>
      <c r="L1676" s="12" t="s">
        <v>6190</v>
      </c>
      <c r="M1676" s="12" t="s">
        <v>6191</v>
      </c>
    </row>
    <row r="1677" spans="1:13" ht="39.6">
      <c r="A1677" s="21" t="s">
        <v>4194</v>
      </c>
      <c r="B1677" s="21" t="s">
        <v>4197</v>
      </c>
      <c r="C1677" s="21" t="s">
        <v>4195</v>
      </c>
      <c r="D1677" s="21" t="s">
        <v>71</v>
      </c>
      <c r="E1677" s="22" t="s">
        <v>4196</v>
      </c>
      <c r="F1677" s="22" t="s">
        <v>4197</v>
      </c>
      <c r="G1677" s="21" t="s">
        <v>4198</v>
      </c>
      <c r="H1677" s="21" t="s">
        <v>4199</v>
      </c>
      <c r="I1677" s="12" t="s">
        <v>6999</v>
      </c>
      <c r="J1677" s="12" t="s">
        <v>7827</v>
      </c>
      <c r="K1677" s="12" t="s">
        <v>6192</v>
      </c>
      <c r="L1677" s="12" t="s">
        <v>6193</v>
      </c>
      <c r="M1677" s="12" t="s">
        <v>6194</v>
      </c>
    </row>
    <row r="1678" spans="1:13" ht="39.6">
      <c r="A1678" s="21" t="s">
        <v>4194</v>
      </c>
      <c r="B1678" s="21" t="s">
        <v>4197</v>
      </c>
      <c r="C1678" s="21" t="s">
        <v>4195</v>
      </c>
      <c r="D1678" s="21" t="s">
        <v>71</v>
      </c>
      <c r="E1678" s="22" t="s">
        <v>4196</v>
      </c>
      <c r="F1678" s="22" t="s">
        <v>4197</v>
      </c>
      <c r="G1678" s="21" t="s">
        <v>4198</v>
      </c>
      <c r="H1678" s="21" t="s">
        <v>4199</v>
      </c>
      <c r="I1678" s="12" t="s">
        <v>7000</v>
      </c>
      <c r="J1678" s="12" t="s">
        <v>7828</v>
      </c>
      <c r="K1678" s="12" t="s">
        <v>6195</v>
      </c>
      <c r="L1678" s="12" t="s">
        <v>6196</v>
      </c>
      <c r="M1678" s="12" t="s">
        <v>6197</v>
      </c>
    </row>
    <row r="1679" spans="1:13" ht="39.6">
      <c r="A1679" s="21" t="s">
        <v>4194</v>
      </c>
      <c r="B1679" s="21" t="s">
        <v>4197</v>
      </c>
      <c r="C1679" s="21" t="s">
        <v>4195</v>
      </c>
      <c r="D1679" s="21" t="s">
        <v>71</v>
      </c>
      <c r="E1679" s="22" t="s">
        <v>4196</v>
      </c>
      <c r="F1679" s="22" t="s">
        <v>4197</v>
      </c>
      <c r="G1679" s="21" t="s">
        <v>4198</v>
      </c>
      <c r="H1679" s="21" t="s">
        <v>4199</v>
      </c>
      <c r="I1679" s="12" t="s">
        <v>3630</v>
      </c>
      <c r="J1679" s="12" t="s">
        <v>7829</v>
      </c>
      <c r="K1679" s="12" t="s">
        <v>6198</v>
      </c>
      <c r="L1679" s="12" t="s">
        <v>6199</v>
      </c>
      <c r="M1679" s="12" t="s">
        <v>6198</v>
      </c>
    </row>
    <row r="1680" spans="1:13" ht="66">
      <c r="A1680" s="21" t="s">
        <v>4194</v>
      </c>
      <c r="B1680" s="21" t="s">
        <v>4197</v>
      </c>
      <c r="C1680" s="21" t="s">
        <v>4195</v>
      </c>
      <c r="D1680" s="21" t="s">
        <v>71</v>
      </c>
      <c r="E1680" s="22" t="s">
        <v>4196</v>
      </c>
      <c r="F1680" s="22" t="s">
        <v>4197</v>
      </c>
      <c r="G1680" s="21" t="s">
        <v>4198</v>
      </c>
      <c r="H1680" s="21" t="s">
        <v>4199</v>
      </c>
      <c r="I1680" s="12" t="s">
        <v>6201</v>
      </c>
      <c r="J1680" s="12" t="s">
        <v>7830</v>
      </c>
      <c r="K1680" s="12"/>
      <c r="L1680" s="12" t="s">
        <v>6200</v>
      </c>
      <c r="M1680" s="12" t="s">
        <v>6201</v>
      </c>
    </row>
    <row r="1681" spans="1:13" ht="52.8">
      <c r="A1681" s="21" t="s">
        <v>4194</v>
      </c>
      <c r="B1681" s="21" t="s">
        <v>4197</v>
      </c>
      <c r="C1681" s="21" t="s">
        <v>4195</v>
      </c>
      <c r="D1681" s="21" t="s">
        <v>71</v>
      </c>
      <c r="E1681" s="22" t="s">
        <v>4196</v>
      </c>
      <c r="F1681" s="22" t="s">
        <v>4197</v>
      </c>
      <c r="G1681" s="21" t="s">
        <v>4198</v>
      </c>
      <c r="H1681" s="21" t="s">
        <v>4199</v>
      </c>
      <c r="I1681" s="12" t="s">
        <v>6204</v>
      </c>
      <c r="J1681" s="12" t="s">
        <v>7831</v>
      </c>
      <c r="K1681" s="12" t="s">
        <v>6202</v>
      </c>
      <c r="L1681" s="12" t="s">
        <v>6203</v>
      </c>
      <c r="M1681" s="12" t="s">
        <v>6204</v>
      </c>
    </row>
    <row r="1682" spans="1:13" ht="39.6">
      <c r="A1682" s="21" t="s">
        <v>4194</v>
      </c>
      <c r="B1682" s="21" t="s">
        <v>4197</v>
      </c>
      <c r="C1682" s="21" t="s">
        <v>4195</v>
      </c>
      <c r="D1682" s="21" t="s">
        <v>71</v>
      </c>
      <c r="E1682" s="22" t="s">
        <v>4196</v>
      </c>
      <c r="F1682" s="22" t="s">
        <v>4197</v>
      </c>
      <c r="G1682" s="21" t="s">
        <v>4198</v>
      </c>
      <c r="H1682" s="21" t="s">
        <v>4199</v>
      </c>
      <c r="I1682" s="12" t="s">
        <v>2031</v>
      </c>
      <c r="J1682" s="12" t="s">
        <v>2036</v>
      </c>
      <c r="K1682" s="12" t="s">
        <v>2045</v>
      </c>
      <c r="L1682" s="12" t="s">
        <v>2046</v>
      </c>
      <c r="M1682" s="12" t="s">
        <v>2045</v>
      </c>
    </row>
    <row r="1683" spans="1:13" ht="39.6">
      <c r="A1683" s="21" t="s">
        <v>4194</v>
      </c>
      <c r="B1683" s="21" t="s">
        <v>4197</v>
      </c>
      <c r="C1683" s="21" t="s">
        <v>4195</v>
      </c>
      <c r="D1683" s="21" t="s">
        <v>71</v>
      </c>
      <c r="E1683" s="22" t="s">
        <v>4196</v>
      </c>
      <c r="F1683" s="22" t="s">
        <v>4197</v>
      </c>
      <c r="G1683" s="21" t="s">
        <v>4198</v>
      </c>
      <c r="H1683" s="21" t="s">
        <v>4199</v>
      </c>
      <c r="I1683" s="12" t="s">
        <v>7001</v>
      </c>
      <c r="J1683" s="12" t="s">
        <v>7832</v>
      </c>
      <c r="K1683" s="12" t="s">
        <v>6205</v>
      </c>
      <c r="L1683" s="12" t="s">
        <v>6206</v>
      </c>
      <c r="M1683" s="12" t="s">
        <v>6205</v>
      </c>
    </row>
    <row r="1684" spans="1:13" ht="39.6">
      <c r="A1684" s="21" t="s">
        <v>4194</v>
      </c>
      <c r="B1684" s="21" t="s">
        <v>4197</v>
      </c>
      <c r="C1684" s="21" t="s">
        <v>4195</v>
      </c>
      <c r="D1684" s="21" t="s">
        <v>71</v>
      </c>
      <c r="E1684" s="22" t="s">
        <v>4196</v>
      </c>
      <c r="F1684" s="22" t="s">
        <v>4197</v>
      </c>
      <c r="G1684" s="21" t="s">
        <v>4198</v>
      </c>
      <c r="H1684" s="21" t="s">
        <v>4199</v>
      </c>
      <c r="I1684" s="12" t="s">
        <v>2032</v>
      </c>
      <c r="J1684" s="12" t="s">
        <v>2037</v>
      </c>
      <c r="K1684" s="12" t="s">
        <v>2047</v>
      </c>
      <c r="L1684" s="12" t="s">
        <v>2048</v>
      </c>
      <c r="M1684" s="12" t="s">
        <v>2047</v>
      </c>
    </row>
    <row r="1685" spans="1:13" ht="52.8">
      <c r="A1685" s="21" t="s">
        <v>7932</v>
      </c>
      <c r="B1685" s="21" t="s">
        <v>7933</v>
      </c>
      <c r="C1685" s="21" t="s">
        <v>7934</v>
      </c>
      <c r="D1685" s="21" t="s">
        <v>71</v>
      </c>
      <c r="E1685" s="22" t="s">
        <v>7935</v>
      </c>
      <c r="F1685" s="22" t="s">
        <v>7933</v>
      </c>
      <c r="G1685" s="21" t="s">
        <v>7936</v>
      </c>
      <c r="H1685" s="21" t="s">
        <v>7937</v>
      </c>
      <c r="I1685" s="12" t="s">
        <v>7938</v>
      </c>
      <c r="J1685" s="12" t="s">
        <v>9264</v>
      </c>
      <c r="K1685" s="12"/>
      <c r="L1685" s="12" t="s">
        <v>10595</v>
      </c>
      <c r="M1685" s="12" t="s">
        <v>10596</v>
      </c>
    </row>
    <row r="1686" spans="1:13" ht="52.8">
      <c r="A1686" s="21" t="s">
        <v>7932</v>
      </c>
      <c r="B1686" s="21" t="s">
        <v>7933</v>
      </c>
      <c r="C1686" s="21" t="s">
        <v>7934</v>
      </c>
      <c r="D1686" s="21" t="s">
        <v>71</v>
      </c>
      <c r="E1686" s="22" t="s">
        <v>7935</v>
      </c>
      <c r="F1686" s="22" t="s">
        <v>7933</v>
      </c>
      <c r="G1686" s="21" t="s">
        <v>7936</v>
      </c>
      <c r="H1686" s="21" t="s">
        <v>7937</v>
      </c>
      <c r="I1686" s="12" t="s">
        <v>7939</v>
      </c>
      <c r="J1686" s="12" t="s">
        <v>9265</v>
      </c>
      <c r="K1686" s="12"/>
      <c r="L1686" s="12" t="s">
        <v>10597</v>
      </c>
      <c r="M1686" s="12" t="s">
        <v>10598</v>
      </c>
    </row>
    <row r="1687" spans="1:13" ht="52.8">
      <c r="A1687" s="21" t="s">
        <v>7932</v>
      </c>
      <c r="B1687" s="21" t="s">
        <v>7933</v>
      </c>
      <c r="C1687" s="21" t="s">
        <v>7934</v>
      </c>
      <c r="D1687" s="21" t="s">
        <v>71</v>
      </c>
      <c r="E1687" s="22" t="s">
        <v>7935</v>
      </c>
      <c r="F1687" s="22" t="s">
        <v>7933</v>
      </c>
      <c r="G1687" s="21" t="s">
        <v>7936</v>
      </c>
      <c r="H1687" s="21" t="s">
        <v>7937</v>
      </c>
      <c r="I1687" s="12" t="s">
        <v>7940</v>
      </c>
      <c r="J1687" s="12" t="s">
        <v>9266</v>
      </c>
      <c r="K1687" s="12" t="s">
        <v>10599</v>
      </c>
      <c r="L1687" s="12" t="s">
        <v>10600</v>
      </c>
      <c r="M1687" s="12" t="s">
        <v>10599</v>
      </c>
    </row>
    <row r="1688" spans="1:13" ht="52.8">
      <c r="A1688" s="21" t="s">
        <v>7932</v>
      </c>
      <c r="B1688" s="21" t="s">
        <v>7933</v>
      </c>
      <c r="C1688" s="21" t="s">
        <v>7934</v>
      </c>
      <c r="D1688" s="21" t="s">
        <v>71</v>
      </c>
      <c r="E1688" s="22" t="s">
        <v>7935</v>
      </c>
      <c r="F1688" s="22" t="s">
        <v>7933</v>
      </c>
      <c r="G1688" s="21" t="s">
        <v>7936</v>
      </c>
      <c r="H1688" s="21" t="s">
        <v>7937</v>
      </c>
      <c r="I1688" s="12" t="s">
        <v>7941</v>
      </c>
      <c r="J1688" s="12" t="s">
        <v>9267</v>
      </c>
      <c r="K1688" s="12"/>
      <c r="L1688" s="12" t="s">
        <v>10601</v>
      </c>
      <c r="M1688" s="12" t="s">
        <v>10602</v>
      </c>
    </row>
    <row r="1689" spans="1:13" ht="52.8">
      <c r="A1689" s="21" t="s">
        <v>7932</v>
      </c>
      <c r="B1689" s="21" t="s">
        <v>7933</v>
      </c>
      <c r="C1689" s="21" t="s">
        <v>7934</v>
      </c>
      <c r="D1689" s="21" t="s">
        <v>71</v>
      </c>
      <c r="E1689" s="22" t="s">
        <v>7935</v>
      </c>
      <c r="F1689" s="22" t="s">
        <v>7933</v>
      </c>
      <c r="G1689" s="21" t="s">
        <v>7936</v>
      </c>
      <c r="H1689" s="21" t="s">
        <v>7937</v>
      </c>
      <c r="I1689" s="12" t="s">
        <v>7942</v>
      </c>
      <c r="J1689" s="12" t="s">
        <v>9268</v>
      </c>
      <c r="K1689" s="12"/>
      <c r="L1689" s="12" t="s">
        <v>10603</v>
      </c>
      <c r="M1689" s="12" t="s">
        <v>10604</v>
      </c>
    </row>
    <row r="1690" spans="1:13" ht="52.8">
      <c r="A1690" s="21" t="s">
        <v>7932</v>
      </c>
      <c r="B1690" s="21" t="s">
        <v>7933</v>
      </c>
      <c r="C1690" s="21" t="s">
        <v>7934</v>
      </c>
      <c r="D1690" s="21" t="s">
        <v>71</v>
      </c>
      <c r="E1690" s="22" t="s">
        <v>7935</v>
      </c>
      <c r="F1690" s="22" t="s">
        <v>7933</v>
      </c>
      <c r="G1690" s="21" t="s">
        <v>7936</v>
      </c>
      <c r="H1690" s="21" t="s">
        <v>7937</v>
      </c>
      <c r="I1690" s="12" t="s">
        <v>7943</v>
      </c>
      <c r="J1690" s="12" t="s">
        <v>9269</v>
      </c>
      <c r="K1690" s="12" t="s">
        <v>10605</v>
      </c>
      <c r="L1690" s="12" t="s">
        <v>10606</v>
      </c>
      <c r="M1690" s="12" t="s">
        <v>10605</v>
      </c>
    </row>
    <row r="1691" spans="1:13" ht="52.8">
      <c r="A1691" s="21" t="s">
        <v>7932</v>
      </c>
      <c r="B1691" s="21" t="s">
        <v>7933</v>
      </c>
      <c r="C1691" s="21" t="s">
        <v>7934</v>
      </c>
      <c r="D1691" s="21" t="s">
        <v>71</v>
      </c>
      <c r="E1691" s="22" t="s">
        <v>7935</v>
      </c>
      <c r="F1691" s="22" t="s">
        <v>7933</v>
      </c>
      <c r="G1691" s="21" t="s">
        <v>7936</v>
      </c>
      <c r="H1691" s="21" t="s">
        <v>7937</v>
      </c>
      <c r="I1691" s="12" t="s">
        <v>7944</v>
      </c>
      <c r="J1691" s="12" t="s">
        <v>9270</v>
      </c>
      <c r="K1691" s="12"/>
      <c r="L1691" s="12" t="s">
        <v>10607</v>
      </c>
      <c r="M1691" s="12" t="s">
        <v>10608</v>
      </c>
    </row>
    <row r="1692" spans="1:13" ht="52.8">
      <c r="A1692" s="21" t="s">
        <v>7932</v>
      </c>
      <c r="B1692" s="21" t="s">
        <v>7933</v>
      </c>
      <c r="C1692" s="21" t="s">
        <v>7934</v>
      </c>
      <c r="D1692" s="21" t="s">
        <v>71</v>
      </c>
      <c r="E1692" s="22" t="s">
        <v>7935</v>
      </c>
      <c r="F1692" s="22" t="s">
        <v>7933</v>
      </c>
      <c r="G1692" s="21" t="s">
        <v>7936</v>
      </c>
      <c r="H1692" s="21" t="s">
        <v>7937</v>
      </c>
      <c r="I1692" s="12" t="s">
        <v>7945</v>
      </c>
      <c r="J1692" s="12" t="s">
        <v>9271</v>
      </c>
      <c r="K1692" s="12"/>
      <c r="L1692" s="12" t="s">
        <v>10609</v>
      </c>
      <c r="M1692" s="12" t="s">
        <v>10610</v>
      </c>
    </row>
    <row r="1693" spans="1:13" ht="66">
      <c r="A1693" s="21" t="s">
        <v>7932</v>
      </c>
      <c r="B1693" s="21" t="s">
        <v>7933</v>
      </c>
      <c r="C1693" s="21" t="s">
        <v>7934</v>
      </c>
      <c r="D1693" s="21" t="s">
        <v>71</v>
      </c>
      <c r="E1693" s="22" t="s">
        <v>7935</v>
      </c>
      <c r="F1693" s="22" t="s">
        <v>7933</v>
      </c>
      <c r="G1693" s="21" t="s">
        <v>7936</v>
      </c>
      <c r="H1693" s="21" t="s">
        <v>7937</v>
      </c>
      <c r="I1693" s="12" t="s">
        <v>7946</v>
      </c>
      <c r="J1693" s="12" t="s">
        <v>9272</v>
      </c>
      <c r="K1693" s="12"/>
      <c r="L1693" s="12" t="s">
        <v>10611</v>
      </c>
      <c r="M1693" s="12" t="s">
        <v>10612</v>
      </c>
    </row>
    <row r="1694" spans="1:13" ht="79.2">
      <c r="A1694" s="21" t="s">
        <v>7932</v>
      </c>
      <c r="B1694" s="21" t="s">
        <v>7933</v>
      </c>
      <c r="C1694" s="21" t="s">
        <v>7934</v>
      </c>
      <c r="D1694" s="21" t="s">
        <v>71</v>
      </c>
      <c r="E1694" s="22" t="s">
        <v>7935</v>
      </c>
      <c r="F1694" s="22" t="s">
        <v>7933</v>
      </c>
      <c r="G1694" s="21" t="s">
        <v>7936</v>
      </c>
      <c r="H1694" s="21" t="s">
        <v>7937</v>
      </c>
      <c r="I1694" s="12" t="s">
        <v>7947</v>
      </c>
      <c r="J1694" s="12" t="s">
        <v>9273</v>
      </c>
      <c r="K1694" s="12" t="s">
        <v>10613</v>
      </c>
      <c r="L1694" s="12" t="s">
        <v>10614</v>
      </c>
      <c r="M1694" s="12" t="s">
        <v>10615</v>
      </c>
    </row>
    <row r="1695" spans="1:13" ht="66">
      <c r="A1695" s="21" t="s">
        <v>7932</v>
      </c>
      <c r="B1695" s="21" t="s">
        <v>7933</v>
      </c>
      <c r="C1695" s="21" t="s">
        <v>7934</v>
      </c>
      <c r="D1695" s="21" t="s">
        <v>71</v>
      </c>
      <c r="E1695" s="22" t="s">
        <v>7935</v>
      </c>
      <c r="F1695" s="22" t="s">
        <v>7933</v>
      </c>
      <c r="G1695" s="21" t="s">
        <v>7936</v>
      </c>
      <c r="H1695" s="21" t="s">
        <v>7937</v>
      </c>
      <c r="I1695" s="12" t="s">
        <v>7948</v>
      </c>
      <c r="J1695" s="12" t="s">
        <v>9274</v>
      </c>
      <c r="K1695" s="12"/>
      <c r="L1695" s="12" t="s">
        <v>10616</v>
      </c>
      <c r="M1695" s="12" t="s">
        <v>10617</v>
      </c>
    </row>
    <row r="1696" spans="1:13" ht="66">
      <c r="A1696" s="21" t="s">
        <v>7932</v>
      </c>
      <c r="B1696" s="21" t="s">
        <v>7933</v>
      </c>
      <c r="C1696" s="21" t="s">
        <v>7934</v>
      </c>
      <c r="D1696" s="21" t="s">
        <v>71</v>
      </c>
      <c r="E1696" s="22" t="s">
        <v>7935</v>
      </c>
      <c r="F1696" s="22" t="s">
        <v>7933</v>
      </c>
      <c r="G1696" s="21" t="s">
        <v>7936</v>
      </c>
      <c r="H1696" s="21" t="s">
        <v>7937</v>
      </c>
      <c r="I1696" s="12" t="s">
        <v>7949</v>
      </c>
      <c r="J1696" s="12" t="s">
        <v>9275</v>
      </c>
      <c r="K1696" s="12"/>
      <c r="L1696" s="12" t="s">
        <v>10618</v>
      </c>
      <c r="M1696" s="12" t="s">
        <v>10619</v>
      </c>
    </row>
    <row r="1697" spans="1:13" ht="52.8">
      <c r="A1697" s="21" t="s">
        <v>7932</v>
      </c>
      <c r="B1697" s="21" t="s">
        <v>7933</v>
      </c>
      <c r="C1697" s="21" t="s">
        <v>7934</v>
      </c>
      <c r="D1697" s="21" t="s">
        <v>71</v>
      </c>
      <c r="E1697" s="22" t="s">
        <v>7935</v>
      </c>
      <c r="F1697" s="22" t="s">
        <v>7933</v>
      </c>
      <c r="G1697" s="21" t="s">
        <v>7936</v>
      </c>
      <c r="H1697" s="21" t="s">
        <v>7937</v>
      </c>
      <c r="I1697" s="12" t="s">
        <v>7950</v>
      </c>
      <c r="J1697" s="12" t="s">
        <v>9276</v>
      </c>
      <c r="K1697" s="12"/>
      <c r="L1697" s="12" t="s">
        <v>10620</v>
      </c>
      <c r="M1697" s="12" t="s">
        <v>10621</v>
      </c>
    </row>
    <row r="1698" spans="1:13" ht="52.8">
      <c r="A1698" s="21" t="s">
        <v>7932</v>
      </c>
      <c r="B1698" s="21" t="s">
        <v>7933</v>
      </c>
      <c r="C1698" s="21" t="s">
        <v>7934</v>
      </c>
      <c r="D1698" s="21" t="s">
        <v>71</v>
      </c>
      <c r="E1698" s="22" t="s">
        <v>7935</v>
      </c>
      <c r="F1698" s="22" t="s">
        <v>7933</v>
      </c>
      <c r="G1698" s="21" t="s">
        <v>7936</v>
      </c>
      <c r="H1698" s="21" t="s">
        <v>7937</v>
      </c>
      <c r="I1698" s="12" t="s">
        <v>7951</v>
      </c>
      <c r="J1698" s="12" t="s">
        <v>9277</v>
      </c>
      <c r="K1698" s="12"/>
      <c r="L1698" s="12" t="s">
        <v>10622</v>
      </c>
      <c r="M1698" s="12" t="s">
        <v>10623</v>
      </c>
    </row>
    <row r="1699" spans="1:13" ht="52.8">
      <c r="A1699" s="21" t="s">
        <v>7932</v>
      </c>
      <c r="B1699" s="21" t="s">
        <v>7933</v>
      </c>
      <c r="C1699" s="21" t="s">
        <v>7934</v>
      </c>
      <c r="D1699" s="21" t="s">
        <v>71</v>
      </c>
      <c r="E1699" s="22" t="s">
        <v>7935</v>
      </c>
      <c r="F1699" s="22" t="s">
        <v>7933</v>
      </c>
      <c r="G1699" s="21" t="s">
        <v>7936</v>
      </c>
      <c r="H1699" s="21" t="s">
        <v>7937</v>
      </c>
      <c r="I1699" s="12" t="s">
        <v>7952</v>
      </c>
      <c r="J1699" s="12" t="s">
        <v>9278</v>
      </c>
      <c r="K1699" s="12" t="s">
        <v>10624</v>
      </c>
      <c r="L1699" s="12" t="s">
        <v>10625</v>
      </c>
      <c r="M1699" s="12" t="s">
        <v>10624</v>
      </c>
    </row>
    <row r="1700" spans="1:13" ht="52.8">
      <c r="A1700" s="21" t="s">
        <v>7932</v>
      </c>
      <c r="B1700" s="21" t="s">
        <v>7933</v>
      </c>
      <c r="C1700" s="21" t="s">
        <v>7934</v>
      </c>
      <c r="D1700" s="21" t="s">
        <v>71</v>
      </c>
      <c r="E1700" s="22" t="s">
        <v>7935</v>
      </c>
      <c r="F1700" s="22" t="s">
        <v>7933</v>
      </c>
      <c r="G1700" s="21" t="s">
        <v>7936</v>
      </c>
      <c r="H1700" s="21" t="s">
        <v>7937</v>
      </c>
      <c r="I1700" s="12" t="s">
        <v>7953</v>
      </c>
      <c r="J1700" s="12" t="s">
        <v>9279</v>
      </c>
      <c r="K1700" s="12"/>
      <c r="L1700" s="12" t="s">
        <v>10626</v>
      </c>
      <c r="M1700" s="12" t="s">
        <v>10627</v>
      </c>
    </row>
    <row r="1701" spans="1:13" ht="52.8">
      <c r="A1701" s="21" t="s">
        <v>7932</v>
      </c>
      <c r="B1701" s="21" t="s">
        <v>7933</v>
      </c>
      <c r="C1701" s="21" t="s">
        <v>7934</v>
      </c>
      <c r="D1701" s="21" t="s">
        <v>71</v>
      </c>
      <c r="E1701" s="22" t="s">
        <v>7935</v>
      </c>
      <c r="F1701" s="22" t="s">
        <v>7933</v>
      </c>
      <c r="G1701" s="21" t="s">
        <v>7936</v>
      </c>
      <c r="H1701" s="21" t="s">
        <v>7937</v>
      </c>
      <c r="I1701" s="12" t="s">
        <v>7954</v>
      </c>
      <c r="J1701" s="12" t="s">
        <v>9280</v>
      </c>
      <c r="K1701" s="12" t="s">
        <v>10628</v>
      </c>
      <c r="L1701" s="12" t="s">
        <v>10629</v>
      </c>
      <c r="M1701" s="12" t="s">
        <v>10628</v>
      </c>
    </row>
    <row r="1702" spans="1:13" ht="52.8">
      <c r="A1702" s="21" t="s">
        <v>7932</v>
      </c>
      <c r="B1702" s="21" t="s">
        <v>7933</v>
      </c>
      <c r="C1702" s="21" t="s">
        <v>7934</v>
      </c>
      <c r="D1702" s="21" t="s">
        <v>71</v>
      </c>
      <c r="E1702" s="22" t="s">
        <v>7935</v>
      </c>
      <c r="F1702" s="22" t="s">
        <v>7933</v>
      </c>
      <c r="G1702" s="21" t="s">
        <v>7936</v>
      </c>
      <c r="H1702" s="21" t="s">
        <v>7937</v>
      </c>
      <c r="I1702" s="12" t="s">
        <v>7955</v>
      </c>
      <c r="J1702" s="12" t="s">
        <v>9281</v>
      </c>
      <c r="K1702" s="12" t="s">
        <v>10630</v>
      </c>
      <c r="L1702" s="12" t="s">
        <v>10631</v>
      </c>
      <c r="M1702" s="12" t="s">
        <v>10630</v>
      </c>
    </row>
    <row r="1703" spans="1:13" ht="66">
      <c r="A1703" s="21" t="s">
        <v>7932</v>
      </c>
      <c r="B1703" s="21" t="s">
        <v>7933</v>
      </c>
      <c r="C1703" s="21" t="s">
        <v>7934</v>
      </c>
      <c r="D1703" s="21" t="s">
        <v>71</v>
      </c>
      <c r="E1703" s="22" t="s">
        <v>7935</v>
      </c>
      <c r="F1703" s="22" t="s">
        <v>7933</v>
      </c>
      <c r="G1703" s="21" t="s">
        <v>7936</v>
      </c>
      <c r="H1703" s="21" t="s">
        <v>7937</v>
      </c>
      <c r="I1703" s="12" t="s">
        <v>7956</v>
      </c>
      <c r="J1703" s="12" t="s">
        <v>9282</v>
      </c>
      <c r="K1703" s="12" t="s">
        <v>10632</v>
      </c>
      <c r="L1703" s="12" t="s">
        <v>10633</v>
      </c>
      <c r="M1703" s="12" t="s">
        <v>10634</v>
      </c>
    </row>
    <row r="1704" spans="1:13" ht="66">
      <c r="A1704" s="21" t="s">
        <v>7932</v>
      </c>
      <c r="B1704" s="21" t="s">
        <v>7933</v>
      </c>
      <c r="C1704" s="21" t="s">
        <v>7934</v>
      </c>
      <c r="D1704" s="21" t="s">
        <v>71</v>
      </c>
      <c r="E1704" s="22" t="s">
        <v>7935</v>
      </c>
      <c r="F1704" s="22" t="s">
        <v>7933</v>
      </c>
      <c r="G1704" s="21" t="s">
        <v>7936</v>
      </c>
      <c r="H1704" s="21" t="s">
        <v>7937</v>
      </c>
      <c r="I1704" s="12" t="s">
        <v>7957</v>
      </c>
      <c r="J1704" s="12" t="s">
        <v>9283</v>
      </c>
      <c r="K1704" s="12"/>
      <c r="L1704" s="12" t="s">
        <v>10635</v>
      </c>
      <c r="M1704" s="12" t="s">
        <v>10636</v>
      </c>
    </row>
    <row r="1705" spans="1:13" ht="52.8">
      <c r="A1705" s="21" t="s">
        <v>7932</v>
      </c>
      <c r="B1705" s="21" t="s">
        <v>7933</v>
      </c>
      <c r="C1705" s="21" t="s">
        <v>7934</v>
      </c>
      <c r="D1705" s="21" t="s">
        <v>71</v>
      </c>
      <c r="E1705" s="22" t="s">
        <v>7935</v>
      </c>
      <c r="F1705" s="22" t="s">
        <v>7933</v>
      </c>
      <c r="G1705" s="21" t="s">
        <v>7936</v>
      </c>
      <c r="H1705" s="21" t="s">
        <v>7937</v>
      </c>
      <c r="I1705" s="12" t="s">
        <v>7958</v>
      </c>
      <c r="J1705" s="12" t="s">
        <v>9284</v>
      </c>
      <c r="K1705" s="12"/>
      <c r="L1705" s="12" t="s">
        <v>10637</v>
      </c>
      <c r="M1705" s="12" t="s">
        <v>10638</v>
      </c>
    </row>
    <row r="1706" spans="1:13" ht="66">
      <c r="A1706" s="21" t="s">
        <v>7932</v>
      </c>
      <c r="B1706" s="21" t="s">
        <v>7933</v>
      </c>
      <c r="C1706" s="21" t="s">
        <v>7934</v>
      </c>
      <c r="D1706" s="21" t="s">
        <v>71</v>
      </c>
      <c r="E1706" s="22" t="s">
        <v>7935</v>
      </c>
      <c r="F1706" s="22" t="s">
        <v>7933</v>
      </c>
      <c r="G1706" s="21" t="s">
        <v>7936</v>
      </c>
      <c r="H1706" s="21" t="s">
        <v>7937</v>
      </c>
      <c r="I1706" s="12" t="s">
        <v>7959</v>
      </c>
      <c r="J1706" s="12" t="s">
        <v>9285</v>
      </c>
      <c r="K1706" s="12"/>
      <c r="L1706" s="12" t="s">
        <v>10639</v>
      </c>
      <c r="M1706" s="12" t="s">
        <v>10640</v>
      </c>
    </row>
    <row r="1707" spans="1:13" ht="52.8">
      <c r="A1707" s="21" t="s">
        <v>7932</v>
      </c>
      <c r="B1707" s="21" t="s">
        <v>7933</v>
      </c>
      <c r="C1707" s="21" t="s">
        <v>7934</v>
      </c>
      <c r="D1707" s="21" t="s">
        <v>71</v>
      </c>
      <c r="E1707" s="22" t="s">
        <v>7935</v>
      </c>
      <c r="F1707" s="22" t="s">
        <v>7933</v>
      </c>
      <c r="G1707" s="21" t="s">
        <v>7936</v>
      </c>
      <c r="H1707" s="21" t="s">
        <v>7937</v>
      </c>
      <c r="I1707" s="12" t="s">
        <v>7960</v>
      </c>
      <c r="J1707" s="12" t="s">
        <v>9286</v>
      </c>
      <c r="K1707" s="12"/>
      <c r="L1707" s="12" t="s">
        <v>10641</v>
      </c>
      <c r="M1707" s="12" t="s">
        <v>10642</v>
      </c>
    </row>
    <row r="1708" spans="1:13" ht="79.2">
      <c r="A1708" s="21" t="s">
        <v>7932</v>
      </c>
      <c r="B1708" s="21" t="s">
        <v>7933</v>
      </c>
      <c r="C1708" s="21" t="s">
        <v>7934</v>
      </c>
      <c r="D1708" s="21" t="s">
        <v>71</v>
      </c>
      <c r="E1708" s="22" t="s">
        <v>7935</v>
      </c>
      <c r="F1708" s="22" t="s">
        <v>7933</v>
      </c>
      <c r="G1708" s="21" t="s">
        <v>7936</v>
      </c>
      <c r="H1708" s="21" t="s">
        <v>7937</v>
      </c>
      <c r="I1708" s="12" t="s">
        <v>7961</v>
      </c>
      <c r="J1708" s="12" t="s">
        <v>9287</v>
      </c>
      <c r="K1708" s="12"/>
      <c r="L1708" s="12" t="s">
        <v>10643</v>
      </c>
      <c r="M1708" s="12" t="s">
        <v>10644</v>
      </c>
    </row>
    <row r="1709" spans="1:13" ht="92.4">
      <c r="A1709" s="21" t="s">
        <v>7932</v>
      </c>
      <c r="B1709" s="21" t="s">
        <v>7933</v>
      </c>
      <c r="C1709" s="21" t="s">
        <v>7934</v>
      </c>
      <c r="D1709" s="21" t="s">
        <v>71</v>
      </c>
      <c r="E1709" s="22" t="s">
        <v>7935</v>
      </c>
      <c r="F1709" s="22" t="s">
        <v>7933</v>
      </c>
      <c r="G1709" s="21" t="s">
        <v>7936</v>
      </c>
      <c r="H1709" s="21" t="s">
        <v>7937</v>
      </c>
      <c r="I1709" s="12" t="s">
        <v>7962</v>
      </c>
      <c r="J1709" s="12" t="s">
        <v>9288</v>
      </c>
      <c r="K1709" s="12"/>
      <c r="L1709" s="12" t="s">
        <v>10645</v>
      </c>
      <c r="M1709" s="12" t="s">
        <v>10646</v>
      </c>
    </row>
    <row r="1710" spans="1:13" ht="52.8">
      <c r="A1710" s="21" t="s">
        <v>7932</v>
      </c>
      <c r="B1710" s="21" t="s">
        <v>7933</v>
      </c>
      <c r="C1710" s="21" t="s">
        <v>7934</v>
      </c>
      <c r="D1710" s="21" t="s">
        <v>71</v>
      </c>
      <c r="E1710" s="22" t="s">
        <v>7935</v>
      </c>
      <c r="F1710" s="22" t="s">
        <v>7933</v>
      </c>
      <c r="G1710" s="21" t="s">
        <v>7936</v>
      </c>
      <c r="H1710" s="21" t="s">
        <v>7937</v>
      </c>
      <c r="I1710" s="12" t="s">
        <v>7963</v>
      </c>
      <c r="J1710" s="12" t="s">
        <v>9289</v>
      </c>
      <c r="K1710" s="12"/>
      <c r="L1710" s="12" t="s">
        <v>10647</v>
      </c>
      <c r="M1710" s="12" t="s">
        <v>10648</v>
      </c>
    </row>
    <row r="1711" spans="1:13" ht="52.8">
      <c r="A1711" s="21" t="s">
        <v>7932</v>
      </c>
      <c r="B1711" s="21" t="s">
        <v>7933</v>
      </c>
      <c r="C1711" s="21" t="s">
        <v>7934</v>
      </c>
      <c r="D1711" s="21" t="s">
        <v>71</v>
      </c>
      <c r="E1711" s="22" t="s">
        <v>7935</v>
      </c>
      <c r="F1711" s="22" t="s">
        <v>7933</v>
      </c>
      <c r="G1711" s="21" t="s">
        <v>7936</v>
      </c>
      <c r="H1711" s="21" t="s">
        <v>7937</v>
      </c>
      <c r="I1711" s="12" t="s">
        <v>7964</v>
      </c>
      <c r="J1711" s="12" t="s">
        <v>9290</v>
      </c>
      <c r="K1711" s="12" t="s">
        <v>10649</v>
      </c>
      <c r="L1711" s="12" t="s">
        <v>10650</v>
      </c>
      <c r="M1711" s="12" t="s">
        <v>10651</v>
      </c>
    </row>
    <row r="1712" spans="1:13" ht="52.8">
      <c r="A1712" s="21" t="s">
        <v>7932</v>
      </c>
      <c r="B1712" s="21" t="s">
        <v>7933</v>
      </c>
      <c r="C1712" s="21" t="s">
        <v>7934</v>
      </c>
      <c r="D1712" s="21" t="s">
        <v>71</v>
      </c>
      <c r="E1712" s="22" t="s">
        <v>7935</v>
      </c>
      <c r="F1712" s="22" t="s">
        <v>7933</v>
      </c>
      <c r="G1712" s="21" t="s">
        <v>7936</v>
      </c>
      <c r="H1712" s="21" t="s">
        <v>7937</v>
      </c>
      <c r="I1712" s="12" t="s">
        <v>7965</v>
      </c>
      <c r="J1712" s="12" t="s">
        <v>9291</v>
      </c>
      <c r="K1712" s="12" t="s">
        <v>10652</v>
      </c>
      <c r="L1712" s="12" t="s">
        <v>10653</v>
      </c>
      <c r="M1712" s="12" t="s">
        <v>10654</v>
      </c>
    </row>
    <row r="1713" spans="1:13" ht="52.8">
      <c r="A1713" s="21" t="s">
        <v>7932</v>
      </c>
      <c r="B1713" s="21" t="s">
        <v>7933</v>
      </c>
      <c r="C1713" s="21" t="s">
        <v>7934</v>
      </c>
      <c r="D1713" s="21" t="s">
        <v>71</v>
      </c>
      <c r="E1713" s="22" t="s">
        <v>7935</v>
      </c>
      <c r="F1713" s="22" t="s">
        <v>7933</v>
      </c>
      <c r="G1713" s="21" t="s">
        <v>7936</v>
      </c>
      <c r="H1713" s="21" t="s">
        <v>7937</v>
      </c>
      <c r="I1713" s="12" t="s">
        <v>7966</v>
      </c>
      <c r="J1713" s="12" t="s">
        <v>9292</v>
      </c>
      <c r="K1713" s="12" t="s">
        <v>10655</v>
      </c>
      <c r="L1713" s="12" t="s">
        <v>10656</v>
      </c>
      <c r="M1713" s="12" t="s">
        <v>10657</v>
      </c>
    </row>
    <row r="1714" spans="1:13" ht="52.8">
      <c r="A1714" s="21" t="s">
        <v>7932</v>
      </c>
      <c r="B1714" s="21" t="s">
        <v>7933</v>
      </c>
      <c r="C1714" s="21" t="s">
        <v>7934</v>
      </c>
      <c r="D1714" s="21" t="s">
        <v>71</v>
      </c>
      <c r="E1714" s="22" t="s">
        <v>7935</v>
      </c>
      <c r="F1714" s="22" t="s">
        <v>7933</v>
      </c>
      <c r="G1714" s="21" t="s">
        <v>7936</v>
      </c>
      <c r="H1714" s="21" t="s">
        <v>7937</v>
      </c>
      <c r="I1714" s="12" t="s">
        <v>7967</v>
      </c>
      <c r="J1714" s="12" t="s">
        <v>9293</v>
      </c>
      <c r="K1714" s="12" t="s">
        <v>10658</v>
      </c>
      <c r="L1714" s="12" t="s">
        <v>10659</v>
      </c>
      <c r="M1714" s="12" t="s">
        <v>10660</v>
      </c>
    </row>
    <row r="1715" spans="1:13" ht="52.8">
      <c r="A1715" s="21" t="s">
        <v>7932</v>
      </c>
      <c r="B1715" s="21" t="s">
        <v>7933</v>
      </c>
      <c r="C1715" s="21" t="s">
        <v>7934</v>
      </c>
      <c r="D1715" s="21" t="s">
        <v>71</v>
      </c>
      <c r="E1715" s="22" t="s">
        <v>7935</v>
      </c>
      <c r="F1715" s="22" t="s">
        <v>7933</v>
      </c>
      <c r="G1715" s="21" t="s">
        <v>7936</v>
      </c>
      <c r="H1715" s="21" t="s">
        <v>7937</v>
      </c>
      <c r="I1715" s="12" t="s">
        <v>7968</v>
      </c>
      <c r="J1715" s="12" t="s">
        <v>9294</v>
      </c>
      <c r="K1715" s="12"/>
      <c r="L1715" s="12" t="s">
        <v>10661</v>
      </c>
      <c r="M1715" s="12" t="s">
        <v>10662</v>
      </c>
    </row>
    <row r="1716" spans="1:13" ht="52.8">
      <c r="A1716" s="21" t="s">
        <v>7932</v>
      </c>
      <c r="B1716" s="21" t="s">
        <v>7933</v>
      </c>
      <c r="C1716" s="21" t="s">
        <v>7934</v>
      </c>
      <c r="D1716" s="21" t="s">
        <v>71</v>
      </c>
      <c r="E1716" s="22" t="s">
        <v>7935</v>
      </c>
      <c r="F1716" s="22" t="s">
        <v>7933</v>
      </c>
      <c r="G1716" s="21" t="s">
        <v>7936</v>
      </c>
      <c r="H1716" s="21" t="s">
        <v>7937</v>
      </c>
      <c r="I1716" s="12" t="s">
        <v>7969</v>
      </c>
      <c r="J1716" s="12" t="s">
        <v>9295</v>
      </c>
      <c r="K1716" s="12" t="s">
        <v>10663</v>
      </c>
      <c r="L1716" s="12" t="s">
        <v>10664</v>
      </c>
      <c r="M1716" s="12" t="s">
        <v>10665</v>
      </c>
    </row>
    <row r="1717" spans="1:13" ht="52.8">
      <c r="A1717" s="21" t="s">
        <v>7932</v>
      </c>
      <c r="B1717" s="21" t="s">
        <v>7933</v>
      </c>
      <c r="C1717" s="21" t="s">
        <v>7934</v>
      </c>
      <c r="D1717" s="21" t="s">
        <v>71</v>
      </c>
      <c r="E1717" s="22" t="s">
        <v>7935</v>
      </c>
      <c r="F1717" s="22" t="s">
        <v>7933</v>
      </c>
      <c r="G1717" s="21" t="s">
        <v>7936</v>
      </c>
      <c r="H1717" s="21" t="s">
        <v>7937</v>
      </c>
      <c r="I1717" s="12" t="s">
        <v>7970</v>
      </c>
      <c r="J1717" s="12" t="s">
        <v>9296</v>
      </c>
      <c r="K1717" s="12"/>
      <c r="L1717" s="12" t="s">
        <v>10666</v>
      </c>
      <c r="M1717" s="12" t="s">
        <v>10667</v>
      </c>
    </row>
    <row r="1718" spans="1:13" ht="52.8">
      <c r="A1718" s="21" t="s">
        <v>7932</v>
      </c>
      <c r="B1718" s="21" t="s">
        <v>7933</v>
      </c>
      <c r="C1718" s="21" t="s">
        <v>7934</v>
      </c>
      <c r="D1718" s="21" t="s">
        <v>71</v>
      </c>
      <c r="E1718" s="22" t="s">
        <v>7935</v>
      </c>
      <c r="F1718" s="22" t="s">
        <v>7933</v>
      </c>
      <c r="G1718" s="21" t="s">
        <v>7936</v>
      </c>
      <c r="H1718" s="21" t="s">
        <v>7937</v>
      </c>
      <c r="I1718" s="12" t="s">
        <v>7971</v>
      </c>
      <c r="J1718" s="12" t="s">
        <v>9297</v>
      </c>
      <c r="K1718" s="12"/>
      <c r="L1718" s="12" t="s">
        <v>10668</v>
      </c>
      <c r="M1718" s="12" t="s">
        <v>10669</v>
      </c>
    </row>
    <row r="1719" spans="1:13" ht="52.8">
      <c r="A1719" s="21" t="s">
        <v>7932</v>
      </c>
      <c r="B1719" s="21" t="s">
        <v>7933</v>
      </c>
      <c r="C1719" s="21" t="s">
        <v>7934</v>
      </c>
      <c r="D1719" s="21" t="s">
        <v>71</v>
      </c>
      <c r="E1719" s="22" t="s">
        <v>7935</v>
      </c>
      <c r="F1719" s="22" t="s">
        <v>7933</v>
      </c>
      <c r="G1719" s="21" t="s">
        <v>7936</v>
      </c>
      <c r="H1719" s="21" t="s">
        <v>7937</v>
      </c>
      <c r="I1719" s="12" t="s">
        <v>7972</v>
      </c>
      <c r="J1719" s="12" t="s">
        <v>9298</v>
      </c>
      <c r="K1719" s="12"/>
      <c r="L1719" s="12" t="s">
        <v>10670</v>
      </c>
      <c r="M1719" s="12" t="s">
        <v>10671</v>
      </c>
    </row>
    <row r="1720" spans="1:13" ht="52.8">
      <c r="A1720" s="21" t="s">
        <v>7932</v>
      </c>
      <c r="B1720" s="21" t="s">
        <v>7933</v>
      </c>
      <c r="C1720" s="21" t="s">
        <v>7934</v>
      </c>
      <c r="D1720" s="21" t="s">
        <v>71</v>
      </c>
      <c r="E1720" s="22" t="s">
        <v>7935</v>
      </c>
      <c r="F1720" s="22" t="s">
        <v>7933</v>
      </c>
      <c r="G1720" s="21" t="s">
        <v>7936</v>
      </c>
      <c r="H1720" s="21" t="s">
        <v>7937</v>
      </c>
      <c r="I1720" s="12" t="s">
        <v>7973</v>
      </c>
      <c r="J1720" s="12" t="s">
        <v>9299</v>
      </c>
      <c r="K1720" s="12"/>
      <c r="L1720" s="12" t="s">
        <v>10672</v>
      </c>
      <c r="M1720" s="12" t="s">
        <v>10673</v>
      </c>
    </row>
    <row r="1721" spans="1:13" ht="52.8">
      <c r="A1721" s="21" t="s">
        <v>7932</v>
      </c>
      <c r="B1721" s="21" t="s">
        <v>7933</v>
      </c>
      <c r="C1721" s="21" t="s">
        <v>7934</v>
      </c>
      <c r="D1721" s="21" t="s">
        <v>71</v>
      </c>
      <c r="E1721" s="22" t="s">
        <v>7935</v>
      </c>
      <c r="F1721" s="22" t="s">
        <v>7933</v>
      </c>
      <c r="G1721" s="21" t="s">
        <v>7936</v>
      </c>
      <c r="H1721" s="21" t="s">
        <v>7937</v>
      </c>
      <c r="I1721" s="12" t="s">
        <v>7974</v>
      </c>
      <c r="J1721" s="12" t="s">
        <v>9300</v>
      </c>
      <c r="K1721" s="12" t="s">
        <v>10674</v>
      </c>
      <c r="L1721" s="12" t="s">
        <v>10675</v>
      </c>
      <c r="M1721" s="12" t="s">
        <v>10674</v>
      </c>
    </row>
    <row r="1722" spans="1:13" ht="52.8">
      <c r="A1722" s="21" t="s">
        <v>7932</v>
      </c>
      <c r="B1722" s="21" t="s">
        <v>7933</v>
      </c>
      <c r="C1722" s="21" t="s">
        <v>7934</v>
      </c>
      <c r="D1722" s="21" t="s">
        <v>71</v>
      </c>
      <c r="E1722" s="22" t="s">
        <v>7935</v>
      </c>
      <c r="F1722" s="22" t="s">
        <v>7933</v>
      </c>
      <c r="G1722" s="21" t="s">
        <v>7936</v>
      </c>
      <c r="H1722" s="21" t="s">
        <v>7937</v>
      </c>
      <c r="I1722" s="12" t="s">
        <v>7975</v>
      </c>
      <c r="J1722" s="12" t="s">
        <v>9301</v>
      </c>
      <c r="K1722" s="12"/>
      <c r="L1722" s="12" t="s">
        <v>10676</v>
      </c>
      <c r="M1722" s="12" t="s">
        <v>10677</v>
      </c>
    </row>
    <row r="1723" spans="1:13" ht="52.8">
      <c r="A1723" s="21" t="s">
        <v>7932</v>
      </c>
      <c r="B1723" s="21" t="s">
        <v>7933</v>
      </c>
      <c r="C1723" s="21" t="s">
        <v>7934</v>
      </c>
      <c r="D1723" s="21" t="s">
        <v>71</v>
      </c>
      <c r="E1723" s="22" t="s">
        <v>7935</v>
      </c>
      <c r="F1723" s="22" t="s">
        <v>7933</v>
      </c>
      <c r="G1723" s="21" t="s">
        <v>7936</v>
      </c>
      <c r="H1723" s="21" t="s">
        <v>7937</v>
      </c>
      <c r="I1723" s="12" t="s">
        <v>7976</v>
      </c>
      <c r="J1723" s="12" t="s">
        <v>9302</v>
      </c>
      <c r="K1723" s="12"/>
      <c r="L1723" s="12" t="s">
        <v>10678</v>
      </c>
      <c r="M1723" s="12" t="s">
        <v>10679</v>
      </c>
    </row>
    <row r="1724" spans="1:13" ht="66">
      <c r="A1724" s="21" t="s">
        <v>7932</v>
      </c>
      <c r="B1724" s="21" t="s">
        <v>7933</v>
      </c>
      <c r="C1724" s="21" t="s">
        <v>7934</v>
      </c>
      <c r="D1724" s="21" t="s">
        <v>71</v>
      </c>
      <c r="E1724" s="22" t="s">
        <v>7935</v>
      </c>
      <c r="F1724" s="22" t="s">
        <v>7933</v>
      </c>
      <c r="G1724" s="21" t="s">
        <v>7936</v>
      </c>
      <c r="H1724" s="21" t="s">
        <v>7937</v>
      </c>
      <c r="I1724" s="12" t="s">
        <v>7977</v>
      </c>
      <c r="J1724" s="12" t="s">
        <v>9303</v>
      </c>
      <c r="K1724" s="12"/>
      <c r="L1724" s="12" t="s">
        <v>10680</v>
      </c>
      <c r="M1724" s="12" t="s">
        <v>10681</v>
      </c>
    </row>
    <row r="1725" spans="1:13" ht="52.8">
      <c r="A1725" s="21" t="s">
        <v>7932</v>
      </c>
      <c r="B1725" s="21" t="s">
        <v>7933</v>
      </c>
      <c r="C1725" s="21" t="s">
        <v>7934</v>
      </c>
      <c r="D1725" s="21" t="s">
        <v>71</v>
      </c>
      <c r="E1725" s="22" t="s">
        <v>7935</v>
      </c>
      <c r="F1725" s="22" t="s">
        <v>7933</v>
      </c>
      <c r="G1725" s="21" t="s">
        <v>7936</v>
      </c>
      <c r="H1725" s="21" t="s">
        <v>7937</v>
      </c>
      <c r="I1725" s="12" t="s">
        <v>7978</v>
      </c>
      <c r="J1725" s="12" t="s">
        <v>9304</v>
      </c>
      <c r="K1725" s="12"/>
      <c r="L1725" s="12" t="s">
        <v>10682</v>
      </c>
      <c r="M1725" s="12" t="s">
        <v>10683</v>
      </c>
    </row>
    <row r="1726" spans="1:13" ht="52.8">
      <c r="A1726" s="21" t="s">
        <v>7932</v>
      </c>
      <c r="B1726" s="21" t="s">
        <v>7933</v>
      </c>
      <c r="C1726" s="21" t="s">
        <v>7934</v>
      </c>
      <c r="D1726" s="21" t="s">
        <v>71</v>
      </c>
      <c r="E1726" s="22" t="s">
        <v>7935</v>
      </c>
      <c r="F1726" s="22" t="s">
        <v>7933</v>
      </c>
      <c r="G1726" s="21" t="s">
        <v>7936</v>
      </c>
      <c r="H1726" s="21" t="s">
        <v>7937</v>
      </c>
      <c r="I1726" s="12" t="s">
        <v>7979</v>
      </c>
      <c r="J1726" s="12" t="s">
        <v>9305</v>
      </c>
      <c r="K1726" s="12" t="s">
        <v>10684</v>
      </c>
      <c r="L1726" s="12" t="s">
        <v>10685</v>
      </c>
      <c r="M1726" s="12" t="s">
        <v>10686</v>
      </c>
    </row>
    <row r="1727" spans="1:13" ht="52.8">
      <c r="A1727" s="21" t="s">
        <v>7932</v>
      </c>
      <c r="B1727" s="21" t="s">
        <v>7933</v>
      </c>
      <c r="C1727" s="21" t="s">
        <v>7934</v>
      </c>
      <c r="D1727" s="21" t="s">
        <v>71</v>
      </c>
      <c r="E1727" s="22" t="s">
        <v>7935</v>
      </c>
      <c r="F1727" s="22" t="s">
        <v>7933</v>
      </c>
      <c r="G1727" s="21" t="s">
        <v>7936</v>
      </c>
      <c r="H1727" s="21" t="s">
        <v>7937</v>
      </c>
      <c r="I1727" s="12" t="s">
        <v>7980</v>
      </c>
      <c r="J1727" s="12" t="s">
        <v>9306</v>
      </c>
      <c r="K1727" s="12" t="s">
        <v>10687</v>
      </c>
      <c r="L1727" s="12" t="s">
        <v>10688</v>
      </c>
      <c r="M1727" s="12" t="s">
        <v>10689</v>
      </c>
    </row>
    <row r="1728" spans="1:13" ht="52.8">
      <c r="A1728" s="21" t="s">
        <v>7932</v>
      </c>
      <c r="B1728" s="21" t="s">
        <v>7933</v>
      </c>
      <c r="C1728" s="21" t="s">
        <v>7934</v>
      </c>
      <c r="D1728" s="21" t="s">
        <v>71</v>
      </c>
      <c r="E1728" s="22" t="s">
        <v>7935</v>
      </c>
      <c r="F1728" s="22" t="s">
        <v>7933</v>
      </c>
      <c r="G1728" s="21" t="s">
        <v>7936</v>
      </c>
      <c r="H1728" s="21" t="s">
        <v>7937</v>
      </c>
      <c r="I1728" s="12" t="s">
        <v>7981</v>
      </c>
      <c r="J1728" s="12" t="s">
        <v>9307</v>
      </c>
      <c r="K1728" s="12"/>
      <c r="L1728" s="12" t="s">
        <v>10690</v>
      </c>
      <c r="M1728" s="12" t="s">
        <v>10691</v>
      </c>
    </row>
    <row r="1729" spans="1:13" ht="52.8">
      <c r="A1729" s="21" t="s">
        <v>7932</v>
      </c>
      <c r="B1729" s="21" t="s">
        <v>7933</v>
      </c>
      <c r="C1729" s="21" t="s">
        <v>7934</v>
      </c>
      <c r="D1729" s="21" t="s">
        <v>71</v>
      </c>
      <c r="E1729" s="22" t="s">
        <v>7935</v>
      </c>
      <c r="F1729" s="22" t="s">
        <v>7933</v>
      </c>
      <c r="G1729" s="21" t="s">
        <v>7936</v>
      </c>
      <c r="H1729" s="21" t="s">
        <v>7937</v>
      </c>
      <c r="I1729" s="12" t="s">
        <v>7982</v>
      </c>
      <c r="J1729" s="12" t="s">
        <v>9308</v>
      </c>
      <c r="K1729" s="12" t="s">
        <v>10692</v>
      </c>
      <c r="L1729" s="12" t="s">
        <v>10693</v>
      </c>
      <c r="M1729" s="12" t="s">
        <v>10694</v>
      </c>
    </row>
    <row r="1730" spans="1:13" ht="52.8">
      <c r="A1730" s="21" t="s">
        <v>7932</v>
      </c>
      <c r="B1730" s="21" t="s">
        <v>7933</v>
      </c>
      <c r="C1730" s="21" t="s">
        <v>7934</v>
      </c>
      <c r="D1730" s="21" t="s">
        <v>71</v>
      </c>
      <c r="E1730" s="22" t="s">
        <v>7935</v>
      </c>
      <c r="F1730" s="22" t="s">
        <v>7933</v>
      </c>
      <c r="G1730" s="21" t="s">
        <v>7936</v>
      </c>
      <c r="H1730" s="21" t="s">
        <v>7937</v>
      </c>
      <c r="I1730" s="12" t="s">
        <v>7983</v>
      </c>
      <c r="J1730" s="12" t="s">
        <v>9309</v>
      </c>
      <c r="K1730" s="12"/>
      <c r="L1730" s="12" t="s">
        <v>10695</v>
      </c>
      <c r="M1730" s="12" t="s">
        <v>10696</v>
      </c>
    </row>
    <row r="1731" spans="1:13" ht="52.8">
      <c r="A1731" s="21" t="s">
        <v>7932</v>
      </c>
      <c r="B1731" s="21" t="s">
        <v>7933</v>
      </c>
      <c r="C1731" s="21" t="s">
        <v>7934</v>
      </c>
      <c r="D1731" s="21" t="s">
        <v>71</v>
      </c>
      <c r="E1731" s="22" t="s">
        <v>7935</v>
      </c>
      <c r="F1731" s="22" t="s">
        <v>7933</v>
      </c>
      <c r="G1731" s="21" t="s">
        <v>7936</v>
      </c>
      <c r="H1731" s="21" t="s">
        <v>7937</v>
      </c>
      <c r="I1731" s="12" t="s">
        <v>7984</v>
      </c>
      <c r="J1731" s="12" t="s">
        <v>9310</v>
      </c>
      <c r="K1731" s="12"/>
      <c r="L1731" s="12" t="s">
        <v>10697</v>
      </c>
      <c r="M1731" s="12" t="s">
        <v>10698</v>
      </c>
    </row>
    <row r="1732" spans="1:13" ht="52.8">
      <c r="A1732" s="21" t="s">
        <v>7932</v>
      </c>
      <c r="B1732" s="21" t="s">
        <v>7933</v>
      </c>
      <c r="C1732" s="21" t="s">
        <v>7934</v>
      </c>
      <c r="D1732" s="21" t="s">
        <v>71</v>
      </c>
      <c r="E1732" s="22" t="s">
        <v>7935</v>
      </c>
      <c r="F1732" s="22" t="s">
        <v>7933</v>
      </c>
      <c r="G1732" s="21" t="s">
        <v>7936</v>
      </c>
      <c r="H1732" s="21" t="s">
        <v>7937</v>
      </c>
      <c r="I1732" s="12" t="s">
        <v>7985</v>
      </c>
      <c r="J1732" s="12" t="s">
        <v>9311</v>
      </c>
      <c r="K1732" s="12" t="s">
        <v>10699</v>
      </c>
      <c r="L1732" s="12" t="s">
        <v>10700</v>
      </c>
      <c r="M1732" s="12" t="s">
        <v>10699</v>
      </c>
    </row>
    <row r="1733" spans="1:13" ht="52.8">
      <c r="A1733" s="21" t="s">
        <v>7932</v>
      </c>
      <c r="B1733" s="21" t="s">
        <v>7933</v>
      </c>
      <c r="C1733" s="21" t="s">
        <v>7934</v>
      </c>
      <c r="D1733" s="21" t="s">
        <v>71</v>
      </c>
      <c r="E1733" s="22" t="s">
        <v>7935</v>
      </c>
      <c r="F1733" s="22" t="s">
        <v>7933</v>
      </c>
      <c r="G1733" s="21" t="s">
        <v>7936</v>
      </c>
      <c r="H1733" s="21" t="s">
        <v>7937</v>
      </c>
      <c r="I1733" s="12" t="s">
        <v>7986</v>
      </c>
      <c r="J1733" s="12" t="s">
        <v>9312</v>
      </c>
      <c r="K1733" s="12" t="s">
        <v>10701</v>
      </c>
      <c r="L1733" s="12" t="s">
        <v>10702</v>
      </c>
      <c r="M1733" s="12" t="s">
        <v>10703</v>
      </c>
    </row>
    <row r="1734" spans="1:13" ht="52.8">
      <c r="A1734" s="21" t="s">
        <v>7932</v>
      </c>
      <c r="B1734" s="21" t="s">
        <v>7933</v>
      </c>
      <c r="C1734" s="21" t="s">
        <v>7934</v>
      </c>
      <c r="D1734" s="21" t="s">
        <v>71</v>
      </c>
      <c r="E1734" s="22" t="s">
        <v>7935</v>
      </c>
      <c r="F1734" s="22" t="s">
        <v>7933</v>
      </c>
      <c r="G1734" s="21" t="s">
        <v>7936</v>
      </c>
      <c r="H1734" s="21" t="s">
        <v>7937</v>
      </c>
      <c r="I1734" s="12" t="s">
        <v>7987</v>
      </c>
      <c r="J1734" s="12" t="s">
        <v>9313</v>
      </c>
      <c r="K1734" s="12" t="s">
        <v>10704</v>
      </c>
      <c r="L1734" s="12" t="s">
        <v>10705</v>
      </c>
      <c r="M1734" s="12" t="s">
        <v>10706</v>
      </c>
    </row>
    <row r="1735" spans="1:13" ht="52.8">
      <c r="A1735" s="21" t="s">
        <v>7932</v>
      </c>
      <c r="B1735" s="21" t="s">
        <v>7933</v>
      </c>
      <c r="C1735" s="21" t="s">
        <v>7934</v>
      </c>
      <c r="D1735" s="21" t="s">
        <v>71</v>
      </c>
      <c r="E1735" s="22" t="s">
        <v>7935</v>
      </c>
      <c r="F1735" s="22" t="s">
        <v>7933</v>
      </c>
      <c r="G1735" s="21" t="s">
        <v>7936</v>
      </c>
      <c r="H1735" s="21" t="s">
        <v>7937</v>
      </c>
      <c r="I1735" s="12" t="s">
        <v>7988</v>
      </c>
      <c r="J1735" s="12" t="s">
        <v>9314</v>
      </c>
      <c r="K1735" s="12"/>
      <c r="L1735" s="12" t="s">
        <v>10707</v>
      </c>
      <c r="M1735" s="12" t="s">
        <v>10708</v>
      </c>
    </row>
    <row r="1736" spans="1:13" ht="52.8">
      <c r="A1736" s="21" t="s">
        <v>7932</v>
      </c>
      <c r="B1736" s="21" t="s">
        <v>7933</v>
      </c>
      <c r="C1736" s="21" t="s">
        <v>7934</v>
      </c>
      <c r="D1736" s="21" t="s">
        <v>71</v>
      </c>
      <c r="E1736" s="22" t="s">
        <v>7935</v>
      </c>
      <c r="F1736" s="22" t="s">
        <v>7933</v>
      </c>
      <c r="G1736" s="21" t="s">
        <v>7936</v>
      </c>
      <c r="H1736" s="21" t="s">
        <v>7937</v>
      </c>
      <c r="I1736" s="12" t="s">
        <v>7989</v>
      </c>
      <c r="J1736" s="12" t="s">
        <v>9315</v>
      </c>
      <c r="K1736" s="12"/>
      <c r="L1736" s="12" t="s">
        <v>10709</v>
      </c>
      <c r="M1736" s="12" t="s">
        <v>10710</v>
      </c>
    </row>
    <row r="1737" spans="1:13" ht="52.8">
      <c r="A1737" s="21" t="s">
        <v>7932</v>
      </c>
      <c r="B1737" s="21" t="s">
        <v>7933</v>
      </c>
      <c r="C1737" s="21" t="s">
        <v>7934</v>
      </c>
      <c r="D1737" s="21" t="s">
        <v>71</v>
      </c>
      <c r="E1737" s="22" t="s">
        <v>7935</v>
      </c>
      <c r="F1737" s="22" t="s">
        <v>7933</v>
      </c>
      <c r="G1737" s="21" t="s">
        <v>7936</v>
      </c>
      <c r="H1737" s="21" t="s">
        <v>7937</v>
      </c>
      <c r="I1737" s="12" t="s">
        <v>7990</v>
      </c>
      <c r="J1737" s="12" t="s">
        <v>9316</v>
      </c>
      <c r="K1737" s="12"/>
      <c r="L1737" s="12" t="s">
        <v>10711</v>
      </c>
      <c r="M1737" s="12" t="s">
        <v>10712</v>
      </c>
    </row>
    <row r="1738" spans="1:13" ht="52.8">
      <c r="A1738" s="21" t="s">
        <v>7932</v>
      </c>
      <c r="B1738" s="21" t="s">
        <v>7933</v>
      </c>
      <c r="C1738" s="21" t="s">
        <v>7934</v>
      </c>
      <c r="D1738" s="21" t="s">
        <v>71</v>
      </c>
      <c r="E1738" s="22" t="s">
        <v>7935</v>
      </c>
      <c r="F1738" s="22" t="s">
        <v>7933</v>
      </c>
      <c r="G1738" s="21" t="s">
        <v>7936</v>
      </c>
      <c r="H1738" s="21" t="s">
        <v>7937</v>
      </c>
      <c r="I1738" s="12" t="s">
        <v>7991</v>
      </c>
      <c r="J1738" s="12" t="s">
        <v>9317</v>
      </c>
      <c r="K1738" s="12" t="s">
        <v>10713</v>
      </c>
      <c r="L1738" s="12" t="s">
        <v>10714</v>
      </c>
      <c r="M1738" s="12" t="s">
        <v>10713</v>
      </c>
    </row>
    <row r="1739" spans="1:13" ht="52.8">
      <c r="A1739" s="21" t="s">
        <v>7932</v>
      </c>
      <c r="B1739" s="21" t="s">
        <v>7933</v>
      </c>
      <c r="C1739" s="21" t="s">
        <v>7934</v>
      </c>
      <c r="D1739" s="21" t="s">
        <v>71</v>
      </c>
      <c r="E1739" s="22" t="s">
        <v>7935</v>
      </c>
      <c r="F1739" s="22" t="s">
        <v>7933</v>
      </c>
      <c r="G1739" s="21" t="s">
        <v>7936</v>
      </c>
      <c r="H1739" s="21" t="s">
        <v>7937</v>
      </c>
      <c r="I1739" s="12" t="s">
        <v>7992</v>
      </c>
      <c r="J1739" s="12" t="s">
        <v>9318</v>
      </c>
      <c r="K1739" s="12"/>
      <c r="L1739" s="12" t="s">
        <v>10715</v>
      </c>
      <c r="M1739" s="12" t="s">
        <v>10716</v>
      </c>
    </row>
    <row r="1740" spans="1:13" ht="52.8">
      <c r="A1740" s="21" t="s">
        <v>7932</v>
      </c>
      <c r="B1740" s="21" t="s">
        <v>7933</v>
      </c>
      <c r="C1740" s="21" t="s">
        <v>7934</v>
      </c>
      <c r="D1740" s="21" t="s">
        <v>71</v>
      </c>
      <c r="E1740" s="22" t="s">
        <v>7935</v>
      </c>
      <c r="F1740" s="22" t="s">
        <v>7933</v>
      </c>
      <c r="G1740" s="21" t="s">
        <v>7936</v>
      </c>
      <c r="H1740" s="21" t="s">
        <v>7937</v>
      </c>
      <c r="I1740" s="12" t="s">
        <v>7993</v>
      </c>
      <c r="J1740" s="12" t="s">
        <v>9319</v>
      </c>
      <c r="K1740" s="12"/>
      <c r="L1740" s="12" t="s">
        <v>10717</v>
      </c>
      <c r="M1740" s="12" t="s">
        <v>10718</v>
      </c>
    </row>
    <row r="1741" spans="1:13" ht="52.8">
      <c r="A1741" s="21" t="s">
        <v>7932</v>
      </c>
      <c r="B1741" s="21" t="s">
        <v>7933</v>
      </c>
      <c r="C1741" s="21" t="s">
        <v>7934</v>
      </c>
      <c r="D1741" s="21" t="s">
        <v>71</v>
      </c>
      <c r="E1741" s="22" t="s">
        <v>7935</v>
      </c>
      <c r="F1741" s="22" t="s">
        <v>7933</v>
      </c>
      <c r="G1741" s="21" t="s">
        <v>7936</v>
      </c>
      <c r="H1741" s="21" t="s">
        <v>7937</v>
      </c>
      <c r="I1741" s="12" t="s">
        <v>7994</v>
      </c>
      <c r="J1741" s="12" t="s">
        <v>9320</v>
      </c>
      <c r="K1741" s="12" t="s">
        <v>10719</v>
      </c>
      <c r="L1741" s="12" t="s">
        <v>10720</v>
      </c>
      <c r="M1741" s="12" t="s">
        <v>10719</v>
      </c>
    </row>
    <row r="1742" spans="1:13" ht="52.8">
      <c r="A1742" s="21" t="s">
        <v>7932</v>
      </c>
      <c r="B1742" s="21" t="s">
        <v>7933</v>
      </c>
      <c r="C1742" s="21" t="s">
        <v>7934</v>
      </c>
      <c r="D1742" s="21" t="s">
        <v>71</v>
      </c>
      <c r="E1742" s="22" t="s">
        <v>7935</v>
      </c>
      <c r="F1742" s="22" t="s">
        <v>7933</v>
      </c>
      <c r="G1742" s="21" t="s">
        <v>7936</v>
      </c>
      <c r="H1742" s="21" t="s">
        <v>7937</v>
      </c>
      <c r="I1742" s="12" t="s">
        <v>7995</v>
      </c>
      <c r="J1742" s="12" t="s">
        <v>9321</v>
      </c>
      <c r="K1742" s="12"/>
      <c r="L1742" s="12" t="s">
        <v>10721</v>
      </c>
      <c r="M1742" s="12" t="s">
        <v>10722</v>
      </c>
    </row>
    <row r="1743" spans="1:13" ht="52.8">
      <c r="A1743" s="21" t="s">
        <v>7932</v>
      </c>
      <c r="B1743" s="21" t="s">
        <v>7933</v>
      </c>
      <c r="C1743" s="21" t="s">
        <v>7934</v>
      </c>
      <c r="D1743" s="21" t="s">
        <v>71</v>
      </c>
      <c r="E1743" s="22" t="s">
        <v>7935</v>
      </c>
      <c r="F1743" s="22" t="s">
        <v>7933</v>
      </c>
      <c r="G1743" s="21" t="s">
        <v>7936</v>
      </c>
      <c r="H1743" s="21" t="s">
        <v>7937</v>
      </c>
      <c r="I1743" s="12" t="s">
        <v>7996</v>
      </c>
      <c r="J1743" s="12" t="s">
        <v>9322</v>
      </c>
      <c r="K1743" s="12"/>
      <c r="L1743" s="12" t="s">
        <v>10723</v>
      </c>
      <c r="M1743" s="12" t="s">
        <v>10724</v>
      </c>
    </row>
    <row r="1744" spans="1:13" ht="52.8">
      <c r="A1744" s="21" t="s">
        <v>7932</v>
      </c>
      <c r="B1744" s="21" t="s">
        <v>7933</v>
      </c>
      <c r="C1744" s="21" t="s">
        <v>7934</v>
      </c>
      <c r="D1744" s="21" t="s">
        <v>71</v>
      </c>
      <c r="E1744" s="22" t="s">
        <v>7935</v>
      </c>
      <c r="F1744" s="22" t="s">
        <v>7933</v>
      </c>
      <c r="G1744" s="21" t="s">
        <v>7936</v>
      </c>
      <c r="H1744" s="21" t="s">
        <v>7937</v>
      </c>
      <c r="I1744" s="12" t="s">
        <v>7997</v>
      </c>
      <c r="J1744" s="12" t="s">
        <v>9323</v>
      </c>
      <c r="K1744" s="12"/>
      <c r="L1744" s="12" t="s">
        <v>10725</v>
      </c>
      <c r="M1744" s="12" t="s">
        <v>10726</v>
      </c>
    </row>
    <row r="1745" spans="1:13" ht="52.8">
      <c r="A1745" s="21" t="s">
        <v>7932</v>
      </c>
      <c r="B1745" s="21" t="s">
        <v>7933</v>
      </c>
      <c r="C1745" s="21" t="s">
        <v>7934</v>
      </c>
      <c r="D1745" s="21" t="s">
        <v>71</v>
      </c>
      <c r="E1745" s="22" t="s">
        <v>7935</v>
      </c>
      <c r="F1745" s="22" t="s">
        <v>7933</v>
      </c>
      <c r="G1745" s="21" t="s">
        <v>7936</v>
      </c>
      <c r="H1745" s="21" t="s">
        <v>7937</v>
      </c>
      <c r="I1745" s="12" t="s">
        <v>7998</v>
      </c>
      <c r="J1745" s="12" t="s">
        <v>9324</v>
      </c>
      <c r="K1745" s="12" t="s">
        <v>10727</v>
      </c>
      <c r="L1745" s="12" t="s">
        <v>10728</v>
      </c>
      <c r="M1745" s="12" t="s">
        <v>10729</v>
      </c>
    </row>
    <row r="1746" spans="1:13" ht="52.8">
      <c r="A1746" s="21" t="s">
        <v>7932</v>
      </c>
      <c r="B1746" s="21" t="s">
        <v>7933</v>
      </c>
      <c r="C1746" s="21" t="s">
        <v>7934</v>
      </c>
      <c r="D1746" s="21" t="s">
        <v>71</v>
      </c>
      <c r="E1746" s="22" t="s">
        <v>7935</v>
      </c>
      <c r="F1746" s="22" t="s">
        <v>7933</v>
      </c>
      <c r="G1746" s="21" t="s">
        <v>7936</v>
      </c>
      <c r="H1746" s="21" t="s">
        <v>7937</v>
      </c>
      <c r="I1746" s="12" t="s">
        <v>7999</v>
      </c>
      <c r="J1746" s="12" t="s">
        <v>9325</v>
      </c>
      <c r="K1746" s="12" t="s">
        <v>10730</v>
      </c>
      <c r="L1746" s="12" t="s">
        <v>10731</v>
      </c>
      <c r="M1746" s="12" t="s">
        <v>10732</v>
      </c>
    </row>
    <row r="1747" spans="1:13" ht="52.8">
      <c r="A1747" s="21" t="s">
        <v>7932</v>
      </c>
      <c r="B1747" s="21" t="s">
        <v>7933</v>
      </c>
      <c r="C1747" s="21" t="s">
        <v>7934</v>
      </c>
      <c r="D1747" s="21" t="s">
        <v>71</v>
      </c>
      <c r="E1747" s="22" t="s">
        <v>7935</v>
      </c>
      <c r="F1747" s="22" t="s">
        <v>7933</v>
      </c>
      <c r="G1747" s="21" t="s">
        <v>7936</v>
      </c>
      <c r="H1747" s="21" t="s">
        <v>7937</v>
      </c>
      <c r="I1747" s="12" t="s">
        <v>8000</v>
      </c>
      <c r="J1747" s="12" t="s">
        <v>9326</v>
      </c>
      <c r="K1747" s="12" t="s">
        <v>10733</v>
      </c>
      <c r="L1747" s="12" t="s">
        <v>10734</v>
      </c>
      <c r="M1747" s="12" t="s">
        <v>10735</v>
      </c>
    </row>
    <row r="1748" spans="1:13" ht="52.8">
      <c r="A1748" s="21" t="s">
        <v>7932</v>
      </c>
      <c r="B1748" s="21" t="s">
        <v>7933</v>
      </c>
      <c r="C1748" s="21" t="s">
        <v>7934</v>
      </c>
      <c r="D1748" s="21" t="s">
        <v>71</v>
      </c>
      <c r="E1748" s="22" t="s">
        <v>7935</v>
      </c>
      <c r="F1748" s="22" t="s">
        <v>7933</v>
      </c>
      <c r="G1748" s="21" t="s">
        <v>7936</v>
      </c>
      <c r="H1748" s="21" t="s">
        <v>7937</v>
      </c>
      <c r="I1748" s="12" t="s">
        <v>8001</v>
      </c>
      <c r="J1748" s="12" t="s">
        <v>9327</v>
      </c>
      <c r="K1748" s="12"/>
      <c r="L1748" s="12" t="s">
        <v>10736</v>
      </c>
      <c r="M1748" s="12" t="s">
        <v>10737</v>
      </c>
    </row>
    <row r="1749" spans="1:13" ht="52.8">
      <c r="A1749" s="21" t="s">
        <v>7932</v>
      </c>
      <c r="B1749" s="21" t="s">
        <v>7933</v>
      </c>
      <c r="C1749" s="21" t="s">
        <v>7934</v>
      </c>
      <c r="D1749" s="21" t="s">
        <v>71</v>
      </c>
      <c r="E1749" s="22" t="s">
        <v>7935</v>
      </c>
      <c r="F1749" s="22" t="s">
        <v>7933</v>
      </c>
      <c r="G1749" s="21" t="s">
        <v>7936</v>
      </c>
      <c r="H1749" s="21" t="s">
        <v>7937</v>
      </c>
      <c r="I1749" s="12" t="s">
        <v>8002</v>
      </c>
      <c r="J1749" s="12" t="s">
        <v>9328</v>
      </c>
      <c r="K1749" s="12"/>
      <c r="L1749" s="12" t="s">
        <v>10738</v>
      </c>
      <c r="M1749" s="12" t="s">
        <v>10739</v>
      </c>
    </row>
    <row r="1750" spans="1:13" ht="52.8">
      <c r="A1750" s="21" t="s">
        <v>7932</v>
      </c>
      <c r="B1750" s="21" t="s">
        <v>7933</v>
      </c>
      <c r="C1750" s="21" t="s">
        <v>7934</v>
      </c>
      <c r="D1750" s="21" t="s">
        <v>71</v>
      </c>
      <c r="E1750" s="22" t="s">
        <v>7935</v>
      </c>
      <c r="F1750" s="22" t="s">
        <v>7933</v>
      </c>
      <c r="G1750" s="21" t="s">
        <v>7936</v>
      </c>
      <c r="H1750" s="21" t="s">
        <v>7937</v>
      </c>
      <c r="I1750" s="12" t="s">
        <v>8003</v>
      </c>
      <c r="J1750" s="12" t="s">
        <v>9329</v>
      </c>
      <c r="K1750" s="12"/>
      <c r="L1750" s="12" t="s">
        <v>10740</v>
      </c>
      <c r="M1750" s="12" t="s">
        <v>10741</v>
      </c>
    </row>
    <row r="1751" spans="1:13" ht="52.8">
      <c r="A1751" s="21" t="s">
        <v>7932</v>
      </c>
      <c r="B1751" s="21" t="s">
        <v>7933</v>
      </c>
      <c r="C1751" s="21" t="s">
        <v>7934</v>
      </c>
      <c r="D1751" s="21" t="s">
        <v>71</v>
      </c>
      <c r="E1751" s="22" t="s">
        <v>7935</v>
      </c>
      <c r="F1751" s="22" t="s">
        <v>7933</v>
      </c>
      <c r="G1751" s="21" t="s">
        <v>7936</v>
      </c>
      <c r="H1751" s="21" t="s">
        <v>7937</v>
      </c>
      <c r="I1751" s="12" t="s">
        <v>8004</v>
      </c>
      <c r="J1751" s="12" t="s">
        <v>9330</v>
      </c>
      <c r="K1751" s="12"/>
      <c r="L1751" s="12" t="s">
        <v>10742</v>
      </c>
      <c r="M1751" s="12" t="s">
        <v>10743</v>
      </c>
    </row>
    <row r="1752" spans="1:13" ht="52.8">
      <c r="A1752" s="21" t="s">
        <v>7932</v>
      </c>
      <c r="B1752" s="21" t="s">
        <v>7933</v>
      </c>
      <c r="C1752" s="21" t="s">
        <v>7934</v>
      </c>
      <c r="D1752" s="21" t="s">
        <v>71</v>
      </c>
      <c r="E1752" s="22" t="s">
        <v>7935</v>
      </c>
      <c r="F1752" s="22" t="s">
        <v>7933</v>
      </c>
      <c r="G1752" s="21" t="s">
        <v>7936</v>
      </c>
      <c r="H1752" s="21" t="s">
        <v>7937</v>
      </c>
      <c r="I1752" s="12" t="s">
        <v>8005</v>
      </c>
      <c r="J1752" s="12" t="s">
        <v>9331</v>
      </c>
      <c r="K1752" s="12"/>
      <c r="L1752" s="12" t="s">
        <v>10744</v>
      </c>
      <c r="M1752" s="12" t="s">
        <v>10745</v>
      </c>
    </row>
    <row r="1753" spans="1:13" ht="52.8">
      <c r="A1753" s="21" t="s">
        <v>7932</v>
      </c>
      <c r="B1753" s="21" t="s">
        <v>7933</v>
      </c>
      <c r="C1753" s="21" t="s">
        <v>7934</v>
      </c>
      <c r="D1753" s="21" t="s">
        <v>71</v>
      </c>
      <c r="E1753" s="22" t="s">
        <v>7935</v>
      </c>
      <c r="F1753" s="22" t="s">
        <v>7933</v>
      </c>
      <c r="G1753" s="21" t="s">
        <v>7936</v>
      </c>
      <c r="H1753" s="21" t="s">
        <v>7937</v>
      </c>
      <c r="I1753" s="12" t="s">
        <v>8006</v>
      </c>
      <c r="J1753" s="12" t="s">
        <v>9332</v>
      </c>
      <c r="K1753" s="12"/>
      <c r="L1753" s="12" t="s">
        <v>10746</v>
      </c>
      <c r="M1753" s="12" t="s">
        <v>10747</v>
      </c>
    </row>
    <row r="1754" spans="1:13" ht="52.8">
      <c r="A1754" s="21" t="s">
        <v>7932</v>
      </c>
      <c r="B1754" s="21" t="s">
        <v>7933</v>
      </c>
      <c r="C1754" s="21" t="s">
        <v>7934</v>
      </c>
      <c r="D1754" s="21" t="s">
        <v>71</v>
      </c>
      <c r="E1754" s="22" t="s">
        <v>7935</v>
      </c>
      <c r="F1754" s="22" t="s">
        <v>7933</v>
      </c>
      <c r="G1754" s="21" t="s">
        <v>7936</v>
      </c>
      <c r="H1754" s="21" t="s">
        <v>7937</v>
      </c>
      <c r="I1754" s="12" t="s">
        <v>8007</v>
      </c>
      <c r="J1754" s="12" t="s">
        <v>9333</v>
      </c>
      <c r="K1754" s="12"/>
      <c r="L1754" s="12" t="s">
        <v>10748</v>
      </c>
      <c r="M1754" s="12" t="s">
        <v>10749</v>
      </c>
    </row>
    <row r="1755" spans="1:13" ht="52.8">
      <c r="A1755" s="21" t="s">
        <v>7932</v>
      </c>
      <c r="B1755" s="21" t="s">
        <v>7933</v>
      </c>
      <c r="C1755" s="21" t="s">
        <v>7934</v>
      </c>
      <c r="D1755" s="21" t="s">
        <v>71</v>
      </c>
      <c r="E1755" s="22" t="s">
        <v>7935</v>
      </c>
      <c r="F1755" s="22" t="s">
        <v>7933</v>
      </c>
      <c r="G1755" s="21" t="s">
        <v>7936</v>
      </c>
      <c r="H1755" s="21" t="s">
        <v>7937</v>
      </c>
      <c r="I1755" s="12" t="s">
        <v>8008</v>
      </c>
      <c r="J1755" s="12" t="s">
        <v>9334</v>
      </c>
      <c r="K1755" s="12" t="s">
        <v>10750</v>
      </c>
      <c r="L1755" s="12" t="s">
        <v>10751</v>
      </c>
      <c r="M1755" s="12" t="s">
        <v>10752</v>
      </c>
    </row>
    <row r="1756" spans="1:13" ht="52.8">
      <c r="A1756" s="21" t="s">
        <v>7932</v>
      </c>
      <c r="B1756" s="21" t="s">
        <v>7933</v>
      </c>
      <c r="C1756" s="21" t="s">
        <v>7934</v>
      </c>
      <c r="D1756" s="21" t="s">
        <v>71</v>
      </c>
      <c r="E1756" s="22" t="s">
        <v>7935</v>
      </c>
      <c r="F1756" s="22" t="s">
        <v>7933</v>
      </c>
      <c r="G1756" s="21" t="s">
        <v>7936</v>
      </c>
      <c r="H1756" s="21" t="s">
        <v>7937</v>
      </c>
      <c r="I1756" s="12" t="s">
        <v>8009</v>
      </c>
      <c r="J1756" s="12" t="s">
        <v>9335</v>
      </c>
      <c r="K1756" s="12" t="s">
        <v>10753</v>
      </c>
      <c r="L1756" s="12" t="s">
        <v>10754</v>
      </c>
      <c r="M1756" s="12" t="s">
        <v>10753</v>
      </c>
    </row>
    <row r="1757" spans="1:13" ht="52.8">
      <c r="A1757" s="21" t="s">
        <v>7932</v>
      </c>
      <c r="B1757" s="21" t="s">
        <v>7933</v>
      </c>
      <c r="C1757" s="21" t="s">
        <v>7934</v>
      </c>
      <c r="D1757" s="21" t="s">
        <v>71</v>
      </c>
      <c r="E1757" s="22" t="s">
        <v>7935</v>
      </c>
      <c r="F1757" s="22" t="s">
        <v>7933</v>
      </c>
      <c r="G1757" s="21" t="s">
        <v>7936</v>
      </c>
      <c r="H1757" s="21" t="s">
        <v>7937</v>
      </c>
      <c r="I1757" s="12" t="s">
        <v>90</v>
      </c>
      <c r="J1757" s="12" t="s">
        <v>9336</v>
      </c>
      <c r="K1757" s="12" t="s">
        <v>10755</v>
      </c>
      <c r="L1757" s="12" t="s">
        <v>10756</v>
      </c>
      <c r="M1757" s="12" t="s">
        <v>10757</v>
      </c>
    </row>
    <row r="1758" spans="1:13" ht="52.8">
      <c r="A1758" s="21" t="s">
        <v>7932</v>
      </c>
      <c r="B1758" s="21" t="s">
        <v>7933</v>
      </c>
      <c r="C1758" s="21" t="s">
        <v>7934</v>
      </c>
      <c r="D1758" s="21" t="s">
        <v>71</v>
      </c>
      <c r="E1758" s="22" t="s">
        <v>7935</v>
      </c>
      <c r="F1758" s="22" t="s">
        <v>7933</v>
      </c>
      <c r="G1758" s="21" t="s">
        <v>7936</v>
      </c>
      <c r="H1758" s="21" t="s">
        <v>7937</v>
      </c>
      <c r="I1758" s="12" t="s">
        <v>8010</v>
      </c>
      <c r="J1758" s="12" t="s">
        <v>9337</v>
      </c>
      <c r="K1758" s="12" t="s">
        <v>10758</v>
      </c>
      <c r="L1758" s="12" t="s">
        <v>10759</v>
      </c>
      <c r="M1758" s="12" t="s">
        <v>10758</v>
      </c>
    </row>
    <row r="1759" spans="1:13" ht="52.8">
      <c r="A1759" s="21" t="s">
        <v>7932</v>
      </c>
      <c r="B1759" s="21" t="s">
        <v>7933</v>
      </c>
      <c r="C1759" s="21" t="s">
        <v>7934</v>
      </c>
      <c r="D1759" s="21" t="s">
        <v>71</v>
      </c>
      <c r="E1759" s="22" t="s">
        <v>7935</v>
      </c>
      <c r="F1759" s="22" t="s">
        <v>7933</v>
      </c>
      <c r="G1759" s="21" t="s">
        <v>7936</v>
      </c>
      <c r="H1759" s="21" t="s">
        <v>7937</v>
      </c>
      <c r="I1759" s="12" t="s">
        <v>8011</v>
      </c>
      <c r="J1759" s="12" t="s">
        <v>9338</v>
      </c>
      <c r="K1759" s="12"/>
      <c r="L1759" s="12" t="s">
        <v>10760</v>
      </c>
      <c r="M1759" s="12" t="s">
        <v>10761</v>
      </c>
    </row>
    <row r="1760" spans="1:13" ht="52.8">
      <c r="A1760" s="21" t="s">
        <v>7932</v>
      </c>
      <c r="B1760" s="21" t="s">
        <v>7933</v>
      </c>
      <c r="C1760" s="21" t="s">
        <v>7934</v>
      </c>
      <c r="D1760" s="21" t="s">
        <v>71</v>
      </c>
      <c r="E1760" s="22" t="s">
        <v>7935</v>
      </c>
      <c r="F1760" s="22" t="s">
        <v>7933</v>
      </c>
      <c r="G1760" s="21" t="s">
        <v>7936</v>
      </c>
      <c r="H1760" s="21" t="s">
        <v>7937</v>
      </c>
      <c r="I1760" s="12" t="s">
        <v>8012</v>
      </c>
      <c r="J1760" s="12" t="s">
        <v>9339</v>
      </c>
      <c r="K1760" s="12"/>
      <c r="L1760" s="12" t="s">
        <v>10762</v>
      </c>
      <c r="M1760" s="12" t="s">
        <v>10763</v>
      </c>
    </row>
    <row r="1761" spans="1:13" ht="52.8">
      <c r="A1761" s="21" t="s">
        <v>7932</v>
      </c>
      <c r="B1761" s="21" t="s">
        <v>7933</v>
      </c>
      <c r="C1761" s="21" t="s">
        <v>7934</v>
      </c>
      <c r="D1761" s="21" t="s">
        <v>71</v>
      </c>
      <c r="E1761" s="22" t="s">
        <v>7935</v>
      </c>
      <c r="F1761" s="22" t="s">
        <v>7933</v>
      </c>
      <c r="G1761" s="21" t="s">
        <v>7936</v>
      </c>
      <c r="H1761" s="21" t="s">
        <v>7937</v>
      </c>
      <c r="I1761" s="12" t="s">
        <v>8013</v>
      </c>
      <c r="J1761" s="12" t="s">
        <v>9340</v>
      </c>
      <c r="K1761" s="12"/>
      <c r="L1761" s="12" t="s">
        <v>10764</v>
      </c>
      <c r="M1761" s="12" t="s">
        <v>10765</v>
      </c>
    </row>
    <row r="1762" spans="1:13" ht="52.8">
      <c r="A1762" s="21" t="s">
        <v>7932</v>
      </c>
      <c r="B1762" s="21" t="s">
        <v>7933</v>
      </c>
      <c r="C1762" s="21" t="s">
        <v>7934</v>
      </c>
      <c r="D1762" s="21" t="s">
        <v>71</v>
      </c>
      <c r="E1762" s="22" t="s">
        <v>7935</v>
      </c>
      <c r="F1762" s="22" t="s">
        <v>7933</v>
      </c>
      <c r="G1762" s="21" t="s">
        <v>7936</v>
      </c>
      <c r="H1762" s="21" t="s">
        <v>7937</v>
      </c>
      <c r="I1762" s="12" t="s">
        <v>8014</v>
      </c>
      <c r="J1762" s="12" t="s">
        <v>9341</v>
      </c>
      <c r="K1762" s="12"/>
      <c r="L1762" s="12" t="s">
        <v>10766</v>
      </c>
      <c r="M1762" s="12" t="s">
        <v>10767</v>
      </c>
    </row>
    <row r="1763" spans="1:13" ht="52.8">
      <c r="A1763" s="21" t="s">
        <v>7932</v>
      </c>
      <c r="B1763" s="21" t="s">
        <v>7933</v>
      </c>
      <c r="C1763" s="21" t="s">
        <v>7934</v>
      </c>
      <c r="D1763" s="21" t="s">
        <v>71</v>
      </c>
      <c r="E1763" s="22" t="s">
        <v>7935</v>
      </c>
      <c r="F1763" s="22" t="s">
        <v>7933</v>
      </c>
      <c r="G1763" s="21" t="s">
        <v>7936</v>
      </c>
      <c r="H1763" s="21" t="s">
        <v>7937</v>
      </c>
      <c r="I1763" s="12" t="s">
        <v>8015</v>
      </c>
      <c r="J1763" s="12" t="s">
        <v>9342</v>
      </c>
      <c r="K1763" s="12"/>
      <c r="L1763" s="12" t="s">
        <v>10768</v>
      </c>
      <c r="M1763" s="12" t="s">
        <v>10769</v>
      </c>
    </row>
    <row r="1764" spans="1:13" ht="52.8">
      <c r="A1764" s="21" t="s">
        <v>7932</v>
      </c>
      <c r="B1764" s="21" t="s">
        <v>7933</v>
      </c>
      <c r="C1764" s="21" t="s">
        <v>7934</v>
      </c>
      <c r="D1764" s="21" t="s">
        <v>71</v>
      </c>
      <c r="E1764" s="22" t="s">
        <v>7935</v>
      </c>
      <c r="F1764" s="22" t="s">
        <v>7933</v>
      </c>
      <c r="G1764" s="21" t="s">
        <v>7936</v>
      </c>
      <c r="H1764" s="21" t="s">
        <v>7937</v>
      </c>
      <c r="I1764" s="12" t="s">
        <v>8016</v>
      </c>
      <c r="J1764" s="12" t="s">
        <v>9343</v>
      </c>
      <c r="K1764" s="12"/>
      <c r="L1764" s="12" t="s">
        <v>10770</v>
      </c>
      <c r="M1764" s="12" t="s">
        <v>10771</v>
      </c>
    </row>
    <row r="1765" spans="1:13" ht="52.8">
      <c r="A1765" s="21" t="s">
        <v>7932</v>
      </c>
      <c r="B1765" s="21" t="s">
        <v>7933</v>
      </c>
      <c r="C1765" s="21" t="s">
        <v>7934</v>
      </c>
      <c r="D1765" s="21" t="s">
        <v>71</v>
      </c>
      <c r="E1765" s="22" t="s">
        <v>7935</v>
      </c>
      <c r="F1765" s="22" t="s">
        <v>7933</v>
      </c>
      <c r="G1765" s="21" t="s">
        <v>7936</v>
      </c>
      <c r="H1765" s="21" t="s">
        <v>7937</v>
      </c>
      <c r="I1765" s="12" t="s">
        <v>8017</v>
      </c>
      <c r="J1765" s="12" t="s">
        <v>9344</v>
      </c>
      <c r="K1765" s="12" t="s">
        <v>10772</v>
      </c>
      <c r="L1765" s="12" t="s">
        <v>10773</v>
      </c>
      <c r="M1765" s="12" t="s">
        <v>10774</v>
      </c>
    </row>
    <row r="1766" spans="1:13" ht="52.8">
      <c r="A1766" s="21" t="s">
        <v>7932</v>
      </c>
      <c r="B1766" s="21" t="s">
        <v>7933</v>
      </c>
      <c r="C1766" s="21" t="s">
        <v>7934</v>
      </c>
      <c r="D1766" s="21" t="s">
        <v>71</v>
      </c>
      <c r="E1766" s="22" t="s">
        <v>7935</v>
      </c>
      <c r="F1766" s="22" t="s">
        <v>7933</v>
      </c>
      <c r="G1766" s="21" t="s">
        <v>7936</v>
      </c>
      <c r="H1766" s="21" t="s">
        <v>7937</v>
      </c>
      <c r="I1766" s="12" t="s">
        <v>8018</v>
      </c>
      <c r="J1766" s="12" t="s">
        <v>9345</v>
      </c>
      <c r="K1766" s="12"/>
      <c r="L1766" s="12" t="s">
        <v>10775</v>
      </c>
      <c r="M1766" s="12" t="s">
        <v>10776</v>
      </c>
    </row>
    <row r="1767" spans="1:13" ht="52.8">
      <c r="A1767" s="21" t="s">
        <v>7932</v>
      </c>
      <c r="B1767" s="21" t="s">
        <v>7933</v>
      </c>
      <c r="C1767" s="21" t="s">
        <v>7934</v>
      </c>
      <c r="D1767" s="21" t="s">
        <v>71</v>
      </c>
      <c r="E1767" s="22" t="s">
        <v>7935</v>
      </c>
      <c r="F1767" s="22" t="s">
        <v>7933</v>
      </c>
      <c r="G1767" s="21" t="s">
        <v>7936</v>
      </c>
      <c r="H1767" s="21" t="s">
        <v>7937</v>
      </c>
      <c r="I1767" s="12" t="s">
        <v>8019</v>
      </c>
      <c r="J1767" s="12" t="s">
        <v>9346</v>
      </c>
      <c r="K1767" s="12" t="s">
        <v>10777</v>
      </c>
      <c r="L1767" s="12" t="s">
        <v>10778</v>
      </c>
      <c r="M1767" s="12" t="s">
        <v>10779</v>
      </c>
    </row>
    <row r="1768" spans="1:13" ht="52.8">
      <c r="A1768" s="21" t="s">
        <v>7932</v>
      </c>
      <c r="B1768" s="21" t="s">
        <v>7933</v>
      </c>
      <c r="C1768" s="21" t="s">
        <v>7934</v>
      </c>
      <c r="D1768" s="21" t="s">
        <v>71</v>
      </c>
      <c r="E1768" s="22" t="s">
        <v>7935</v>
      </c>
      <c r="F1768" s="22" t="s">
        <v>7933</v>
      </c>
      <c r="G1768" s="21" t="s">
        <v>7936</v>
      </c>
      <c r="H1768" s="21" t="s">
        <v>7937</v>
      </c>
      <c r="I1768" s="12" t="s">
        <v>8020</v>
      </c>
      <c r="J1768" s="12" t="s">
        <v>9347</v>
      </c>
      <c r="K1768" s="12"/>
      <c r="L1768" s="12" t="s">
        <v>10780</v>
      </c>
      <c r="M1768" s="12" t="s">
        <v>10781</v>
      </c>
    </row>
    <row r="1769" spans="1:13" ht="52.8">
      <c r="A1769" s="21" t="s">
        <v>7932</v>
      </c>
      <c r="B1769" s="21" t="s">
        <v>7933</v>
      </c>
      <c r="C1769" s="21" t="s">
        <v>7934</v>
      </c>
      <c r="D1769" s="21" t="s">
        <v>71</v>
      </c>
      <c r="E1769" s="22" t="s">
        <v>7935</v>
      </c>
      <c r="F1769" s="22" t="s">
        <v>7933</v>
      </c>
      <c r="G1769" s="21" t="s">
        <v>7936</v>
      </c>
      <c r="H1769" s="21" t="s">
        <v>7937</v>
      </c>
      <c r="I1769" s="12" t="s">
        <v>8021</v>
      </c>
      <c r="J1769" s="12" t="s">
        <v>9348</v>
      </c>
      <c r="K1769" s="12"/>
      <c r="L1769" s="12" t="s">
        <v>10782</v>
      </c>
      <c r="M1769" s="12" t="s">
        <v>10783</v>
      </c>
    </row>
    <row r="1770" spans="1:13" ht="52.8">
      <c r="A1770" s="21" t="s">
        <v>7932</v>
      </c>
      <c r="B1770" s="21" t="s">
        <v>7933</v>
      </c>
      <c r="C1770" s="21" t="s">
        <v>7934</v>
      </c>
      <c r="D1770" s="21" t="s">
        <v>71</v>
      </c>
      <c r="E1770" s="22" t="s">
        <v>7935</v>
      </c>
      <c r="F1770" s="22" t="s">
        <v>7933</v>
      </c>
      <c r="G1770" s="21" t="s">
        <v>7936</v>
      </c>
      <c r="H1770" s="21" t="s">
        <v>7937</v>
      </c>
      <c r="I1770" s="12" t="s">
        <v>8022</v>
      </c>
      <c r="J1770" s="12" t="s">
        <v>9349</v>
      </c>
      <c r="K1770" s="12"/>
      <c r="L1770" s="12" t="s">
        <v>10784</v>
      </c>
      <c r="M1770" s="12" t="s">
        <v>10785</v>
      </c>
    </row>
    <row r="1771" spans="1:13" ht="52.8">
      <c r="A1771" s="21" t="s">
        <v>7932</v>
      </c>
      <c r="B1771" s="21" t="s">
        <v>7933</v>
      </c>
      <c r="C1771" s="21" t="s">
        <v>7934</v>
      </c>
      <c r="D1771" s="21" t="s">
        <v>71</v>
      </c>
      <c r="E1771" s="22" t="s">
        <v>7935</v>
      </c>
      <c r="F1771" s="22" t="s">
        <v>7933</v>
      </c>
      <c r="G1771" s="21" t="s">
        <v>7936</v>
      </c>
      <c r="H1771" s="21" t="s">
        <v>7937</v>
      </c>
      <c r="I1771" s="12" t="s">
        <v>8023</v>
      </c>
      <c r="J1771" s="12" t="s">
        <v>9350</v>
      </c>
      <c r="K1771" s="12"/>
      <c r="L1771" s="12" t="s">
        <v>10786</v>
      </c>
      <c r="M1771" s="12" t="s">
        <v>10787</v>
      </c>
    </row>
    <row r="1772" spans="1:13" ht="52.8">
      <c r="A1772" s="21" t="s">
        <v>7932</v>
      </c>
      <c r="B1772" s="21" t="s">
        <v>7933</v>
      </c>
      <c r="C1772" s="21" t="s">
        <v>7934</v>
      </c>
      <c r="D1772" s="21" t="s">
        <v>71</v>
      </c>
      <c r="E1772" s="22" t="s">
        <v>7935</v>
      </c>
      <c r="F1772" s="22" t="s">
        <v>7933</v>
      </c>
      <c r="G1772" s="21" t="s">
        <v>7936</v>
      </c>
      <c r="H1772" s="21" t="s">
        <v>7937</v>
      </c>
      <c r="I1772" s="12" t="s">
        <v>8024</v>
      </c>
      <c r="J1772" s="12" t="s">
        <v>9351</v>
      </c>
      <c r="K1772" s="12"/>
      <c r="L1772" s="12" t="s">
        <v>10788</v>
      </c>
      <c r="M1772" s="12" t="s">
        <v>10789</v>
      </c>
    </row>
    <row r="1773" spans="1:13" ht="52.8">
      <c r="A1773" s="21" t="s">
        <v>7932</v>
      </c>
      <c r="B1773" s="21" t="s">
        <v>7933</v>
      </c>
      <c r="C1773" s="21" t="s">
        <v>7934</v>
      </c>
      <c r="D1773" s="21" t="s">
        <v>71</v>
      </c>
      <c r="E1773" s="22" t="s">
        <v>7935</v>
      </c>
      <c r="F1773" s="22" t="s">
        <v>7933</v>
      </c>
      <c r="G1773" s="21" t="s">
        <v>7936</v>
      </c>
      <c r="H1773" s="21" t="s">
        <v>7937</v>
      </c>
      <c r="I1773" s="12" t="s">
        <v>8025</v>
      </c>
      <c r="J1773" s="12" t="s">
        <v>9352</v>
      </c>
      <c r="K1773" s="12"/>
      <c r="L1773" s="12" t="s">
        <v>10790</v>
      </c>
      <c r="M1773" s="12" t="s">
        <v>10791</v>
      </c>
    </row>
    <row r="1774" spans="1:13" ht="52.8">
      <c r="A1774" s="21" t="s">
        <v>7932</v>
      </c>
      <c r="B1774" s="21" t="s">
        <v>7933</v>
      </c>
      <c r="C1774" s="21" t="s">
        <v>7934</v>
      </c>
      <c r="D1774" s="21" t="s">
        <v>71</v>
      </c>
      <c r="E1774" s="22" t="s">
        <v>7935</v>
      </c>
      <c r="F1774" s="22" t="s">
        <v>7933</v>
      </c>
      <c r="G1774" s="21" t="s">
        <v>7936</v>
      </c>
      <c r="H1774" s="21" t="s">
        <v>7937</v>
      </c>
      <c r="I1774" s="12" t="s">
        <v>8026</v>
      </c>
      <c r="J1774" s="12" t="s">
        <v>9353</v>
      </c>
      <c r="K1774" s="12"/>
      <c r="L1774" s="12" t="s">
        <v>10792</v>
      </c>
      <c r="M1774" s="12" t="s">
        <v>10793</v>
      </c>
    </row>
    <row r="1775" spans="1:13" ht="52.8">
      <c r="A1775" s="21" t="s">
        <v>7932</v>
      </c>
      <c r="B1775" s="21" t="s">
        <v>7933</v>
      </c>
      <c r="C1775" s="21" t="s">
        <v>7934</v>
      </c>
      <c r="D1775" s="21" t="s">
        <v>71</v>
      </c>
      <c r="E1775" s="22" t="s">
        <v>7935</v>
      </c>
      <c r="F1775" s="22" t="s">
        <v>7933</v>
      </c>
      <c r="G1775" s="21" t="s">
        <v>7936</v>
      </c>
      <c r="H1775" s="21" t="s">
        <v>7937</v>
      </c>
      <c r="I1775" s="12" t="s">
        <v>8027</v>
      </c>
      <c r="J1775" s="12" t="s">
        <v>9354</v>
      </c>
      <c r="K1775" s="12" t="s">
        <v>10794</v>
      </c>
      <c r="L1775" s="12" t="s">
        <v>10795</v>
      </c>
      <c r="M1775" s="12" t="s">
        <v>10794</v>
      </c>
    </row>
    <row r="1776" spans="1:13" ht="52.8">
      <c r="A1776" s="21" t="s">
        <v>7932</v>
      </c>
      <c r="B1776" s="21" t="s">
        <v>7933</v>
      </c>
      <c r="C1776" s="21" t="s">
        <v>7934</v>
      </c>
      <c r="D1776" s="21" t="s">
        <v>71</v>
      </c>
      <c r="E1776" s="22" t="s">
        <v>7935</v>
      </c>
      <c r="F1776" s="22" t="s">
        <v>7933</v>
      </c>
      <c r="G1776" s="21" t="s">
        <v>7936</v>
      </c>
      <c r="H1776" s="21" t="s">
        <v>7937</v>
      </c>
      <c r="I1776" s="12" t="s">
        <v>8028</v>
      </c>
      <c r="J1776" s="12" t="s">
        <v>9355</v>
      </c>
      <c r="K1776" s="12"/>
      <c r="L1776" s="12" t="s">
        <v>10796</v>
      </c>
      <c r="M1776" s="12" t="s">
        <v>10797</v>
      </c>
    </row>
    <row r="1777" spans="1:13" ht="52.8">
      <c r="A1777" s="21" t="s">
        <v>7932</v>
      </c>
      <c r="B1777" s="21" t="s">
        <v>7933</v>
      </c>
      <c r="C1777" s="21" t="s">
        <v>7934</v>
      </c>
      <c r="D1777" s="21" t="s">
        <v>71</v>
      </c>
      <c r="E1777" s="22" t="s">
        <v>7935</v>
      </c>
      <c r="F1777" s="22" t="s">
        <v>7933</v>
      </c>
      <c r="G1777" s="21" t="s">
        <v>7936</v>
      </c>
      <c r="H1777" s="21" t="s">
        <v>7937</v>
      </c>
      <c r="I1777" s="12" t="s">
        <v>8029</v>
      </c>
      <c r="J1777" s="12" t="s">
        <v>9356</v>
      </c>
      <c r="K1777" s="12"/>
      <c r="L1777" s="12" t="s">
        <v>10798</v>
      </c>
      <c r="M1777" s="12" t="s">
        <v>10799</v>
      </c>
    </row>
    <row r="1778" spans="1:13" ht="52.8">
      <c r="A1778" s="21" t="s">
        <v>7932</v>
      </c>
      <c r="B1778" s="21" t="s">
        <v>7933</v>
      </c>
      <c r="C1778" s="21" t="s">
        <v>7934</v>
      </c>
      <c r="D1778" s="21" t="s">
        <v>71</v>
      </c>
      <c r="E1778" s="22" t="s">
        <v>7935</v>
      </c>
      <c r="F1778" s="22" t="s">
        <v>7933</v>
      </c>
      <c r="G1778" s="21" t="s">
        <v>7936</v>
      </c>
      <c r="H1778" s="21" t="s">
        <v>7937</v>
      </c>
      <c r="I1778" s="12" t="s">
        <v>8030</v>
      </c>
      <c r="J1778" s="12" t="s">
        <v>9357</v>
      </c>
      <c r="K1778" s="12" t="s">
        <v>10800</v>
      </c>
      <c r="L1778" s="12" t="s">
        <v>10801</v>
      </c>
      <c r="M1778" s="12" t="s">
        <v>10800</v>
      </c>
    </row>
    <row r="1779" spans="1:13" ht="52.8">
      <c r="A1779" s="21" t="s">
        <v>7932</v>
      </c>
      <c r="B1779" s="21" t="s">
        <v>7933</v>
      </c>
      <c r="C1779" s="21" t="s">
        <v>7934</v>
      </c>
      <c r="D1779" s="21" t="s">
        <v>71</v>
      </c>
      <c r="E1779" s="22" t="s">
        <v>7935</v>
      </c>
      <c r="F1779" s="22" t="s">
        <v>7933</v>
      </c>
      <c r="G1779" s="21" t="s">
        <v>7936</v>
      </c>
      <c r="H1779" s="21" t="s">
        <v>7937</v>
      </c>
      <c r="I1779" s="12" t="s">
        <v>8031</v>
      </c>
      <c r="J1779" s="12" t="s">
        <v>9358</v>
      </c>
      <c r="K1779" s="12"/>
      <c r="L1779" s="12" t="s">
        <v>10802</v>
      </c>
      <c r="M1779" s="12" t="s">
        <v>10803</v>
      </c>
    </row>
    <row r="1780" spans="1:13" ht="52.8">
      <c r="A1780" s="21" t="s">
        <v>7932</v>
      </c>
      <c r="B1780" s="21" t="s">
        <v>7933</v>
      </c>
      <c r="C1780" s="21" t="s">
        <v>7934</v>
      </c>
      <c r="D1780" s="21" t="s">
        <v>71</v>
      </c>
      <c r="E1780" s="22" t="s">
        <v>7935</v>
      </c>
      <c r="F1780" s="22" t="s">
        <v>7933</v>
      </c>
      <c r="G1780" s="21" t="s">
        <v>7936</v>
      </c>
      <c r="H1780" s="21" t="s">
        <v>7937</v>
      </c>
      <c r="I1780" s="12" t="s">
        <v>8032</v>
      </c>
      <c r="J1780" s="12" t="s">
        <v>9359</v>
      </c>
      <c r="K1780" s="12"/>
      <c r="L1780" s="12" t="s">
        <v>10804</v>
      </c>
      <c r="M1780" s="12" t="s">
        <v>10805</v>
      </c>
    </row>
    <row r="1781" spans="1:13" ht="52.8">
      <c r="A1781" s="21" t="s">
        <v>7932</v>
      </c>
      <c r="B1781" s="21" t="s">
        <v>7933</v>
      </c>
      <c r="C1781" s="21" t="s">
        <v>7934</v>
      </c>
      <c r="D1781" s="21" t="s">
        <v>71</v>
      </c>
      <c r="E1781" s="22" t="s">
        <v>7935</v>
      </c>
      <c r="F1781" s="22" t="s">
        <v>7933</v>
      </c>
      <c r="G1781" s="21" t="s">
        <v>7936</v>
      </c>
      <c r="H1781" s="21" t="s">
        <v>7937</v>
      </c>
      <c r="I1781" s="12" t="s">
        <v>8033</v>
      </c>
      <c r="J1781" s="12" t="s">
        <v>9360</v>
      </c>
      <c r="K1781" s="12"/>
      <c r="L1781" s="12" t="s">
        <v>10806</v>
      </c>
      <c r="M1781" s="12" t="s">
        <v>10807</v>
      </c>
    </row>
    <row r="1782" spans="1:13" ht="52.8">
      <c r="A1782" s="21" t="s">
        <v>7932</v>
      </c>
      <c r="B1782" s="21" t="s">
        <v>7933</v>
      </c>
      <c r="C1782" s="21" t="s">
        <v>7934</v>
      </c>
      <c r="D1782" s="21" t="s">
        <v>71</v>
      </c>
      <c r="E1782" s="22" t="s">
        <v>7935</v>
      </c>
      <c r="F1782" s="22" t="s">
        <v>7933</v>
      </c>
      <c r="G1782" s="21" t="s">
        <v>7936</v>
      </c>
      <c r="H1782" s="21" t="s">
        <v>7937</v>
      </c>
      <c r="I1782" s="12" t="s">
        <v>8034</v>
      </c>
      <c r="J1782" s="12" t="s">
        <v>9361</v>
      </c>
      <c r="K1782" s="12"/>
      <c r="L1782" s="12" t="s">
        <v>10808</v>
      </c>
      <c r="M1782" s="12" t="s">
        <v>10809</v>
      </c>
    </row>
    <row r="1783" spans="1:13" ht="52.8">
      <c r="A1783" s="21" t="s">
        <v>7932</v>
      </c>
      <c r="B1783" s="21" t="s">
        <v>7933</v>
      </c>
      <c r="C1783" s="21" t="s">
        <v>7934</v>
      </c>
      <c r="D1783" s="21" t="s">
        <v>71</v>
      </c>
      <c r="E1783" s="22" t="s">
        <v>7935</v>
      </c>
      <c r="F1783" s="22" t="s">
        <v>7933</v>
      </c>
      <c r="G1783" s="21" t="s">
        <v>7936</v>
      </c>
      <c r="H1783" s="21" t="s">
        <v>7937</v>
      </c>
      <c r="I1783" s="12" t="s">
        <v>8035</v>
      </c>
      <c r="J1783" s="12" t="s">
        <v>9362</v>
      </c>
      <c r="K1783" s="12"/>
      <c r="L1783" s="12" t="s">
        <v>10810</v>
      </c>
      <c r="M1783" s="12" t="s">
        <v>10811</v>
      </c>
    </row>
    <row r="1784" spans="1:13" ht="79.2">
      <c r="A1784" s="21" t="s">
        <v>7932</v>
      </c>
      <c r="B1784" s="21" t="s">
        <v>7933</v>
      </c>
      <c r="C1784" s="21" t="s">
        <v>7934</v>
      </c>
      <c r="D1784" s="21" t="s">
        <v>71</v>
      </c>
      <c r="E1784" s="22" t="s">
        <v>7935</v>
      </c>
      <c r="F1784" s="22" t="s">
        <v>7933</v>
      </c>
      <c r="G1784" s="21" t="s">
        <v>7936</v>
      </c>
      <c r="H1784" s="21" t="s">
        <v>7937</v>
      </c>
      <c r="I1784" s="12" t="s">
        <v>8036</v>
      </c>
      <c r="J1784" s="12" t="s">
        <v>9363</v>
      </c>
      <c r="K1784" s="12" t="s">
        <v>10812</v>
      </c>
      <c r="L1784" s="12" t="s">
        <v>10813</v>
      </c>
      <c r="M1784" s="12" t="s">
        <v>10812</v>
      </c>
    </row>
    <row r="1785" spans="1:13" ht="52.8">
      <c r="A1785" s="21" t="s">
        <v>7932</v>
      </c>
      <c r="B1785" s="21" t="s">
        <v>7933</v>
      </c>
      <c r="C1785" s="21" t="s">
        <v>7934</v>
      </c>
      <c r="D1785" s="21" t="s">
        <v>71</v>
      </c>
      <c r="E1785" s="22" t="s">
        <v>7935</v>
      </c>
      <c r="F1785" s="22" t="s">
        <v>7933</v>
      </c>
      <c r="G1785" s="21" t="s">
        <v>7936</v>
      </c>
      <c r="H1785" s="21" t="s">
        <v>7937</v>
      </c>
      <c r="I1785" s="12" t="s">
        <v>8037</v>
      </c>
      <c r="J1785" s="12" t="s">
        <v>9364</v>
      </c>
      <c r="K1785" s="12"/>
      <c r="L1785" s="12" t="s">
        <v>10814</v>
      </c>
      <c r="M1785" s="12" t="s">
        <v>10815</v>
      </c>
    </row>
    <row r="1786" spans="1:13" ht="52.8">
      <c r="A1786" s="21" t="s">
        <v>7932</v>
      </c>
      <c r="B1786" s="21" t="s">
        <v>7933</v>
      </c>
      <c r="C1786" s="21" t="s">
        <v>7934</v>
      </c>
      <c r="D1786" s="21" t="s">
        <v>71</v>
      </c>
      <c r="E1786" s="22" t="s">
        <v>7935</v>
      </c>
      <c r="F1786" s="22" t="s">
        <v>7933</v>
      </c>
      <c r="G1786" s="21" t="s">
        <v>7936</v>
      </c>
      <c r="H1786" s="21" t="s">
        <v>7937</v>
      </c>
      <c r="I1786" s="12" t="s">
        <v>8038</v>
      </c>
      <c r="J1786" s="12" t="s">
        <v>9365</v>
      </c>
      <c r="K1786" s="12" t="s">
        <v>10816</v>
      </c>
      <c r="L1786" s="12" t="s">
        <v>10817</v>
      </c>
      <c r="M1786" s="12" t="s">
        <v>10818</v>
      </c>
    </row>
    <row r="1787" spans="1:13" ht="52.8">
      <c r="A1787" s="21" t="s">
        <v>7932</v>
      </c>
      <c r="B1787" s="21" t="s">
        <v>7933</v>
      </c>
      <c r="C1787" s="21" t="s">
        <v>7934</v>
      </c>
      <c r="D1787" s="21" t="s">
        <v>71</v>
      </c>
      <c r="E1787" s="22" t="s">
        <v>7935</v>
      </c>
      <c r="F1787" s="22" t="s">
        <v>7933</v>
      </c>
      <c r="G1787" s="21" t="s">
        <v>7936</v>
      </c>
      <c r="H1787" s="21" t="s">
        <v>7937</v>
      </c>
      <c r="I1787" s="12" t="s">
        <v>8039</v>
      </c>
      <c r="J1787" s="12" t="s">
        <v>9366</v>
      </c>
      <c r="K1787" s="12" t="s">
        <v>10819</v>
      </c>
      <c r="L1787" s="12" t="s">
        <v>10820</v>
      </c>
      <c r="M1787" s="12" t="s">
        <v>10819</v>
      </c>
    </row>
    <row r="1788" spans="1:13" ht="52.8">
      <c r="A1788" s="21" t="s">
        <v>7932</v>
      </c>
      <c r="B1788" s="21" t="s">
        <v>7933</v>
      </c>
      <c r="C1788" s="21" t="s">
        <v>7934</v>
      </c>
      <c r="D1788" s="21" t="s">
        <v>71</v>
      </c>
      <c r="E1788" s="22" t="s">
        <v>7935</v>
      </c>
      <c r="F1788" s="22" t="s">
        <v>7933</v>
      </c>
      <c r="G1788" s="21" t="s">
        <v>7936</v>
      </c>
      <c r="H1788" s="21" t="s">
        <v>7937</v>
      </c>
      <c r="I1788" s="12" t="s">
        <v>8040</v>
      </c>
      <c r="J1788" s="12" t="s">
        <v>9367</v>
      </c>
      <c r="K1788" s="12" t="s">
        <v>10821</v>
      </c>
      <c r="L1788" s="12" t="s">
        <v>10822</v>
      </c>
      <c r="M1788" s="12" t="s">
        <v>10823</v>
      </c>
    </row>
    <row r="1789" spans="1:13" ht="52.8">
      <c r="A1789" s="21" t="s">
        <v>7932</v>
      </c>
      <c r="B1789" s="21" t="s">
        <v>7933</v>
      </c>
      <c r="C1789" s="21" t="s">
        <v>7934</v>
      </c>
      <c r="D1789" s="21" t="s">
        <v>71</v>
      </c>
      <c r="E1789" s="22" t="s">
        <v>7935</v>
      </c>
      <c r="F1789" s="22" t="s">
        <v>7933</v>
      </c>
      <c r="G1789" s="21" t="s">
        <v>7936</v>
      </c>
      <c r="H1789" s="21" t="s">
        <v>7937</v>
      </c>
      <c r="I1789" s="12" t="s">
        <v>8041</v>
      </c>
      <c r="J1789" s="12" t="s">
        <v>9368</v>
      </c>
      <c r="K1789" s="12" t="s">
        <v>10824</v>
      </c>
      <c r="L1789" s="12" t="s">
        <v>10825</v>
      </c>
      <c r="M1789" s="12" t="s">
        <v>10826</v>
      </c>
    </row>
    <row r="1790" spans="1:13" ht="52.8">
      <c r="A1790" s="21" t="s">
        <v>7932</v>
      </c>
      <c r="B1790" s="21" t="s">
        <v>7933</v>
      </c>
      <c r="C1790" s="21" t="s">
        <v>7934</v>
      </c>
      <c r="D1790" s="21" t="s">
        <v>71</v>
      </c>
      <c r="E1790" s="22" t="s">
        <v>7935</v>
      </c>
      <c r="F1790" s="22" t="s">
        <v>7933</v>
      </c>
      <c r="G1790" s="21" t="s">
        <v>7936</v>
      </c>
      <c r="H1790" s="21" t="s">
        <v>7937</v>
      </c>
      <c r="I1790" s="12" t="s">
        <v>8042</v>
      </c>
      <c r="J1790" s="12" t="s">
        <v>9369</v>
      </c>
      <c r="K1790" s="12" t="s">
        <v>10827</v>
      </c>
      <c r="L1790" s="12" t="s">
        <v>10828</v>
      </c>
      <c r="M1790" s="12" t="s">
        <v>10829</v>
      </c>
    </row>
    <row r="1791" spans="1:13" ht="52.8">
      <c r="A1791" s="21" t="s">
        <v>7932</v>
      </c>
      <c r="B1791" s="21" t="s">
        <v>7933</v>
      </c>
      <c r="C1791" s="21" t="s">
        <v>7934</v>
      </c>
      <c r="D1791" s="21" t="s">
        <v>71</v>
      </c>
      <c r="E1791" s="22" t="s">
        <v>7935</v>
      </c>
      <c r="F1791" s="22" t="s">
        <v>7933</v>
      </c>
      <c r="G1791" s="21" t="s">
        <v>7936</v>
      </c>
      <c r="H1791" s="21" t="s">
        <v>7937</v>
      </c>
      <c r="I1791" s="12" t="s">
        <v>8043</v>
      </c>
      <c r="J1791" s="12" t="s">
        <v>9370</v>
      </c>
      <c r="K1791" s="12"/>
      <c r="L1791" s="12" t="s">
        <v>10830</v>
      </c>
      <c r="M1791" s="12" t="s">
        <v>10831</v>
      </c>
    </row>
    <row r="1792" spans="1:13" ht="66">
      <c r="A1792" s="21" t="s">
        <v>7932</v>
      </c>
      <c r="B1792" s="21" t="s">
        <v>7933</v>
      </c>
      <c r="C1792" s="21" t="s">
        <v>7934</v>
      </c>
      <c r="D1792" s="21" t="s">
        <v>71</v>
      </c>
      <c r="E1792" s="22" t="s">
        <v>7935</v>
      </c>
      <c r="F1792" s="22" t="s">
        <v>7933</v>
      </c>
      <c r="G1792" s="21" t="s">
        <v>7936</v>
      </c>
      <c r="H1792" s="21" t="s">
        <v>7937</v>
      </c>
      <c r="I1792" s="12" t="s">
        <v>8044</v>
      </c>
      <c r="J1792" s="12" t="s">
        <v>9371</v>
      </c>
      <c r="K1792" s="12" t="s">
        <v>10832</v>
      </c>
      <c r="L1792" s="12" t="s">
        <v>10833</v>
      </c>
      <c r="M1792" s="12" t="s">
        <v>10834</v>
      </c>
    </row>
    <row r="1793" spans="1:13" ht="52.8">
      <c r="A1793" s="21" t="s">
        <v>7932</v>
      </c>
      <c r="B1793" s="21" t="s">
        <v>7933</v>
      </c>
      <c r="C1793" s="21" t="s">
        <v>7934</v>
      </c>
      <c r="D1793" s="21" t="s">
        <v>71</v>
      </c>
      <c r="E1793" s="22" t="s">
        <v>7935</v>
      </c>
      <c r="F1793" s="22" t="s">
        <v>7933</v>
      </c>
      <c r="G1793" s="21" t="s">
        <v>7936</v>
      </c>
      <c r="H1793" s="21" t="s">
        <v>7937</v>
      </c>
      <c r="I1793" s="12" t="s">
        <v>8045</v>
      </c>
      <c r="J1793" s="12" t="s">
        <v>9372</v>
      </c>
      <c r="K1793" s="12" t="s">
        <v>10835</v>
      </c>
      <c r="L1793" s="12" t="s">
        <v>10836</v>
      </c>
      <c r="M1793" s="12" t="s">
        <v>10835</v>
      </c>
    </row>
    <row r="1794" spans="1:13" ht="52.8">
      <c r="A1794" s="21" t="s">
        <v>7932</v>
      </c>
      <c r="B1794" s="21" t="s">
        <v>7933</v>
      </c>
      <c r="C1794" s="21" t="s">
        <v>7934</v>
      </c>
      <c r="D1794" s="21" t="s">
        <v>71</v>
      </c>
      <c r="E1794" s="22" t="s">
        <v>7935</v>
      </c>
      <c r="F1794" s="22" t="s">
        <v>7933</v>
      </c>
      <c r="G1794" s="21" t="s">
        <v>7936</v>
      </c>
      <c r="H1794" s="21" t="s">
        <v>7937</v>
      </c>
      <c r="I1794" s="12" t="s">
        <v>8046</v>
      </c>
      <c r="J1794" s="12" t="s">
        <v>9373</v>
      </c>
      <c r="K1794" s="12" t="s">
        <v>10837</v>
      </c>
      <c r="L1794" s="12" t="s">
        <v>10838</v>
      </c>
      <c r="M1794" s="12" t="s">
        <v>10839</v>
      </c>
    </row>
    <row r="1795" spans="1:13" ht="52.8">
      <c r="A1795" s="21" t="s">
        <v>7932</v>
      </c>
      <c r="B1795" s="21" t="s">
        <v>7933</v>
      </c>
      <c r="C1795" s="21" t="s">
        <v>7934</v>
      </c>
      <c r="D1795" s="21" t="s">
        <v>71</v>
      </c>
      <c r="E1795" s="22" t="s">
        <v>7935</v>
      </c>
      <c r="F1795" s="22" t="s">
        <v>7933</v>
      </c>
      <c r="G1795" s="21" t="s">
        <v>7936</v>
      </c>
      <c r="H1795" s="21" t="s">
        <v>7937</v>
      </c>
      <c r="I1795" s="12" t="s">
        <v>8047</v>
      </c>
      <c r="J1795" s="12" t="s">
        <v>9374</v>
      </c>
      <c r="K1795" s="12"/>
      <c r="L1795" s="12" t="s">
        <v>10840</v>
      </c>
      <c r="M1795" s="12" t="s">
        <v>10841</v>
      </c>
    </row>
    <row r="1796" spans="1:13" ht="52.8">
      <c r="A1796" s="21" t="s">
        <v>7932</v>
      </c>
      <c r="B1796" s="21" t="s">
        <v>7933</v>
      </c>
      <c r="C1796" s="21" t="s">
        <v>7934</v>
      </c>
      <c r="D1796" s="21" t="s">
        <v>71</v>
      </c>
      <c r="E1796" s="22" t="s">
        <v>7935</v>
      </c>
      <c r="F1796" s="22" t="s">
        <v>7933</v>
      </c>
      <c r="G1796" s="21" t="s">
        <v>7936</v>
      </c>
      <c r="H1796" s="21" t="s">
        <v>7937</v>
      </c>
      <c r="I1796" s="12" t="s">
        <v>8048</v>
      </c>
      <c r="J1796" s="12" t="s">
        <v>9375</v>
      </c>
      <c r="K1796" s="12"/>
      <c r="L1796" s="12" t="s">
        <v>10842</v>
      </c>
      <c r="M1796" s="12" t="s">
        <v>10843</v>
      </c>
    </row>
    <row r="1797" spans="1:13" ht="52.8">
      <c r="A1797" s="21" t="s">
        <v>7932</v>
      </c>
      <c r="B1797" s="21" t="s">
        <v>7933</v>
      </c>
      <c r="C1797" s="21" t="s">
        <v>7934</v>
      </c>
      <c r="D1797" s="21" t="s">
        <v>71</v>
      </c>
      <c r="E1797" s="22" t="s">
        <v>7935</v>
      </c>
      <c r="F1797" s="22" t="s">
        <v>7933</v>
      </c>
      <c r="G1797" s="21" t="s">
        <v>7936</v>
      </c>
      <c r="H1797" s="21" t="s">
        <v>7937</v>
      </c>
      <c r="I1797" s="12" t="s">
        <v>8049</v>
      </c>
      <c r="J1797" s="12" t="s">
        <v>9376</v>
      </c>
      <c r="K1797" s="12"/>
      <c r="L1797" s="12" t="s">
        <v>10844</v>
      </c>
      <c r="M1797" s="12" t="s">
        <v>10845</v>
      </c>
    </row>
    <row r="1798" spans="1:13" ht="52.8">
      <c r="A1798" s="21" t="s">
        <v>7932</v>
      </c>
      <c r="B1798" s="21" t="s">
        <v>7933</v>
      </c>
      <c r="C1798" s="21" t="s">
        <v>7934</v>
      </c>
      <c r="D1798" s="21" t="s">
        <v>71</v>
      </c>
      <c r="E1798" s="22" t="s">
        <v>7935</v>
      </c>
      <c r="F1798" s="22" t="s">
        <v>7933</v>
      </c>
      <c r="G1798" s="21" t="s">
        <v>7936</v>
      </c>
      <c r="H1798" s="21" t="s">
        <v>7937</v>
      </c>
      <c r="I1798" s="12" t="s">
        <v>8050</v>
      </c>
      <c r="J1798" s="12" t="s">
        <v>9377</v>
      </c>
      <c r="K1798" s="12"/>
      <c r="L1798" s="12" t="s">
        <v>10846</v>
      </c>
      <c r="M1798" s="12" t="s">
        <v>10847</v>
      </c>
    </row>
    <row r="1799" spans="1:13" ht="52.8">
      <c r="A1799" s="21" t="s">
        <v>7932</v>
      </c>
      <c r="B1799" s="21" t="s">
        <v>7933</v>
      </c>
      <c r="C1799" s="21" t="s">
        <v>7934</v>
      </c>
      <c r="D1799" s="21" t="s">
        <v>71</v>
      </c>
      <c r="E1799" s="22" t="s">
        <v>7935</v>
      </c>
      <c r="F1799" s="22" t="s">
        <v>7933</v>
      </c>
      <c r="G1799" s="21" t="s">
        <v>7936</v>
      </c>
      <c r="H1799" s="21" t="s">
        <v>7937</v>
      </c>
      <c r="I1799" s="12" t="s">
        <v>8051</v>
      </c>
      <c r="J1799" s="12" t="s">
        <v>9378</v>
      </c>
      <c r="K1799" s="12" t="s">
        <v>10848</v>
      </c>
      <c r="L1799" s="12" t="s">
        <v>10849</v>
      </c>
      <c r="M1799" s="12" t="s">
        <v>10848</v>
      </c>
    </row>
    <row r="1800" spans="1:13" ht="52.8">
      <c r="A1800" s="21" t="s">
        <v>7932</v>
      </c>
      <c r="B1800" s="21" t="s">
        <v>7933</v>
      </c>
      <c r="C1800" s="21" t="s">
        <v>7934</v>
      </c>
      <c r="D1800" s="21" t="s">
        <v>71</v>
      </c>
      <c r="E1800" s="22" t="s">
        <v>7935</v>
      </c>
      <c r="F1800" s="22" t="s">
        <v>7933</v>
      </c>
      <c r="G1800" s="21" t="s">
        <v>7936</v>
      </c>
      <c r="H1800" s="21" t="s">
        <v>7937</v>
      </c>
      <c r="I1800" s="12" t="s">
        <v>8052</v>
      </c>
      <c r="J1800" s="12" t="s">
        <v>9379</v>
      </c>
      <c r="K1800" s="12"/>
      <c r="L1800" s="12" t="s">
        <v>10850</v>
      </c>
      <c r="M1800" s="12" t="s">
        <v>10851</v>
      </c>
    </row>
    <row r="1801" spans="1:13" ht="52.8">
      <c r="A1801" s="21" t="s">
        <v>7932</v>
      </c>
      <c r="B1801" s="21" t="s">
        <v>7933</v>
      </c>
      <c r="C1801" s="21" t="s">
        <v>7934</v>
      </c>
      <c r="D1801" s="21" t="s">
        <v>71</v>
      </c>
      <c r="E1801" s="22" t="s">
        <v>7935</v>
      </c>
      <c r="F1801" s="22" t="s">
        <v>7933</v>
      </c>
      <c r="G1801" s="21" t="s">
        <v>7936</v>
      </c>
      <c r="H1801" s="21" t="s">
        <v>7937</v>
      </c>
      <c r="I1801" s="12" t="s">
        <v>8053</v>
      </c>
      <c r="J1801" s="12" t="s">
        <v>9380</v>
      </c>
      <c r="K1801" s="12"/>
      <c r="L1801" s="12" t="s">
        <v>10852</v>
      </c>
      <c r="M1801" s="12" t="s">
        <v>10853</v>
      </c>
    </row>
    <row r="1802" spans="1:13" ht="52.8">
      <c r="A1802" s="21" t="s">
        <v>7932</v>
      </c>
      <c r="B1802" s="21" t="s">
        <v>7933</v>
      </c>
      <c r="C1802" s="21" t="s">
        <v>7934</v>
      </c>
      <c r="D1802" s="21" t="s">
        <v>71</v>
      </c>
      <c r="E1802" s="22" t="s">
        <v>7935</v>
      </c>
      <c r="F1802" s="22" t="s">
        <v>7933</v>
      </c>
      <c r="G1802" s="21" t="s">
        <v>7936</v>
      </c>
      <c r="H1802" s="21" t="s">
        <v>7937</v>
      </c>
      <c r="I1802" s="12" t="s">
        <v>8054</v>
      </c>
      <c r="J1802" s="12" t="s">
        <v>9381</v>
      </c>
      <c r="K1802" s="12" t="s">
        <v>10854</v>
      </c>
      <c r="L1802" s="12" t="s">
        <v>10855</v>
      </c>
      <c r="M1802" s="12" t="s">
        <v>10854</v>
      </c>
    </row>
    <row r="1803" spans="1:13" ht="66">
      <c r="A1803" s="21" t="s">
        <v>7932</v>
      </c>
      <c r="B1803" s="21" t="s">
        <v>7933</v>
      </c>
      <c r="C1803" s="21" t="s">
        <v>7934</v>
      </c>
      <c r="D1803" s="21" t="s">
        <v>71</v>
      </c>
      <c r="E1803" s="22" t="s">
        <v>7935</v>
      </c>
      <c r="F1803" s="22" t="s">
        <v>7933</v>
      </c>
      <c r="G1803" s="21" t="s">
        <v>7936</v>
      </c>
      <c r="H1803" s="21" t="s">
        <v>7937</v>
      </c>
      <c r="I1803" s="12" t="s">
        <v>8055</v>
      </c>
      <c r="J1803" s="12" t="s">
        <v>9382</v>
      </c>
      <c r="K1803" s="12"/>
      <c r="L1803" s="12" t="s">
        <v>10856</v>
      </c>
      <c r="M1803" s="12" t="s">
        <v>10857</v>
      </c>
    </row>
    <row r="1804" spans="1:13" ht="52.8">
      <c r="A1804" s="21" t="s">
        <v>7932</v>
      </c>
      <c r="B1804" s="21" t="s">
        <v>7933</v>
      </c>
      <c r="C1804" s="21" t="s">
        <v>7934</v>
      </c>
      <c r="D1804" s="21" t="s">
        <v>71</v>
      </c>
      <c r="E1804" s="22" t="s">
        <v>7935</v>
      </c>
      <c r="F1804" s="22" t="s">
        <v>7933</v>
      </c>
      <c r="G1804" s="21" t="s">
        <v>7936</v>
      </c>
      <c r="H1804" s="21" t="s">
        <v>7937</v>
      </c>
      <c r="I1804" s="12" t="s">
        <v>8056</v>
      </c>
      <c r="J1804" s="12" t="s">
        <v>9383</v>
      </c>
      <c r="K1804" s="12" t="s">
        <v>10858</v>
      </c>
      <c r="L1804" s="12" t="s">
        <v>10859</v>
      </c>
      <c r="M1804" s="12" t="s">
        <v>10858</v>
      </c>
    </row>
    <row r="1805" spans="1:13" ht="52.8">
      <c r="A1805" s="21" t="s">
        <v>7932</v>
      </c>
      <c r="B1805" s="21" t="s">
        <v>7933</v>
      </c>
      <c r="C1805" s="21" t="s">
        <v>7934</v>
      </c>
      <c r="D1805" s="21" t="s">
        <v>71</v>
      </c>
      <c r="E1805" s="22" t="s">
        <v>7935</v>
      </c>
      <c r="F1805" s="22" t="s">
        <v>7933</v>
      </c>
      <c r="G1805" s="21" t="s">
        <v>7936</v>
      </c>
      <c r="H1805" s="21" t="s">
        <v>7937</v>
      </c>
      <c r="I1805" s="12" t="s">
        <v>8057</v>
      </c>
      <c r="J1805" s="12" t="s">
        <v>9384</v>
      </c>
      <c r="K1805" s="12" t="s">
        <v>10860</v>
      </c>
      <c r="L1805" s="12" t="s">
        <v>10861</v>
      </c>
      <c r="M1805" s="12" t="s">
        <v>10860</v>
      </c>
    </row>
    <row r="1806" spans="1:13" ht="66">
      <c r="A1806" s="21" t="s">
        <v>7932</v>
      </c>
      <c r="B1806" s="21" t="s">
        <v>7933</v>
      </c>
      <c r="C1806" s="21" t="s">
        <v>7934</v>
      </c>
      <c r="D1806" s="21" t="s">
        <v>71</v>
      </c>
      <c r="E1806" s="22" t="s">
        <v>7935</v>
      </c>
      <c r="F1806" s="22" t="s">
        <v>7933</v>
      </c>
      <c r="G1806" s="21" t="s">
        <v>7936</v>
      </c>
      <c r="H1806" s="21" t="s">
        <v>7937</v>
      </c>
      <c r="I1806" s="12" t="s">
        <v>8058</v>
      </c>
      <c r="J1806" s="12" t="s">
        <v>9385</v>
      </c>
      <c r="K1806" s="12"/>
      <c r="L1806" s="12" t="s">
        <v>10862</v>
      </c>
      <c r="M1806" s="12" t="s">
        <v>10863</v>
      </c>
    </row>
    <row r="1807" spans="1:13" ht="52.8">
      <c r="A1807" s="21" t="s">
        <v>7932</v>
      </c>
      <c r="B1807" s="21" t="s">
        <v>7933</v>
      </c>
      <c r="C1807" s="21" t="s">
        <v>7934</v>
      </c>
      <c r="D1807" s="21" t="s">
        <v>71</v>
      </c>
      <c r="E1807" s="22" t="s">
        <v>7935</v>
      </c>
      <c r="F1807" s="22" t="s">
        <v>7933</v>
      </c>
      <c r="G1807" s="21" t="s">
        <v>7936</v>
      </c>
      <c r="H1807" s="21" t="s">
        <v>7937</v>
      </c>
      <c r="I1807" s="12" t="s">
        <v>8059</v>
      </c>
      <c r="J1807" s="12" t="s">
        <v>9386</v>
      </c>
      <c r="K1807" s="12" t="s">
        <v>10864</v>
      </c>
      <c r="L1807" s="12" t="s">
        <v>10865</v>
      </c>
      <c r="M1807" s="12" t="s">
        <v>10866</v>
      </c>
    </row>
    <row r="1808" spans="1:13" ht="52.8">
      <c r="A1808" s="21" t="s">
        <v>7932</v>
      </c>
      <c r="B1808" s="21" t="s">
        <v>7933</v>
      </c>
      <c r="C1808" s="21" t="s">
        <v>7934</v>
      </c>
      <c r="D1808" s="21" t="s">
        <v>71</v>
      </c>
      <c r="E1808" s="22" t="s">
        <v>7935</v>
      </c>
      <c r="F1808" s="22" t="s">
        <v>7933</v>
      </c>
      <c r="G1808" s="21" t="s">
        <v>7936</v>
      </c>
      <c r="H1808" s="21" t="s">
        <v>7937</v>
      </c>
      <c r="I1808" s="12" t="s">
        <v>8060</v>
      </c>
      <c r="J1808" s="12" t="s">
        <v>9387</v>
      </c>
      <c r="K1808" s="12"/>
      <c r="L1808" s="12" t="s">
        <v>10867</v>
      </c>
      <c r="M1808" s="12" t="s">
        <v>10868</v>
      </c>
    </row>
    <row r="1809" spans="1:13" ht="52.8">
      <c r="A1809" s="21" t="s">
        <v>7932</v>
      </c>
      <c r="B1809" s="21" t="s">
        <v>7933</v>
      </c>
      <c r="C1809" s="21" t="s">
        <v>7934</v>
      </c>
      <c r="D1809" s="21" t="s">
        <v>71</v>
      </c>
      <c r="E1809" s="22" t="s">
        <v>7935</v>
      </c>
      <c r="F1809" s="22" t="s">
        <v>7933</v>
      </c>
      <c r="G1809" s="21" t="s">
        <v>7936</v>
      </c>
      <c r="H1809" s="21" t="s">
        <v>7937</v>
      </c>
      <c r="I1809" s="12" t="s">
        <v>8061</v>
      </c>
      <c r="J1809" s="12" t="s">
        <v>9388</v>
      </c>
      <c r="K1809" s="12"/>
      <c r="L1809" s="12" t="s">
        <v>10869</v>
      </c>
      <c r="M1809" s="12" t="s">
        <v>10870</v>
      </c>
    </row>
    <row r="1810" spans="1:13" ht="52.8">
      <c r="A1810" s="21" t="s">
        <v>7932</v>
      </c>
      <c r="B1810" s="21" t="s">
        <v>7933</v>
      </c>
      <c r="C1810" s="21" t="s">
        <v>7934</v>
      </c>
      <c r="D1810" s="21" t="s">
        <v>71</v>
      </c>
      <c r="E1810" s="22" t="s">
        <v>7935</v>
      </c>
      <c r="F1810" s="22" t="s">
        <v>7933</v>
      </c>
      <c r="G1810" s="21" t="s">
        <v>7936</v>
      </c>
      <c r="H1810" s="21" t="s">
        <v>7937</v>
      </c>
      <c r="I1810" s="12" t="s">
        <v>8062</v>
      </c>
      <c r="J1810" s="12" t="s">
        <v>9389</v>
      </c>
      <c r="K1810" s="12"/>
      <c r="L1810" s="12" t="s">
        <v>10871</v>
      </c>
      <c r="M1810" s="12" t="s">
        <v>10872</v>
      </c>
    </row>
    <row r="1811" spans="1:13" ht="52.8">
      <c r="A1811" s="21" t="s">
        <v>7932</v>
      </c>
      <c r="B1811" s="21" t="s">
        <v>7933</v>
      </c>
      <c r="C1811" s="21" t="s">
        <v>7934</v>
      </c>
      <c r="D1811" s="21" t="s">
        <v>71</v>
      </c>
      <c r="E1811" s="22" t="s">
        <v>7935</v>
      </c>
      <c r="F1811" s="22" t="s">
        <v>7933</v>
      </c>
      <c r="G1811" s="21" t="s">
        <v>7936</v>
      </c>
      <c r="H1811" s="21" t="s">
        <v>7937</v>
      </c>
      <c r="I1811" s="12" t="s">
        <v>8063</v>
      </c>
      <c r="J1811" s="12" t="s">
        <v>9390</v>
      </c>
      <c r="K1811" s="12" t="s">
        <v>10873</v>
      </c>
      <c r="L1811" s="12" t="s">
        <v>10874</v>
      </c>
      <c r="M1811" s="12" t="s">
        <v>10873</v>
      </c>
    </row>
    <row r="1812" spans="1:13" ht="52.8">
      <c r="A1812" s="21" t="s">
        <v>7932</v>
      </c>
      <c r="B1812" s="21" t="s">
        <v>7933</v>
      </c>
      <c r="C1812" s="21" t="s">
        <v>7934</v>
      </c>
      <c r="D1812" s="21" t="s">
        <v>71</v>
      </c>
      <c r="E1812" s="22" t="s">
        <v>7935</v>
      </c>
      <c r="F1812" s="22" t="s">
        <v>7933</v>
      </c>
      <c r="G1812" s="21" t="s">
        <v>7936</v>
      </c>
      <c r="H1812" s="21" t="s">
        <v>7937</v>
      </c>
      <c r="I1812" s="12" t="s">
        <v>8064</v>
      </c>
      <c r="J1812" s="12" t="s">
        <v>9391</v>
      </c>
      <c r="K1812" s="12"/>
      <c r="L1812" s="12" t="s">
        <v>10875</v>
      </c>
      <c r="M1812" s="12" t="s">
        <v>10876</v>
      </c>
    </row>
    <row r="1813" spans="1:13" ht="52.8">
      <c r="A1813" s="21" t="s">
        <v>7932</v>
      </c>
      <c r="B1813" s="21" t="s">
        <v>7933</v>
      </c>
      <c r="C1813" s="21" t="s">
        <v>7934</v>
      </c>
      <c r="D1813" s="21" t="s">
        <v>71</v>
      </c>
      <c r="E1813" s="22" t="s">
        <v>7935</v>
      </c>
      <c r="F1813" s="22" t="s">
        <v>7933</v>
      </c>
      <c r="G1813" s="21" t="s">
        <v>7936</v>
      </c>
      <c r="H1813" s="21" t="s">
        <v>7937</v>
      </c>
      <c r="I1813" s="12" t="s">
        <v>8065</v>
      </c>
      <c r="J1813" s="12" t="s">
        <v>9392</v>
      </c>
      <c r="K1813" s="12"/>
      <c r="L1813" s="12" t="s">
        <v>10877</v>
      </c>
      <c r="M1813" s="12" t="s">
        <v>10878</v>
      </c>
    </row>
    <row r="1814" spans="1:13" ht="52.8">
      <c r="A1814" s="21" t="s">
        <v>7932</v>
      </c>
      <c r="B1814" s="21" t="s">
        <v>7933</v>
      </c>
      <c r="C1814" s="21" t="s">
        <v>7934</v>
      </c>
      <c r="D1814" s="21" t="s">
        <v>71</v>
      </c>
      <c r="E1814" s="22" t="s">
        <v>7935</v>
      </c>
      <c r="F1814" s="22" t="s">
        <v>7933</v>
      </c>
      <c r="G1814" s="21" t="s">
        <v>7936</v>
      </c>
      <c r="H1814" s="21" t="s">
        <v>7937</v>
      </c>
      <c r="I1814" s="12" t="s">
        <v>8066</v>
      </c>
      <c r="J1814" s="12" t="s">
        <v>9393</v>
      </c>
      <c r="K1814" s="12"/>
      <c r="L1814" s="12" t="s">
        <v>10879</v>
      </c>
      <c r="M1814" s="12" t="s">
        <v>10880</v>
      </c>
    </row>
    <row r="1815" spans="1:13" ht="52.8">
      <c r="A1815" s="21" t="s">
        <v>7932</v>
      </c>
      <c r="B1815" s="21" t="s">
        <v>7933</v>
      </c>
      <c r="C1815" s="21" t="s">
        <v>7934</v>
      </c>
      <c r="D1815" s="21" t="s">
        <v>71</v>
      </c>
      <c r="E1815" s="22" t="s">
        <v>7935</v>
      </c>
      <c r="F1815" s="22" t="s">
        <v>7933</v>
      </c>
      <c r="G1815" s="21" t="s">
        <v>7936</v>
      </c>
      <c r="H1815" s="21" t="s">
        <v>7937</v>
      </c>
      <c r="I1815" s="12" t="s">
        <v>8067</v>
      </c>
      <c r="J1815" s="12" t="s">
        <v>9394</v>
      </c>
      <c r="K1815" s="12" t="s">
        <v>10881</v>
      </c>
      <c r="L1815" s="12" t="s">
        <v>10882</v>
      </c>
      <c r="M1815" s="12" t="s">
        <v>10883</v>
      </c>
    </row>
    <row r="1816" spans="1:13" ht="52.8">
      <c r="A1816" s="21" t="s">
        <v>7932</v>
      </c>
      <c r="B1816" s="21" t="s">
        <v>7933</v>
      </c>
      <c r="C1816" s="21" t="s">
        <v>7934</v>
      </c>
      <c r="D1816" s="21" t="s">
        <v>71</v>
      </c>
      <c r="E1816" s="22" t="s">
        <v>7935</v>
      </c>
      <c r="F1816" s="22" t="s">
        <v>7933</v>
      </c>
      <c r="G1816" s="21" t="s">
        <v>7936</v>
      </c>
      <c r="H1816" s="21" t="s">
        <v>7937</v>
      </c>
      <c r="I1816" s="12" t="s">
        <v>8068</v>
      </c>
      <c r="J1816" s="12" t="s">
        <v>9395</v>
      </c>
      <c r="K1816" s="12" t="s">
        <v>10884</v>
      </c>
      <c r="L1816" s="12" t="s">
        <v>10885</v>
      </c>
      <c r="M1816" s="12" t="s">
        <v>10886</v>
      </c>
    </row>
    <row r="1817" spans="1:13" ht="52.8">
      <c r="A1817" s="21" t="s">
        <v>7932</v>
      </c>
      <c r="B1817" s="21" t="s">
        <v>7933</v>
      </c>
      <c r="C1817" s="21" t="s">
        <v>7934</v>
      </c>
      <c r="D1817" s="21" t="s">
        <v>71</v>
      </c>
      <c r="E1817" s="22" t="s">
        <v>7935</v>
      </c>
      <c r="F1817" s="22" t="s">
        <v>7933</v>
      </c>
      <c r="G1817" s="21" t="s">
        <v>7936</v>
      </c>
      <c r="H1817" s="21" t="s">
        <v>7937</v>
      </c>
      <c r="I1817" s="12" t="s">
        <v>8069</v>
      </c>
      <c r="J1817" s="12" t="s">
        <v>9396</v>
      </c>
      <c r="K1817" s="12"/>
      <c r="L1817" s="12" t="s">
        <v>10887</v>
      </c>
      <c r="M1817" s="12" t="s">
        <v>10888</v>
      </c>
    </row>
    <row r="1818" spans="1:13" ht="52.8">
      <c r="A1818" s="21" t="s">
        <v>7932</v>
      </c>
      <c r="B1818" s="21" t="s">
        <v>7933</v>
      </c>
      <c r="C1818" s="21" t="s">
        <v>7934</v>
      </c>
      <c r="D1818" s="21" t="s">
        <v>71</v>
      </c>
      <c r="E1818" s="22" t="s">
        <v>7935</v>
      </c>
      <c r="F1818" s="22" t="s">
        <v>7933</v>
      </c>
      <c r="G1818" s="21" t="s">
        <v>7936</v>
      </c>
      <c r="H1818" s="21" t="s">
        <v>7937</v>
      </c>
      <c r="I1818" s="12" t="s">
        <v>8070</v>
      </c>
      <c r="J1818" s="12" t="s">
        <v>9397</v>
      </c>
      <c r="K1818" s="12"/>
      <c r="L1818" s="12" t="s">
        <v>10889</v>
      </c>
      <c r="M1818" s="12" t="s">
        <v>10890</v>
      </c>
    </row>
    <row r="1819" spans="1:13" ht="52.8">
      <c r="A1819" s="21" t="s">
        <v>7932</v>
      </c>
      <c r="B1819" s="21" t="s">
        <v>7933</v>
      </c>
      <c r="C1819" s="21" t="s">
        <v>7934</v>
      </c>
      <c r="D1819" s="21" t="s">
        <v>71</v>
      </c>
      <c r="E1819" s="22" t="s">
        <v>7935</v>
      </c>
      <c r="F1819" s="22" t="s">
        <v>7933</v>
      </c>
      <c r="G1819" s="21" t="s">
        <v>7936</v>
      </c>
      <c r="H1819" s="21" t="s">
        <v>7937</v>
      </c>
      <c r="I1819" s="12" t="s">
        <v>8071</v>
      </c>
      <c r="J1819" s="12" t="s">
        <v>9398</v>
      </c>
      <c r="K1819" s="12" t="s">
        <v>10891</v>
      </c>
      <c r="L1819" s="12" t="s">
        <v>10892</v>
      </c>
      <c r="M1819" s="12" t="s">
        <v>10891</v>
      </c>
    </row>
    <row r="1820" spans="1:13" ht="52.8">
      <c r="A1820" s="21" t="s">
        <v>7932</v>
      </c>
      <c r="B1820" s="21" t="s">
        <v>7933</v>
      </c>
      <c r="C1820" s="21" t="s">
        <v>7934</v>
      </c>
      <c r="D1820" s="21" t="s">
        <v>71</v>
      </c>
      <c r="E1820" s="22" t="s">
        <v>7935</v>
      </c>
      <c r="F1820" s="22" t="s">
        <v>7933</v>
      </c>
      <c r="G1820" s="21" t="s">
        <v>7936</v>
      </c>
      <c r="H1820" s="21" t="s">
        <v>7937</v>
      </c>
      <c r="I1820" s="12" t="s">
        <v>8072</v>
      </c>
      <c r="J1820" s="12" t="s">
        <v>9399</v>
      </c>
      <c r="K1820" s="12" t="s">
        <v>10893</v>
      </c>
      <c r="L1820" s="12" t="s">
        <v>10894</v>
      </c>
      <c r="M1820" s="12" t="s">
        <v>10893</v>
      </c>
    </row>
    <row r="1821" spans="1:13" ht="52.8">
      <c r="A1821" s="21" t="s">
        <v>7932</v>
      </c>
      <c r="B1821" s="21" t="s">
        <v>7933</v>
      </c>
      <c r="C1821" s="21" t="s">
        <v>7934</v>
      </c>
      <c r="D1821" s="21" t="s">
        <v>71</v>
      </c>
      <c r="E1821" s="22" t="s">
        <v>7935</v>
      </c>
      <c r="F1821" s="22" t="s">
        <v>7933</v>
      </c>
      <c r="G1821" s="21" t="s">
        <v>7936</v>
      </c>
      <c r="H1821" s="21" t="s">
        <v>7937</v>
      </c>
      <c r="I1821" s="12" t="s">
        <v>8073</v>
      </c>
      <c r="J1821" s="12" t="s">
        <v>9400</v>
      </c>
      <c r="K1821" s="12" t="s">
        <v>10895</v>
      </c>
      <c r="L1821" s="12" t="s">
        <v>10896</v>
      </c>
      <c r="M1821" s="12" t="s">
        <v>10895</v>
      </c>
    </row>
    <row r="1822" spans="1:13" ht="52.8">
      <c r="A1822" s="21" t="s">
        <v>7932</v>
      </c>
      <c r="B1822" s="21" t="s">
        <v>7933</v>
      </c>
      <c r="C1822" s="21" t="s">
        <v>7934</v>
      </c>
      <c r="D1822" s="21" t="s">
        <v>71</v>
      </c>
      <c r="E1822" s="22" t="s">
        <v>7935</v>
      </c>
      <c r="F1822" s="22" t="s">
        <v>7933</v>
      </c>
      <c r="G1822" s="21" t="s">
        <v>7936</v>
      </c>
      <c r="H1822" s="21" t="s">
        <v>7937</v>
      </c>
      <c r="I1822" s="12" t="s">
        <v>8074</v>
      </c>
      <c r="J1822" s="12" t="s">
        <v>9401</v>
      </c>
      <c r="K1822" s="12" t="s">
        <v>10897</v>
      </c>
      <c r="L1822" s="12" t="s">
        <v>10898</v>
      </c>
      <c r="M1822" s="12" t="s">
        <v>10897</v>
      </c>
    </row>
    <row r="1823" spans="1:13" ht="52.8">
      <c r="A1823" s="21" t="s">
        <v>7932</v>
      </c>
      <c r="B1823" s="21" t="s">
        <v>7933</v>
      </c>
      <c r="C1823" s="21" t="s">
        <v>7934</v>
      </c>
      <c r="D1823" s="21" t="s">
        <v>71</v>
      </c>
      <c r="E1823" s="22" t="s">
        <v>7935</v>
      </c>
      <c r="F1823" s="22" t="s">
        <v>7933</v>
      </c>
      <c r="G1823" s="21" t="s">
        <v>7936</v>
      </c>
      <c r="H1823" s="21" t="s">
        <v>7937</v>
      </c>
      <c r="I1823" s="12" t="s">
        <v>8075</v>
      </c>
      <c r="J1823" s="12" t="s">
        <v>9402</v>
      </c>
      <c r="K1823" s="12" t="s">
        <v>10899</v>
      </c>
      <c r="L1823" s="12" t="s">
        <v>10900</v>
      </c>
      <c r="M1823" s="12" t="s">
        <v>10899</v>
      </c>
    </row>
    <row r="1824" spans="1:13" ht="52.8">
      <c r="A1824" s="21" t="s">
        <v>7932</v>
      </c>
      <c r="B1824" s="21" t="s">
        <v>7933</v>
      </c>
      <c r="C1824" s="21" t="s">
        <v>7934</v>
      </c>
      <c r="D1824" s="21" t="s">
        <v>71</v>
      </c>
      <c r="E1824" s="22" t="s">
        <v>7935</v>
      </c>
      <c r="F1824" s="22" t="s">
        <v>7933</v>
      </c>
      <c r="G1824" s="21" t="s">
        <v>7936</v>
      </c>
      <c r="H1824" s="21" t="s">
        <v>7937</v>
      </c>
      <c r="I1824" s="12" t="s">
        <v>8076</v>
      </c>
      <c r="J1824" s="12" t="s">
        <v>9403</v>
      </c>
      <c r="K1824" s="12" t="s">
        <v>10901</v>
      </c>
      <c r="L1824" s="12" t="s">
        <v>10902</v>
      </c>
      <c r="M1824" s="12" t="s">
        <v>10901</v>
      </c>
    </row>
    <row r="1825" spans="1:13" ht="52.8">
      <c r="A1825" s="21" t="s">
        <v>7932</v>
      </c>
      <c r="B1825" s="21" t="s">
        <v>7933</v>
      </c>
      <c r="C1825" s="21" t="s">
        <v>7934</v>
      </c>
      <c r="D1825" s="21" t="s">
        <v>71</v>
      </c>
      <c r="E1825" s="22" t="s">
        <v>7935</v>
      </c>
      <c r="F1825" s="22" t="s">
        <v>7933</v>
      </c>
      <c r="G1825" s="21" t="s">
        <v>7936</v>
      </c>
      <c r="H1825" s="21" t="s">
        <v>7937</v>
      </c>
      <c r="I1825" s="12" t="s">
        <v>8077</v>
      </c>
      <c r="J1825" s="12" t="s">
        <v>9404</v>
      </c>
      <c r="K1825" s="12" t="s">
        <v>10903</v>
      </c>
      <c r="L1825" s="12" t="s">
        <v>10904</v>
      </c>
      <c r="M1825" s="12" t="s">
        <v>10903</v>
      </c>
    </row>
    <row r="1826" spans="1:13" ht="52.8">
      <c r="A1826" s="21" t="s">
        <v>7932</v>
      </c>
      <c r="B1826" s="21" t="s">
        <v>7933</v>
      </c>
      <c r="C1826" s="21" t="s">
        <v>7934</v>
      </c>
      <c r="D1826" s="21" t="s">
        <v>71</v>
      </c>
      <c r="E1826" s="22" t="s">
        <v>7935</v>
      </c>
      <c r="F1826" s="22" t="s">
        <v>7933</v>
      </c>
      <c r="G1826" s="21" t="s">
        <v>7936</v>
      </c>
      <c r="H1826" s="21" t="s">
        <v>7937</v>
      </c>
      <c r="I1826" s="12" t="s">
        <v>8078</v>
      </c>
      <c r="J1826" s="12" t="s">
        <v>9405</v>
      </c>
      <c r="K1826" s="12" t="s">
        <v>10905</v>
      </c>
      <c r="L1826" s="12" t="s">
        <v>10906</v>
      </c>
      <c r="M1826" s="12" t="s">
        <v>10905</v>
      </c>
    </row>
    <row r="1827" spans="1:13" ht="52.8">
      <c r="A1827" s="21" t="s">
        <v>7932</v>
      </c>
      <c r="B1827" s="21" t="s">
        <v>7933</v>
      </c>
      <c r="C1827" s="21" t="s">
        <v>7934</v>
      </c>
      <c r="D1827" s="21" t="s">
        <v>71</v>
      </c>
      <c r="E1827" s="22" t="s">
        <v>7935</v>
      </c>
      <c r="F1827" s="22" t="s">
        <v>7933</v>
      </c>
      <c r="G1827" s="21" t="s">
        <v>7936</v>
      </c>
      <c r="H1827" s="21" t="s">
        <v>7937</v>
      </c>
      <c r="I1827" s="12" t="s">
        <v>8079</v>
      </c>
      <c r="J1827" s="12" t="s">
        <v>9406</v>
      </c>
      <c r="K1827" s="12"/>
      <c r="L1827" s="12" t="s">
        <v>10907</v>
      </c>
      <c r="M1827" s="12" t="s">
        <v>10908</v>
      </c>
    </row>
    <row r="1828" spans="1:13" ht="52.8">
      <c r="A1828" s="21" t="s">
        <v>7932</v>
      </c>
      <c r="B1828" s="21" t="s">
        <v>7933</v>
      </c>
      <c r="C1828" s="21" t="s">
        <v>7934</v>
      </c>
      <c r="D1828" s="21" t="s">
        <v>71</v>
      </c>
      <c r="E1828" s="22" t="s">
        <v>7935</v>
      </c>
      <c r="F1828" s="22" t="s">
        <v>7933</v>
      </c>
      <c r="G1828" s="21" t="s">
        <v>7936</v>
      </c>
      <c r="H1828" s="21" t="s">
        <v>7937</v>
      </c>
      <c r="I1828" s="12" t="s">
        <v>8080</v>
      </c>
      <c r="J1828" s="12" t="s">
        <v>9407</v>
      </c>
      <c r="K1828" s="12" t="s">
        <v>10909</v>
      </c>
      <c r="L1828" s="12" t="s">
        <v>10910</v>
      </c>
      <c r="M1828" s="12" t="s">
        <v>10911</v>
      </c>
    </row>
    <row r="1829" spans="1:13" ht="52.8">
      <c r="A1829" s="21" t="s">
        <v>7932</v>
      </c>
      <c r="B1829" s="21" t="s">
        <v>7933</v>
      </c>
      <c r="C1829" s="21" t="s">
        <v>7934</v>
      </c>
      <c r="D1829" s="21" t="s">
        <v>71</v>
      </c>
      <c r="E1829" s="22" t="s">
        <v>7935</v>
      </c>
      <c r="F1829" s="22" t="s">
        <v>7933</v>
      </c>
      <c r="G1829" s="21" t="s">
        <v>7936</v>
      </c>
      <c r="H1829" s="21" t="s">
        <v>7937</v>
      </c>
      <c r="I1829" s="12" t="s">
        <v>8081</v>
      </c>
      <c r="J1829" s="12" t="s">
        <v>9408</v>
      </c>
      <c r="K1829" s="12"/>
      <c r="L1829" s="12" t="s">
        <v>10912</v>
      </c>
      <c r="M1829" s="12" t="s">
        <v>10913</v>
      </c>
    </row>
    <row r="1830" spans="1:13" ht="52.8">
      <c r="A1830" s="21" t="s">
        <v>7932</v>
      </c>
      <c r="B1830" s="21" t="s">
        <v>7933</v>
      </c>
      <c r="C1830" s="21" t="s">
        <v>7934</v>
      </c>
      <c r="D1830" s="21" t="s">
        <v>71</v>
      </c>
      <c r="E1830" s="22" t="s">
        <v>7935</v>
      </c>
      <c r="F1830" s="22" t="s">
        <v>7933</v>
      </c>
      <c r="G1830" s="21" t="s">
        <v>7936</v>
      </c>
      <c r="H1830" s="21" t="s">
        <v>7937</v>
      </c>
      <c r="I1830" s="12" t="s">
        <v>8082</v>
      </c>
      <c r="J1830" s="12" t="s">
        <v>9409</v>
      </c>
      <c r="K1830" s="12"/>
      <c r="L1830" s="12" t="s">
        <v>10914</v>
      </c>
      <c r="M1830" s="12" t="s">
        <v>10915</v>
      </c>
    </row>
    <row r="1831" spans="1:13" ht="52.8">
      <c r="A1831" s="21" t="s">
        <v>7932</v>
      </c>
      <c r="B1831" s="21" t="s">
        <v>7933</v>
      </c>
      <c r="C1831" s="21" t="s">
        <v>7934</v>
      </c>
      <c r="D1831" s="21" t="s">
        <v>71</v>
      </c>
      <c r="E1831" s="22" t="s">
        <v>7935</v>
      </c>
      <c r="F1831" s="22" t="s">
        <v>7933</v>
      </c>
      <c r="G1831" s="21" t="s">
        <v>7936</v>
      </c>
      <c r="H1831" s="21" t="s">
        <v>7937</v>
      </c>
      <c r="I1831" s="12" t="s">
        <v>8083</v>
      </c>
      <c r="J1831" s="12" t="s">
        <v>9410</v>
      </c>
      <c r="K1831" s="12"/>
      <c r="L1831" s="12" t="s">
        <v>10916</v>
      </c>
      <c r="M1831" s="12" t="s">
        <v>10917</v>
      </c>
    </row>
    <row r="1832" spans="1:13" ht="52.8">
      <c r="A1832" s="21" t="s">
        <v>7932</v>
      </c>
      <c r="B1832" s="21" t="s">
        <v>7933</v>
      </c>
      <c r="C1832" s="21" t="s">
        <v>7934</v>
      </c>
      <c r="D1832" s="21" t="s">
        <v>71</v>
      </c>
      <c r="E1832" s="22" t="s">
        <v>7935</v>
      </c>
      <c r="F1832" s="22" t="s">
        <v>7933</v>
      </c>
      <c r="G1832" s="21" t="s">
        <v>7936</v>
      </c>
      <c r="H1832" s="21" t="s">
        <v>7937</v>
      </c>
      <c r="I1832" s="12" t="s">
        <v>8084</v>
      </c>
      <c r="J1832" s="12" t="s">
        <v>9411</v>
      </c>
      <c r="K1832" s="12" t="s">
        <v>10918</v>
      </c>
      <c r="L1832" s="12" t="s">
        <v>10919</v>
      </c>
      <c r="M1832" s="12" t="s">
        <v>10918</v>
      </c>
    </row>
    <row r="1833" spans="1:13" ht="52.8">
      <c r="A1833" s="21" t="s">
        <v>7932</v>
      </c>
      <c r="B1833" s="21" t="s">
        <v>7933</v>
      </c>
      <c r="C1833" s="21" t="s">
        <v>7934</v>
      </c>
      <c r="D1833" s="21" t="s">
        <v>71</v>
      </c>
      <c r="E1833" s="22" t="s">
        <v>7935</v>
      </c>
      <c r="F1833" s="22" t="s">
        <v>7933</v>
      </c>
      <c r="G1833" s="21" t="s">
        <v>7936</v>
      </c>
      <c r="H1833" s="21" t="s">
        <v>7937</v>
      </c>
      <c r="I1833" s="12" t="s">
        <v>8085</v>
      </c>
      <c r="J1833" s="12" t="s">
        <v>9412</v>
      </c>
      <c r="K1833" s="12" t="s">
        <v>10920</v>
      </c>
      <c r="L1833" s="12" t="s">
        <v>10921</v>
      </c>
      <c r="M1833" s="12" t="s">
        <v>10920</v>
      </c>
    </row>
    <row r="1834" spans="1:13" ht="52.8">
      <c r="A1834" s="21" t="s">
        <v>7932</v>
      </c>
      <c r="B1834" s="21" t="s">
        <v>7933</v>
      </c>
      <c r="C1834" s="21" t="s">
        <v>7934</v>
      </c>
      <c r="D1834" s="21" t="s">
        <v>71</v>
      </c>
      <c r="E1834" s="22" t="s">
        <v>7935</v>
      </c>
      <c r="F1834" s="22" t="s">
        <v>7933</v>
      </c>
      <c r="G1834" s="21" t="s">
        <v>7936</v>
      </c>
      <c r="H1834" s="21" t="s">
        <v>7937</v>
      </c>
      <c r="I1834" s="12" t="s">
        <v>8086</v>
      </c>
      <c r="J1834" s="12" t="s">
        <v>9413</v>
      </c>
      <c r="K1834" s="12"/>
      <c r="L1834" s="12" t="s">
        <v>10922</v>
      </c>
      <c r="M1834" s="12" t="s">
        <v>10923</v>
      </c>
    </row>
    <row r="1835" spans="1:13" ht="52.8">
      <c r="A1835" s="21" t="s">
        <v>7932</v>
      </c>
      <c r="B1835" s="21" t="s">
        <v>7933</v>
      </c>
      <c r="C1835" s="21" t="s">
        <v>7934</v>
      </c>
      <c r="D1835" s="21" t="s">
        <v>71</v>
      </c>
      <c r="E1835" s="22" t="s">
        <v>7935</v>
      </c>
      <c r="F1835" s="22" t="s">
        <v>7933</v>
      </c>
      <c r="G1835" s="21" t="s">
        <v>7936</v>
      </c>
      <c r="H1835" s="21" t="s">
        <v>7937</v>
      </c>
      <c r="I1835" s="12" t="s">
        <v>8087</v>
      </c>
      <c r="J1835" s="12" t="s">
        <v>9414</v>
      </c>
      <c r="K1835" s="12"/>
      <c r="L1835" s="12" t="s">
        <v>10924</v>
      </c>
      <c r="M1835" s="12" t="s">
        <v>10925</v>
      </c>
    </row>
    <row r="1836" spans="1:13" ht="52.8">
      <c r="A1836" s="21" t="s">
        <v>7932</v>
      </c>
      <c r="B1836" s="21" t="s">
        <v>7933</v>
      </c>
      <c r="C1836" s="21" t="s">
        <v>7934</v>
      </c>
      <c r="D1836" s="21" t="s">
        <v>71</v>
      </c>
      <c r="E1836" s="22" t="s">
        <v>7935</v>
      </c>
      <c r="F1836" s="22" t="s">
        <v>7933</v>
      </c>
      <c r="G1836" s="21" t="s">
        <v>7936</v>
      </c>
      <c r="H1836" s="21" t="s">
        <v>7937</v>
      </c>
      <c r="I1836" s="12" t="s">
        <v>8088</v>
      </c>
      <c r="J1836" s="12" t="s">
        <v>9415</v>
      </c>
      <c r="K1836" s="12"/>
      <c r="L1836" s="12" t="s">
        <v>10926</v>
      </c>
      <c r="M1836" s="12" t="s">
        <v>10927</v>
      </c>
    </row>
    <row r="1837" spans="1:13" ht="52.8">
      <c r="A1837" s="21" t="s">
        <v>7932</v>
      </c>
      <c r="B1837" s="21" t="s">
        <v>7933</v>
      </c>
      <c r="C1837" s="21" t="s">
        <v>7934</v>
      </c>
      <c r="D1837" s="21" t="s">
        <v>71</v>
      </c>
      <c r="E1837" s="22" t="s">
        <v>7935</v>
      </c>
      <c r="F1837" s="22" t="s">
        <v>7933</v>
      </c>
      <c r="G1837" s="21" t="s">
        <v>7936</v>
      </c>
      <c r="H1837" s="21" t="s">
        <v>7937</v>
      </c>
      <c r="I1837" s="12" t="s">
        <v>8089</v>
      </c>
      <c r="J1837" s="12" t="s">
        <v>9416</v>
      </c>
      <c r="K1837" s="12"/>
      <c r="L1837" s="12" t="s">
        <v>10928</v>
      </c>
      <c r="M1837" s="12" t="s">
        <v>10929</v>
      </c>
    </row>
    <row r="1838" spans="1:13" ht="52.8">
      <c r="A1838" s="21" t="s">
        <v>7932</v>
      </c>
      <c r="B1838" s="21" t="s">
        <v>7933</v>
      </c>
      <c r="C1838" s="21" t="s">
        <v>7934</v>
      </c>
      <c r="D1838" s="21" t="s">
        <v>71</v>
      </c>
      <c r="E1838" s="22" t="s">
        <v>7935</v>
      </c>
      <c r="F1838" s="22" t="s">
        <v>7933</v>
      </c>
      <c r="G1838" s="21" t="s">
        <v>7936</v>
      </c>
      <c r="H1838" s="21" t="s">
        <v>7937</v>
      </c>
      <c r="I1838" s="12" t="s">
        <v>8090</v>
      </c>
      <c r="J1838" s="12" t="s">
        <v>9417</v>
      </c>
      <c r="K1838" s="12" t="s">
        <v>10930</v>
      </c>
      <c r="L1838" s="12" t="s">
        <v>10931</v>
      </c>
      <c r="M1838" s="12" t="s">
        <v>10932</v>
      </c>
    </row>
    <row r="1839" spans="1:13" ht="52.8">
      <c r="A1839" s="21" t="s">
        <v>7932</v>
      </c>
      <c r="B1839" s="21" t="s">
        <v>7933</v>
      </c>
      <c r="C1839" s="21" t="s">
        <v>7934</v>
      </c>
      <c r="D1839" s="21" t="s">
        <v>71</v>
      </c>
      <c r="E1839" s="22" t="s">
        <v>7935</v>
      </c>
      <c r="F1839" s="22" t="s">
        <v>7933</v>
      </c>
      <c r="G1839" s="21" t="s">
        <v>7936</v>
      </c>
      <c r="H1839" s="21" t="s">
        <v>7937</v>
      </c>
      <c r="I1839" s="12" t="s">
        <v>8091</v>
      </c>
      <c r="J1839" s="12" t="s">
        <v>9418</v>
      </c>
      <c r="K1839" s="12" t="s">
        <v>10933</v>
      </c>
      <c r="L1839" s="12" t="s">
        <v>10934</v>
      </c>
      <c r="M1839" s="12" t="s">
        <v>10935</v>
      </c>
    </row>
    <row r="1840" spans="1:13" ht="52.8">
      <c r="A1840" s="21" t="s">
        <v>7932</v>
      </c>
      <c r="B1840" s="21" t="s">
        <v>7933</v>
      </c>
      <c r="C1840" s="21" t="s">
        <v>7934</v>
      </c>
      <c r="D1840" s="21" t="s">
        <v>71</v>
      </c>
      <c r="E1840" s="22" t="s">
        <v>7935</v>
      </c>
      <c r="F1840" s="22" t="s">
        <v>7933</v>
      </c>
      <c r="G1840" s="21" t="s">
        <v>7936</v>
      </c>
      <c r="H1840" s="21" t="s">
        <v>7937</v>
      </c>
      <c r="I1840" s="12" t="s">
        <v>8092</v>
      </c>
      <c r="J1840" s="12" t="s">
        <v>9419</v>
      </c>
      <c r="K1840" s="12" t="s">
        <v>10936</v>
      </c>
      <c r="L1840" s="12" t="s">
        <v>10937</v>
      </c>
      <c r="M1840" s="12" t="s">
        <v>10938</v>
      </c>
    </row>
    <row r="1841" spans="1:13" ht="52.8">
      <c r="A1841" s="21" t="s">
        <v>7932</v>
      </c>
      <c r="B1841" s="21" t="s">
        <v>7933</v>
      </c>
      <c r="C1841" s="21" t="s">
        <v>7934</v>
      </c>
      <c r="D1841" s="21" t="s">
        <v>71</v>
      </c>
      <c r="E1841" s="22" t="s">
        <v>7935</v>
      </c>
      <c r="F1841" s="22" t="s">
        <v>7933</v>
      </c>
      <c r="G1841" s="21" t="s">
        <v>7936</v>
      </c>
      <c r="H1841" s="21" t="s">
        <v>7937</v>
      </c>
      <c r="I1841" s="12" t="s">
        <v>8093</v>
      </c>
      <c r="J1841" s="12" t="s">
        <v>9420</v>
      </c>
      <c r="K1841" s="12" t="s">
        <v>10939</v>
      </c>
      <c r="L1841" s="12" t="s">
        <v>10940</v>
      </c>
      <c r="M1841" s="12" t="s">
        <v>10939</v>
      </c>
    </row>
    <row r="1842" spans="1:13" ht="52.8">
      <c r="A1842" s="21" t="s">
        <v>7932</v>
      </c>
      <c r="B1842" s="21" t="s">
        <v>7933</v>
      </c>
      <c r="C1842" s="21" t="s">
        <v>7934</v>
      </c>
      <c r="D1842" s="21" t="s">
        <v>71</v>
      </c>
      <c r="E1842" s="22" t="s">
        <v>7935</v>
      </c>
      <c r="F1842" s="22" t="s">
        <v>7933</v>
      </c>
      <c r="G1842" s="21" t="s">
        <v>7936</v>
      </c>
      <c r="H1842" s="21" t="s">
        <v>7937</v>
      </c>
      <c r="I1842" s="12" t="s">
        <v>8094</v>
      </c>
      <c r="J1842" s="12" t="s">
        <v>9421</v>
      </c>
      <c r="K1842" s="12"/>
      <c r="L1842" s="12" t="s">
        <v>10941</v>
      </c>
      <c r="M1842" s="12" t="s">
        <v>10942</v>
      </c>
    </row>
    <row r="1843" spans="1:13" ht="52.8">
      <c r="A1843" s="21" t="s">
        <v>7932</v>
      </c>
      <c r="B1843" s="21" t="s">
        <v>7933</v>
      </c>
      <c r="C1843" s="21" t="s">
        <v>7934</v>
      </c>
      <c r="D1843" s="21" t="s">
        <v>71</v>
      </c>
      <c r="E1843" s="22" t="s">
        <v>7935</v>
      </c>
      <c r="F1843" s="22" t="s">
        <v>7933</v>
      </c>
      <c r="G1843" s="21" t="s">
        <v>7936</v>
      </c>
      <c r="H1843" s="21" t="s">
        <v>7937</v>
      </c>
      <c r="I1843" s="12" t="s">
        <v>8095</v>
      </c>
      <c r="J1843" s="12" t="s">
        <v>9422</v>
      </c>
      <c r="K1843" s="12"/>
      <c r="L1843" s="12" t="s">
        <v>10943</v>
      </c>
      <c r="M1843" s="12" t="s">
        <v>10944</v>
      </c>
    </row>
    <row r="1844" spans="1:13" ht="52.8">
      <c r="A1844" s="21" t="s">
        <v>7932</v>
      </c>
      <c r="B1844" s="21" t="s">
        <v>7933</v>
      </c>
      <c r="C1844" s="21" t="s">
        <v>7934</v>
      </c>
      <c r="D1844" s="21" t="s">
        <v>71</v>
      </c>
      <c r="E1844" s="22" t="s">
        <v>7935</v>
      </c>
      <c r="F1844" s="22" t="s">
        <v>7933</v>
      </c>
      <c r="G1844" s="21" t="s">
        <v>7936</v>
      </c>
      <c r="H1844" s="21" t="s">
        <v>7937</v>
      </c>
      <c r="I1844" s="12" t="s">
        <v>8096</v>
      </c>
      <c r="J1844" s="12" t="s">
        <v>9423</v>
      </c>
      <c r="K1844" s="12" t="s">
        <v>10945</v>
      </c>
      <c r="L1844" s="12" t="s">
        <v>10946</v>
      </c>
      <c r="M1844" s="12" t="s">
        <v>10947</v>
      </c>
    </row>
    <row r="1845" spans="1:13" ht="52.8">
      <c r="A1845" s="21" t="s">
        <v>7932</v>
      </c>
      <c r="B1845" s="21" t="s">
        <v>7933</v>
      </c>
      <c r="C1845" s="21" t="s">
        <v>7934</v>
      </c>
      <c r="D1845" s="21" t="s">
        <v>71</v>
      </c>
      <c r="E1845" s="22" t="s">
        <v>7935</v>
      </c>
      <c r="F1845" s="22" t="s">
        <v>7933</v>
      </c>
      <c r="G1845" s="21" t="s">
        <v>7936</v>
      </c>
      <c r="H1845" s="21" t="s">
        <v>7937</v>
      </c>
      <c r="I1845" s="12" t="s">
        <v>8097</v>
      </c>
      <c r="J1845" s="12" t="s">
        <v>9424</v>
      </c>
      <c r="K1845" s="12" t="s">
        <v>10948</v>
      </c>
      <c r="L1845" s="12" t="s">
        <v>10949</v>
      </c>
      <c r="M1845" s="12" t="s">
        <v>10950</v>
      </c>
    </row>
    <row r="1846" spans="1:13" ht="52.8">
      <c r="A1846" s="21" t="s">
        <v>7932</v>
      </c>
      <c r="B1846" s="21" t="s">
        <v>7933</v>
      </c>
      <c r="C1846" s="21" t="s">
        <v>7934</v>
      </c>
      <c r="D1846" s="21" t="s">
        <v>71</v>
      </c>
      <c r="E1846" s="22" t="s">
        <v>7935</v>
      </c>
      <c r="F1846" s="22" t="s">
        <v>7933</v>
      </c>
      <c r="G1846" s="21" t="s">
        <v>7936</v>
      </c>
      <c r="H1846" s="21" t="s">
        <v>7937</v>
      </c>
      <c r="I1846" s="12" t="s">
        <v>8098</v>
      </c>
      <c r="J1846" s="12" t="s">
        <v>9425</v>
      </c>
      <c r="K1846" s="12" t="s">
        <v>10951</v>
      </c>
      <c r="L1846" s="12" t="s">
        <v>10952</v>
      </c>
      <c r="M1846" s="12" t="s">
        <v>10953</v>
      </c>
    </row>
    <row r="1847" spans="1:13" ht="52.8">
      <c r="A1847" s="21" t="s">
        <v>7932</v>
      </c>
      <c r="B1847" s="21" t="s">
        <v>7933</v>
      </c>
      <c r="C1847" s="21" t="s">
        <v>7934</v>
      </c>
      <c r="D1847" s="21" t="s">
        <v>71</v>
      </c>
      <c r="E1847" s="22" t="s">
        <v>7935</v>
      </c>
      <c r="F1847" s="22" t="s">
        <v>7933</v>
      </c>
      <c r="G1847" s="21" t="s">
        <v>7936</v>
      </c>
      <c r="H1847" s="21" t="s">
        <v>7937</v>
      </c>
      <c r="I1847" s="12" t="s">
        <v>8099</v>
      </c>
      <c r="J1847" s="12" t="s">
        <v>9426</v>
      </c>
      <c r="K1847" s="12" t="s">
        <v>10954</v>
      </c>
      <c r="L1847" s="12" t="s">
        <v>10955</v>
      </c>
      <c r="M1847" s="12" t="s">
        <v>10956</v>
      </c>
    </row>
    <row r="1848" spans="1:13" ht="52.8">
      <c r="A1848" s="21" t="s">
        <v>7932</v>
      </c>
      <c r="B1848" s="21" t="s">
        <v>7933</v>
      </c>
      <c r="C1848" s="21" t="s">
        <v>7934</v>
      </c>
      <c r="D1848" s="21" t="s">
        <v>71</v>
      </c>
      <c r="E1848" s="22" t="s">
        <v>7935</v>
      </c>
      <c r="F1848" s="22" t="s">
        <v>7933</v>
      </c>
      <c r="G1848" s="21" t="s">
        <v>7936</v>
      </c>
      <c r="H1848" s="21" t="s">
        <v>7937</v>
      </c>
      <c r="I1848" s="12" t="s">
        <v>8100</v>
      </c>
      <c r="J1848" s="12" t="s">
        <v>9427</v>
      </c>
      <c r="K1848" s="12" t="s">
        <v>10957</v>
      </c>
      <c r="L1848" s="12" t="s">
        <v>10958</v>
      </c>
      <c r="M1848" s="12" t="s">
        <v>10959</v>
      </c>
    </row>
    <row r="1849" spans="1:13" ht="52.8">
      <c r="A1849" s="21" t="s">
        <v>7932</v>
      </c>
      <c r="B1849" s="21" t="s">
        <v>7933</v>
      </c>
      <c r="C1849" s="21" t="s">
        <v>7934</v>
      </c>
      <c r="D1849" s="21" t="s">
        <v>71</v>
      </c>
      <c r="E1849" s="22" t="s">
        <v>7935</v>
      </c>
      <c r="F1849" s="22" t="s">
        <v>7933</v>
      </c>
      <c r="G1849" s="21" t="s">
        <v>7936</v>
      </c>
      <c r="H1849" s="21" t="s">
        <v>7937</v>
      </c>
      <c r="I1849" s="12" t="s">
        <v>8101</v>
      </c>
      <c r="J1849" s="12" t="s">
        <v>9428</v>
      </c>
      <c r="K1849" s="12"/>
      <c r="L1849" s="12" t="s">
        <v>10960</v>
      </c>
      <c r="M1849" s="12" t="s">
        <v>10961</v>
      </c>
    </row>
    <row r="1850" spans="1:13" ht="52.8">
      <c r="A1850" s="21" t="s">
        <v>7932</v>
      </c>
      <c r="B1850" s="21" t="s">
        <v>7933</v>
      </c>
      <c r="C1850" s="21" t="s">
        <v>7934</v>
      </c>
      <c r="D1850" s="21" t="s">
        <v>71</v>
      </c>
      <c r="E1850" s="22" t="s">
        <v>7935</v>
      </c>
      <c r="F1850" s="22" t="s">
        <v>7933</v>
      </c>
      <c r="G1850" s="21" t="s">
        <v>7936</v>
      </c>
      <c r="H1850" s="21" t="s">
        <v>7937</v>
      </c>
      <c r="I1850" s="12" t="s">
        <v>8102</v>
      </c>
      <c r="J1850" s="12" t="s">
        <v>9429</v>
      </c>
      <c r="K1850" s="12"/>
      <c r="L1850" s="12" t="s">
        <v>10962</v>
      </c>
      <c r="M1850" s="12" t="s">
        <v>10963</v>
      </c>
    </row>
    <row r="1851" spans="1:13" ht="52.8">
      <c r="A1851" s="21" t="s">
        <v>7932</v>
      </c>
      <c r="B1851" s="21" t="s">
        <v>7933</v>
      </c>
      <c r="C1851" s="21" t="s">
        <v>7934</v>
      </c>
      <c r="D1851" s="21" t="s">
        <v>71</v>
      </c>
      <c r="E1851" s="22" t="s">
        <v>7935</v>
      </c>
      <c r="F1851" s="22" t="s">
        <v>7933</v>
      </c>
      <c r="G1851" s="21" t="s">
        <v>7936</v>
      </c>
      <c r="H1851" s="21" t="s">
        <v>7937</v>
      </c>
      <c r="I1851" s="12" t="s">
        <v>8103</v>
      </c>
      <c r="J1851" s="12" t="s">
        <v>9430</v>
      </c>
      <c r="K1851" s="12"/>
      <c r="L1851" s="12" t="s">
        <v>10964</v>
      </c>
      <c r="M1851" s="12" t="s">
        <v>10965</v>
      </c>
    </row>
    <row r="1852" spans="1:13" ht="52.8">
      <c r="A1852" s="21" t="s">
        <v>7932</v>
      </c>
      <c r="B1852" s="21" t="s">
        <v>7933</v>
      </c>
      <c r="C1852" s="21" t="s">
        <v>7934</v>
      </c>
      <c r="D1852" s="21" t="s">
        <v>71</v>
      </c>
      <c r="E1852" s="22" t="s">
        <v>7935</v>
      </c>
      <c r="F1852" s="22" t="s">
        <v>7933</v>
      </c>
      <c r="G1852" s="21" t="s">
        <v>7936</v>
      </c>
      <c r="H1852" s="21" t="s">
        <v>7937</v>
      </c>
      <c r="I1852" s="12" t="s">
        <v>8104</v>
      </c>
      <c r="J1852" s="12" t="s">
        <v>9431</v>
      </c>
      <c r="K1852" s="12"/>
      <c r="L1852" s="12" t="s">
        <v>10966</v>
      </c>
      <c r="M1852" s="12" t="s">
        <v>10967</v>
      </c>
    </row>
    <row r="1853" spans="1:13" ht="52.8">
      <c r="A1853" s="21" t="s">
        <v>7932</v>
      </c>
      <c r="B1853" s="21" t="s">
        <v>7933</v>
      </c>
      <c r="C1853" s="21" t="s">
        <v>7934</v>
      </c>
      <c r="D1853" s="21" t="s">
        <v>71</v>
      </c>
      <c r="E1853" s="22" t="s">
        <v>7935</v>
      </c>
      <c r="F1853" s="22" t="s">
        <v>7933</v>
      </c>
      <c r="G1853" s="21" t="s">
        <v>7936</v>
      </c>
      <c r="H1853" s="21" t="s">
        <v>7937</v>
      </c>
      <c r="I1853" s="12" t="s">
        <v>8105</v>
      </c>
      <c r="J1853" s="12" t="s">
        <v>9432</v>
      </c>
      <c r="K1853" s="12"/>
      <c r="L1853" s="12" t="s">
        <v>10968</v>
      </c>
      <c r="M1853" s="12" t="s">
        <v>10969</v>
      </c>
    </row>
    <row r="1854" spans="1:13" ht="52.8">
      <c r="A1854" s="21" t="s">
        <v>7932</v>
      </c>
      <c r="B1854" s="21" t="s">
        <v>7933</v>
      </c>
      <c r="C1854" s="21" t="s">
        <v>7934</v>
      </c>
      <c r="D1854" s="21" t="s">
        <v>71</v>
      </c>
      <c r="E1854" s="22" t="s">
        <v>7935</v>
      </c>
      <c r="F1854" s="22" t="s">
        <v>7933</v>
      </c>
      <c r="G1854" s="21" t="s">
        <v>7936</v>
      </c>
      <c r="H1854" s="21" t="s">
        <v>7937</v>
      </c>
      <c r="I1854" s="12" t="s">
        <v>8106</v>
      </c>
      <c r="J1854" s="12" t="s">
        <v>9433</v>
      </c>
      <c r="K1854" s="12" t="s">
        <v>10970</v>
      </c>
      <c r="L1854" s="12" t="s">
        <v>10971</v>
      </c>
      <c r="M1854" s="12" t="s">
        <v>10972</v>
      </c>
    </row>
    <row r="1855" spans="1:13" ht="52.8">
      <c r="A1855" s="21" t="s">
        <v>7932</v>
      </c>
      <c r="B1855" s="21" t="s">
        <v>7933</v>
      </c>
      <c r="C1855" s="21" t="s">
        <v>7934</v>
      </c>
      <c r="D1855" s="21" t="s">
        <v>71</v>
      </c>
      <c r="E1855" s="22" t="s">
        <v>7935</v>
      </c>
      <c r="F1855" s="22" t="s">
        <v>7933</v>
      </c>
      <c r="G1855" s="21" t="s">
        <v>7936</v>
      </c>
      <c r="H1855" s="21" t="s">
        <v>7937</v>
      </c>
      <c r="I1855" s="12" t="s">
        <v>8107</v>
      </c>
      <c r="J1855" s="12" t="s">
        <v>9434</v>
      </c>
      <c r="K1855" s="12" t="s">
        <v>10973</v>
      </c>
      <c r="L1855" s="12" t="s">
        <v>10974</v>
      </c>
      <c r="M1855" s="12" t="s">
        <v>10975</v>
      </c>
    </row>
    <row r="1856" spans="1:13" ht="52.8">
      <c r="A1856" s="21" t="s">
        <v>7932</v>
      </c>
      <c r="B1856" s="21" t="s">
        <v>7933</v>
      </c>
      <c r="C1856" s="21" t="s">
        <v>7934</v>
      </c>
      <c r="D1856" s="21" t="s">
        <v>71</v>
      </c>
      <c r="E1856" s="22" t="s">
        <v>7935</v>
      </c>
      <c r="F1856" s="22" t="s">
        <v>7933</v>
      </c>
      <c r="G1856" s="21" t="s">
        <v>7936</v>
      </c>
      <c r="H1856" s="21" t="s">
        <v>7937</v>
      </c>
      <c r="I1856" s="12" t="s">
        <v>8108</v>
      </c>
      <c r="J1856" s="12" t="s">
        <v>9435</v>
      </c>
      <c r="K1856" s="12"/>
      <c r="L1856" s="12" t="s">
        <v>10976</v>
      </c>
      <c r="M1856" s="12" t="s">
        <v>10977</v>
      </c>
    </row>
    <row r="1857" spans="1:13" ht="52.8">
      <c r="A1857" s="21" t="s">
        <v>7932</v>
      </c>
      <c r="B1857" s="21" t="s">
        <v>7933</v>
      </c>
      <c r="C1857" s="21" t="s">
        <v>7934</v>
      </c>
      <c r="D1857" s="21" t="s">
        <v>71</v>
      </c>
      <c r="E1857" s="22" t="s">
        <v>7935</v>
      </c>
      <c r="F1857" s="22" t="s">
        <v>7933</v>
      </c>
      <c r="G1857" s="21" t="s">
        <v>7936</v>
      </c>
      <c r="H1857" s="21" t="s">
        <v>7937</v>
      </c>
      <c r="I1857" s="12" t="s">
        <v>8109</v>
      </c>
      <c r="J1857" s="12" t="s">
        <v>9436</v>
      </c>
      <c r="K1857" s="12" t="s">
        <v>10978</v>
      </c>
      <c r="L1857" s="12" t="s">
        <v>10979</v>
      </c>
      <c r="M1857" s="12" t="s">
        <v>10980</v>
      </c>
    </row>
    <row r="1858" spans="1:13" ht="52.8">
      <c r="A1858" s="21" t="s">
        <v>7932</v>
      </c>
      <c r="B1858" s="21" t="s">
        <v>7933</v>
      </c>
      <c r="C1858" s="21" t="s">
        <v>7934</v>
      </c>
      <c r="D1858" s="21" t="s">
        <v>71</v>
      </c>
      <c r="E1858" s="22" t="s">
        <v>7935</v>
      </c>
      <c r="F1858" s="22" t="s">
        <v>7933</v>
      </c>
      <c r="G1858" s="21" t="s">
        <v>7936</v>
      </c>
      <c r="H1858" s="21" t="s">
        <v>7937</v>
      </c>
      <c r="I1858" s="12" t="s">
        <v>8110</v>
      </c>
      <c r="J1858" s="12" t="s">
        <v>9437</v>
      </c>
      <c r="K1858" s="12"/>
      <c r="L1858" s="12" t="s">
        <v>10981</v>
      </c>
      <c r="M1858" s="12" t="s">
        <v>10982</v>
      </c>
    </row>
    <row r="1859" spans="1:13" ht="52.8">
      <c r="A1859" s="21" t="s">
        <v>7932</v>
      </c>
      <c r="B1859" s="21" t="s">
        <v>7933</v>
      </c>
      <c r="C1859" s="21" t="s">
        <v>7934</v>
      </c>
      <c r="D1859" s="21" t="s">
        <v>71</v>
      </c>
      <c r="E1859" s="22" t="s">
        <v>7935</v>
      </c>
      <c r="F1859" s="22" t="s">
        <v>7933</v>
      </c>
      <c r="G1859" s="21" t="s">
        <v>7936</v>
      </c>
      <c r="H1859" s="21" t="s">
        <v>7937</v>
      </c>
      <c r="I1859" s="12" t="s">
        <v>8111</v>
      </c>
      <c r="J1859" s="12" t="s">
        <v>9438</v>
      </c>
      <c r="K1859" s="12"/>
      <c r="L1859" s="12" t="s">
        <v>10983</v>
      </c>
      <c r="M1859" s="12" t="s">
        <v>10984</v>
      </c>
    </row>
    <row r="1860" spans="1:13" ht="52.8">
      <c r="A1860" s="21" t="s">
        <v>7932</v>
      </c>
      <c r="B1860" s="21" t="s">
        <v>7933</v>
      </c>
      <c r="C1860" s="21" t="s">
        <v>7934</v>
      </c>
      <c r="D1860" s="21" t="s">
        <v>71</v>
      </c>
      <c r="E1860" s="22" t="s">
        <v>7935</v>
      </c>
      <c r="F1860" s="22" t="s">
        <v>7933</v>
      </c>
      <c r="G1860" s="21" t="s">
        <v>7936</v>
      </c>
      <c r="H1860" s="21" t="s">
        <v>7937</v>
      </c>
      <c r="I1860" s="12" t="s">
        <v>8112</v>
      </c>
      <c r="J1860" s="12" t="s">
        <v>9439</v>
      </c>
      <c r="K1860" s="12"/>
      <c r="L1860" s="12" t="s">
        <v>10985</v>
      </c>
      <c r="M1860" s="12" t="s">
        <v>10986</v>
      </c>
    </row>
    <row r="1861" spans="1:13" ht="52.8">
      <c r="A1861" s="21" t="s">
        <v>7932</v>
      </c>
      <c r="B1861" s="21" t="s">
        <v>7933</v>
      </c>
      <c r="C1861" s="21" t="s">
        <v>7934</v>
      </c>
      <c r="D1861" s="21" t="s">
        <v>71</v>
      </c>
      <c r="E1861" s="22" t="s">
        <v>7935</v>
      </c>
      <c r="F1861" s="22" t="s">
        <v>7933</v>
      </c>
      <c r="G1861" s="21" t="s">
        <v>7936</v>
      </c>
      <c r="H1861" s="21" t="s">
        <v>7937</v>
      </c>
      <c r="I1861" s="12" t="s">
        <v>8113</v>
      </c>
      <c r="J1861" s="12" t="s">
        <v>9440</v>
      </c>
      <c r="K1861" s="12" t="s">
        <v>10987</v>
      </c>
      <c r="L1861" s="12" t="s">
        <v>10988</v>
      </c>
      <c r="M1861" s="12" t="s">
        <v>10987</v>
      </c>
    </row>
    <row r="1862" spans="1:13" ht="52.8">
      <c r="A1862" s="21" t="s">
        <v>7932</v>
      </c>
      <c r="B1862" s="21" t="s">
        <v>7933</v>
      </c>
      <c r="C1862" s="21" t="s">
        <v>7934</v>
      </c>
      <c r="D1862" s="21" t="s">
        <v>71</v>
      </c>
      <c r="E1862" s="22" t="s">
        <v>7935</v>
      </c>
      <c r="F1862" s="22" t="s">
        <v>7933</v>
      </c>
      <c r="G1862" s="21" t="s">
        <v>7936</v>
      </c>
      <c r="H1862" s="21" t="s">
        <v>7937</v>
      </c>
      <c r="I1862" s="12" t="s">
        <v>8114</v>
      </c>
      <c r="J1862" s="12" t="s">
        <v>9441</v>
      </c>
      <c r="K1862" s="12"/>
      <c r="L1862" s="12" t="s">
        <v>10989</v>
      </c>
      <c r="M1862" s="12" t="s">
        <v>10990</v>
      </c>
    </row>
    <row r="1863" spans="1:13" ht="52.8">
      <c r="A1863" s="21" t="s">
        <v>7932</v>
      </c>
      <c r="B1863" s="21" t="s">
        <v>7933</v>
      </c>
      <c r="C1863" s="21" t="s">
        <v>7934</v>
      </c>
      <c r="D1863" s="21" t="s">
        <v>71</v>
      </c>
      <c r="E1863" s="22" t="s">
        <v>7935</v>
      </c>
      <c r="F1863" s="22" t="s">
        <v>7933</v>
      </c>
      <c r="G1863" s="21" t="s">
        <v>7936</v>
      </c>
      <c r="H1863" s="21" t="s">
        <v>7937</v>
      </c>
      <c r="I1863" s="12" t="s">
        <v>8115</v>
      </c>
      <c r="J1863" s="12" t="s">
        <v>9442</v>
      </c>
      <c r="K1863" s="12"/>
      <c r="L1863" s="12" t="s">
        <v>10991</v>
      </c>
      <c r="M1863" s="12" t="s">
        <v>10992</v>
      </c>
    </row>
    <row r="1864" spans="1:13" ht="52.8">
      <c r="A1864" s="21" t="s">
        <v>7932</v>
      </c>
      <c r="B1864" s="21" t="s">
        <v>7933</v>
      </c>
      <c r="C1864" s="21" t="s">
        <v>7934</v>
      </c>
      <c r="D1864" s="21" t="s">
        <v>71</v>
      </c>
      <c r="E1864" s="22" t="s">
        <v>7935</v>
      </c>
      <c r="F1864" s="22" t="s">
        <v>7933</v>
      </c>
      <c r="G1864" s="21" t="s">
        <v>7936</v>
      </c>
      <c r="H1864" s="21" t="s">
        <v>7937</v>
      </c>
      <c r="I1864" s="12" t="s">
        <v>8116</v>
      </c>
      <c r="J1864" s="12" t="s">
        <v>9443</v>
      </c>
      <c r="K1864" s="12"/>
      <c r="L1864" s="12" t="s">
        <v>10993</v>
      </c>
      <c r="M1864" s="12" t="s">
        <v>10994</v>
      </c>
    </row>
    <row r="1865" spans="1:13" ht="52.8">
      <c r="A1865" s="21" t="s">
        <v>7932</v>
      </c>
      <c r="B1865" s="21" t="s">
        <v>7933</v>
      </c>
      <c r="C1865" s="21" t="s">
        <v>7934</v>
      </c>
      <c r="D1865" s="21" t="s">
        <v>71</v>
      </c>
      <c r="E1865" s="22" t="s">
        <v>7935</v>
      </c>
      <c r="F1865" s="22" t="s">
        <v>7933</v>
      </c>
      <c r="G1865" s="21" t="s">
        <v>7936</v>
      </c>
      <c r="H1865" s="21" t="s">
        <v>7937</v>
      </c>
      <c r="I1865" s="12" t="s">
        <v>8117</v>
      </c>
      <c r="J1865" s="12" t="s">
        <v>9444</v>
      </c>
      <c r="K1865" s="12" t="s">
        <v>10995</v>
      </c>
      <c r="L1865" s="12" t="s">
        <v>10996</v>
      </c>
      <c r="M1865" s="12" t="s">
        <v>10995</v>
      </c>
    </row>
    <row r="1866" spans="1:13" ht="52.8">
      <c r="A1866" s="21" t="s">
        <v>7932</v>
      </c>
      <c r="B1866" s="21" t="s">
        <v>7933</v>
      </c>
      <c r="C1866" s="21" t="s">
        <v>7934</v>
      </c>
      <c r="D1866" s="21" t="s">
        <v>71</v>
      </c>
      <c r="E1866" s="22" t="s">
        <v>7935</v>
      </c>
      <c r="F1866" s="22" t="s">
        <v>7933</v>
      </c>
      <c r="G1866" s="21" t="s">
        <v>7936</v>
      </c>
      <c r="H1866" s="21" t="s">
        <v>7937</v>
      </c>
      <c r="I1866" s="12" t="s">
        <v>8118</v>
      </c>
      <c r="J1866" s="12" t="s">
        <v>9445</v>
      </c>
      <c r="K1866" s="12"/>
      <c r="L1866" s="12" t="s">
        <v>10997</v>
      </c>
      <c r="M1866" s="12" t="s">
        <v>10998</v>
      </c>
    </row>
    <row r="1867" spans="1:13" ht="52.8">
      <c r="A1867" s="21" t="s">
        <v>7932</v>
      </c>
      <c r="B1867" s="21" t="s">
        <v>7933</v>
      </c>
      <c r="C1867" s="21" t="s">
        <v>7934</v>
      </c>
      <c r="D1867" s="21" t="s">
        <v>71</v>
      </c>
      <c r="E1867" s="22" t="s">
        <v>7935</v>
      </c>
      <c r="F1867" s="22" t="s">
        <v>7933</v>
      </c>
      <c r="G1867" s="21" t="s">
        <v>7936</v>
      </c>
      <c r="H1867" s="21" t="s">
        <v>7937</v>
      </c>
      <c r="I1867" s="12" t="s">
        <v>8119</v>
      </c>
      <c r="J1867" s="12" t="s">
        <v>9446</v>
      </c>
      <c r="K1867" s="12"/>
      <c r="L1867" s="12" t="s">
        <v>10999</v>
      </c>
      <c r="M1867" s="12" t="s">
        <v>11000</v>
      </c>
    </row>
    <row r="1868" spans="1:13" ht="52.8">
      <c r="A1868" s="21" t="s">
        <v>7932</v>
      </c>
      <c r="B1868" s="21" t="s">
        <v>7933</v>
      </c>
      <c r="C1868" s="21" t="s">
        <v>7934</v>
      </c>
      <c r="D1868" s="21" t="s">
        <v>71</v>
      </c>
      <c r="E1868" s="22" t="s">
        <v>7935</v>
      </c>
      <c r="F1868" s="22" t="s">
        <v>7933</v>
      </c>
      <c r="G1868" s="21" t="s">
        <v>7936</v>
      </c>
      <c r="H1868" s="21" t="s">
        <v>7937</v>
      </c>
      <c r="I1868" s="12" t="s">
        <v>8120</v>
      </c>
      <c r="J1868" s="12" t="s">
        <v>9447</v>
      </c>
      <c r="K1868" s="12"/>
      <c r="L1868" s="12" t="s">
        <v>11001</v>
      </c>
      <c r="M1868" s="12" t="s">
        <v>11002</v>
      </c>
    </row>
    <row r="1869" spans="1:13" ht="52.8">
      <c r="A1869" s="21" t="s">
        <v>7932</v>
      </c>
      <c r="B1869" s="21" t="s">
        <v>7933</v>
      </c>
      <c r="C1869" s="21" t="s">
        <v>7934</v>
      </c>
      <c r="D1869" s="21" t="s">
        <v>71</v>
      </c>
      <c r="E1869" s="22" t="s">
        <v>7935</v>
      </c>
      <c r="F1869" s="22" t="s">
        <v>7933</v>
      </c>
      <c r="G1869" s="21" t="s">
        <v>7936</v>
      </c>
      <c r="H1869" s="21" t="s">
        <v>7937</v>
      </c>
      <c r="I1869" s="12" t="s">
        <v>8121</v>
      </c>
      <c r="J1869" s="12" t="s">
        <v>9448</v>
      </c>
      <c r="K1869" s="12"/>
      <c r="L1869" s="12" t="s">
        <v>11003</v>
      </c>
      <c r="M1869" s="12" t="s">
        <v>11004</v>
      </c>
    </row>
    <row r="1870" spans="1:13" ht="52.8">
      <c r="A1870" s="21" t="s">
        <v>7932</v>
      </c>
      <c r="B1870" s="21" t="s">
        <v>7933</v>
      </c>
      <c r="C1870" s="21" t="s">
        <v>7934</v>
      </c>
      <c r="D1870" s="21" t="s">
        <v>71</v>
      </c>
      <c r="E1870" s="22" t="s">
        <v>7935</v>
      </c>
      <c r="F1870" s="22" t="s">
        <v>7933</v>
      </c>
      <c r="G1870" s="21" t="s">
        <v>7936</v>
      </c>
      <c r="H1870" s="21" t="s">
        <v>7937</v>
      </c>
      <c r="I1870" s="12" t="s">
        <v>8122</v>
      </c>
      <c r="J1870" s="12" t="s">
        <v>9449</v>
      </c>
      <c r="K1870" s="12"/>
      <c r="L1870" s="12" t="s">
        <v>11005</v>
      </c>
      <c r="M1870" s="12" t="s">
        <v>11006</v>
      </c>
    </row>
    <row r="1871" spans="1:13" ht="52.8">
      <c r="A1871" s="21" t="s">
        <v>7932</v>
      </c>
      <c r="B1871" s="21" t="s">
        <v>7933</v>
      </c>
      <c r="C1871" s="21" t="s">
        <v>7934</v>
      </c>
      <c r="D1871" s="21" t="s">
        <v>71</v>
      </c>
      <c r="E1871" s="22" t="s">
        <v>7935</v>
      </c>
      <c r="F1871" s="22" t="s">
        <v>7933</v>
      </c>
      <c r="G1871" s="21" t="s">
        <v>7936</v>
      </c>
      <c r="H1871" s="21" t="s">
        <v>7937</v>
      </c>
      <c r="I1871" s="12" t="s">
        <v>8123</v>
      </c>
      <c r="J1871" s="12" t="s">
        <v>9450</v>
      </c>
      <c r="K1871" s="12"/>
      <c r="L1871" s="12" t="s">
        <v>11007</v>
      </c>
      <c r="M1871" s="12" t="s">
        <v>11008</v>
      </c>
    </row>
    <row r="1872" spans="1:13" ht="52.8">
      <c r="A1872" s="21" t="s">
        <v>7932</v>
      </c>
      <c r="B1872" s="21" t="s">
        <v>7933</v>
      </c>
      <c r="C1872" s="21" t="s">
        <v>7934</v>
      </c>
      <c r="D1872" s="21" t="s">
        <v>71</v>
      </c>
      <c r="E1872" s="22" t="s">
        <v>7935</v>
      </c>
      <c r="F1872" s="22" t="s">
        <v>7933</v>
      </c>
      <c r="G1872" s="21" t="s">
        <v>7936</v>
      </c>
      <c r="H1872" s="21" t="s">
        <v>7937</v>
      </c>
      <c r="I1872" s="12" t="s">
        <v>8124</v>
      </c>
      <c r="J1872" s="12" t="s">
        <v>9451</v>
      </c>
      <c r="K1872" s="12" t="s">
        <v>11009</v>
      </c>
      <c r="L1872" s="12" t="s">
        <v>11010</v>
      </c>
      <c r="M1872" s="12" t="s">
        <v>11011</v>
      </c>
    </row>
    <row r="1873" spans="1:13" ht="52.8">
      <c r="A1873" s="21" t="s">
        <v>7932</v>
      </c>
      <c r="B1873" s="21" t="s">
        <v>7933</v>
      </c>
      <c r="C1873" s="21" t="s">
        <v>7934</v>
      </c>
      <c r="D1873" s="21" t="s">
        <v>71</v>
      </c>
      <c r="E1873" s="22" t="s">
        <v>7935</v>
      </c>
      <c r="F1873" s="22" t="s">
        <v>7933</v>
      </c>
      <c r="G1873" s="21" t="s">
        <v>7936</v>
      </c>
      <c r="H1873" s="21" t="s">
        <v>7937</v>
      </c>
      <c r="I1873" s="12" t="s">
        <v>8125</v>
      </c>
      <c r="J1873" s="12" t="s">
        <v>9452</v>
      </c>
      <c r="K1873" s="12"/>
      <c r="L1873" s="12" t="s">
        <v>11012</v>
      </c>
      <c r="M1873" s="12" t="s">
        <v>11013</v>
      </c>
    </row>
    <row r="1874" spans="1:13" ht="52.8">
      <c r="A1874" s="21" t="s">
        <v>7932</v>
      </c>
      <c r="B1874" s="21" t="s">
        <v>7933</v>
      </c>
      <c r="C1874" s="21" t="s">
        <v>7934</v>
      </c>
      <c r="D1874" s="21" t="s">
        <v>71</v>
      </c>
      <c r="E1874" s="22" t="s">
        <v>7935</v>
      </c>
      <c r="F1874" s="22" t="s">
        <v>7933</v>
      </c>
      <c r="G1874" s="21" t="s">
        <v>7936</v>
      </c>
      <c r="H1874" s="21" t="s">
        <v>7937</v>
      </c>
      <c r="I1874" s="12" t="s">
        <v>8126</v>
      </c>
      <c r="J1874" s="12" t="s">
        <v>9453</v>
      </c>
      <c r="K1874" s="12" t="s">
        <v>11014</v>
      </c>
      <c r="L1874" s="12" t="s">
        <v>11015</v>
      </c>
      <c r="M1874" s="12" t="s">
        <v>11014</v>
      </c>
    </row>
    <row r="1875" spans="1:13" ht="52.8">
      <c r="A1875" s="21" t="s">
        <v>7932</v>
      </c>
      <c r="B1875" s="21" t="s">
        <v>7933</v>
      </c>
      <c r="C1875" s="21" t="s">
        <v>7934</v>
      </c>
      <c r="D1875" s="21" t="s">
        <v>71</v>
      </c>
      <c r="E1875" s="22" t="s">
        <v>7935</v>
      </c>
      <c r="F1875" s="22" t="s">
        <v>7933</v>
      </c>
      <c r="G1875" s="21" t="s">
        <v>7936</v>
      </c>
      <c r="H1875" s="21" t="s">
        <v>7937</v>
      </c>
      <c r="I1875" s="12" t="s">
        <v>8127</v>
      </c>
      <c r="J1875" s="12" t="s">
        <v>9454</v>
      </c>
      <c r="K1875" s="12" t="s">
        <v>11016</v>
      </c>
      <c r="L1875" s="12" t="s">
        <v>11017</v>
      </c>
      <c r="M1875" s="12" t="s">
        <v>11016</v>
      </c>
    </row>
    <row r="1876" spans="1:13" ht="52.8">
      <c r="A1876" s="21" t="s">
        <v>7932</v>
      </c>
      <c r="B1876" s="21" t="s">
        <v>7933</v>
      </c>
      <c r="C1876" s="21" t="s">
        <v>7934</v>
      </c>
      <c r="D1876" s="21" t="s">
        <v>71</v>
      </c>
      <c r="E1876" s="22" t="s">
        <v>7935</v>
      </c>
      <c r="F1876" s="22" t="s">
        <v>7933</v>
      </c>
      <c r="G1876" s="21" t="s">
        <v>7936</v>
      </c>
      <c r="H1876" s="21" t="s">
        <v>7937</v>
      </c>
      <c r="I1876" s="12" t="s">
        <v>8128</v>
      </c>
      <c r="J1876" s="12" t="s">
        <v>9455</v>
      </c>
      <c r="K1876" s="12"/>
      <c r="L1876" s="12" t="s">
        <v>11018</v>
      </c>
      <c r="M1876" s="12" t="s">
        <v>11019</v>
      </c>
    </row>
    <row r="1877" spans="1:13" ht="52.8">
      <c r="A1877" s="21" t="s">
        <v>7932</v>
      </c>
      <c r="B1877" s="21" t="s">
        <v>7933</v>
      </c>
      <c r="C1877" s="21" t="s">
        <v>7934</v>
      </c>
      <c r="D1877" s="21" t="s">
        <v>71</v>
      </c>
      <c r="E1877" s="22" t="s">
        <v>7935</v>
      </c>
      <c r="F1877" s="22" t="s">
        <v>7933</v>
      </c>
      <c r="G1877" s="21" t="s">
        <v>7936</v>
      </c>
      <c r="H1877" s="21" t="s">
        <v>7937</v>
      </c>
      <c r="I1877" s="12" t="s">
        <v>8129</v>
      </c>
      <c r="J1877" s="12" t="s">
        <v>9456</v>
      </c>
      <c r="K1877" s="12" t="s">
        <v>11020</v>
      </c>
      <c r="L1877" s="12" t="s">
        <v>11021</v>
      </c>
      <c r="M1877" s="12" t="s">
        <v>11022</v>
      </c>
    </row>
    <row r="1878" spans="1:13" ht="52.8">
      <c r="A1878" s="21" t="s">
        <v>7932</v>
      </c>
      <c r="B1878" s="21" t="s">
        <v>7933</v>
      </c>
      <c r="C1878" s="21" t="s">
        <v>7934</v>
      </c>
      <c r="D1878" s="21" t="s">
        <v>71</v>
      </c>
      <c r="E1878" s="22" t="s">
        <v>7935</v>
      </c>
      <c r="F1878" s="22" t="s">
        <v>7933</v>
      </c>
      <c r="G1878" s="21" t="s">
        <v>7936</v>
      </c>
      <c r="H1878" s="21" t="s">
        <v>7937</v>
      </c>
      <c r="I1878" s="12" t="s">
        <v>8130</v>
      </c>
      <c r="J1878" s="12" t="s">
        <v>9457</v>
      </c>
      <c r="K1878" s="12"/>
      <c r="L1878" s="12" t="s">
        <v>11023</v>
      </c>
      <c r="M1878" s="12" t="s">
        <v>11024</v>
      </c>
    </row>
    <row r="1879" spans="1:13" ht="52.8">
      <c r="A1879" s="21" t="s">
        <v>7932</v>
      </c>
      <c r="B1879" s="21" t="s">
        <v>7933</v>
      </c>
      <c r="C1879" s="21" t="s">
        <v>7934</v>
      </c>
      <c r="D1879" s="21" t="s">
        <v>71</v>
      </c>
      <c r="E1879" s="22" t="s">
        <v>7935</v>
      </c>
      <c r="F1879" s="22" t="s">
        <v>7933</v>
      </c>
      <c r="G1879" s="21" t="s">
        <v>7936</v>
      </c>
      <c r="H1879" s="21" t="s">
        <v>7937</v>
      </c>
      <c r="I1879" s="12" t="s">
        <v>8131</v>
      </c>
      <c r="J1879" s="12" t="s">
        <v>9458</v>
      </c>
      <c r="K1879" s="12"/>
      <c r="L1879" s="12" t="s">
        <v>11025</v>
      </c>
      <c r="M1879" s="12" t="s">
        <v>11026</v>
      </c>
    </row>
    <row r="1880" spans="1:13" ht="52.8">
      <c r="A1880" s="21" t="s">
        <v>7932</v>
      </c>
      <c r="B1880" s="21" t="s">
        <v>7933</v>
      </c>
      <c r="C1880" s="21" t="s">
        <v>7934</v>
      </c>
      <c r="D1880" s="21" t="s">
        <v>71</v>
      </c>
      <c r="E1880" s="22" t="s">
        <v>7935</v>
      </c>
      <c r="F1880" s="22" t="s">
        <v>7933</v>
      </c>
      <c r="G1880" s="21" t="s">
        <v>7936</v>
      </c>
      <c r="H1880" s="21" t="s">
        <v>7937</v>
      </c>
      <c r="I1880" s="12" t="s">
        <v>8132</v>
      </c>
      <c r="J1880" s="12" t="s">
        <v>9459</v>
      </c>
      <c r="K1880" s="12"/>
      <c r="L1880" s="12" t="s">
        <v>11027</v>
      </c>
      <c r="M1880" s="12" t="s">
        <v>11028</v>
      </c>
    </row>
    <row r="1881" spans="1:13" ht="52.8">
      <c r="A1881" s="21" t="s">
        <v>7932</v>
      </c>
      <c r="B1881" s="21" t="s">
        <v>7933</v>
      </c>
      <c r="C1881" s="21" t="s">
        <v>7934</v>
      </c>
      <c r="D1881" s="21" t="s">
        <v>71</v>
      </c>
      <c r="E1881" s="22" t="s">
        <v>7935</v>
      </c>
      <c r="F1881" s="22" t="s">
        <v>7933</v>
      </c>
      <c r="G1881" s="21" t="s">
        <v>7936</v>
      </c>
      <c r="H1881" s="21" t="s">
        <v>7937</v>
      </c>
      <c r="I1881" s="12" t="s">
        <v>8133</v>
      </c>
      <c r="J1881" s="12" t="s">
        <v>9460</v>
      </c>
      <c r="K1881" s="12"/>
      <c r="L1881" s="12" t="s">
        <v>11029</v>
      </c>
      <c r="M1881" s="12" t="s">
        <v>11030</v>
      </c>
    </row>
    <row r="1882" spans="1:13" ht="92.4">
      <c r="A1882" s="21" t="s">
        <v>7932</v>
      </c>
      <c r="B1882" s="21" t="s">
        <v>7933</v>
      </c>
      <c r="C1882" s="21" t="s">
        <v>7934</v>
      </c>
      <c r="D1882" s="21" t="s">
        <v>71</v>
      </c>
      <c r="E1882" s="22" t="s">
        <v>7935</v>
      </c>
      <c r="F1882" s="22" t="s">
        <v>7933</v>
      </c>
      <c r="G1882" s="21" t="s">
        <v>7936</v>
      </c>
      <c r="H1882" s="21" t="s">
        <v>7937</v>
      </c>
      <c r="I1882" s="12" t="s">
        <v>8134</v>
      </c>
      <c r="J1882" s="12" t="s">
        <v>9461</v>
      </c>
      <c r="K1882" s="12" t="s">
        <v>11031</v>
      </c>
      <c r="L1882" s="12" t="s">
        <v>11032</v>
      </c>
      <c r="M1882" s="12" t="s">
        <v>11033</v>
      </c>
    </row>
    <row r="1883" spans="1:13" ht="132">
      <c r="A1883" s="21" t="s">
        <v>7932</v>
      </c>
      <c r="B1883" s="21" t="s">
        <v>7933</v>
      </c>
      <c r="C1883" s="21" t="s">
        <v>7934</v>
      </c>
      <c r="D1883" s="21" t="s">
        <v>71</v>
      </c>
      <c r="E1883" s="22" t="s">
        <v>7935</v>
      </c>
      <c r="F1883" s="22" t="s">
        <v>7933</v>
      </c>
      <c r="G1883" s="21" t="s">
        <v>7936</v>
      </c>
      <c r="H1883" s="21" t="s">
        <v>7937</v>
      </c>
      <c r="I1883" s="12" t="s">
        <v>8135</v>
      </c>
      <c r="J1883" s="12" t="s">
        <v>9462</v>
      </c>
      <c r="K1883" s="12"/>
      <c r="L1883" s="12" t="s">
        <v>11034</v>
      </c>
      <c r="M1883" s="12" t="s">
        <v>11035</v>
      </c>
    </row>
    <row r="1884" spans="1:13" ht="52.8">
      <c r="A1884" s="21" t="s">
        <v>7932</v>
      </c>
      <c r="B1884" s="21" t="s">
        <v>7933</v>
      </c>
      <c r="C1884" s="21" t="s">
        <v>7934</v>
      </c>
      <c r="D1884" s="21" t="s">
        <v>71</v>
      </c>
      <c r="E1884" s="22" t="s">
        <v>7935</v>
      </c>
      <c r="F1884" s="22" t="s">
        <v>7933</v>
      </c>
      <c r="G1884" s="21" t="s">
        <v>7936</v>
      </c>
      <c r="H1884" s="21" t="s">
        <v>7937</v>
      </c>
      <c r="I1884" s="12" t="s">
        <v>8136</v>
      </c>
      <c r="J1884" s="12" t="s">
        <v>9463</v>
      </c>
      <c r="K1884" s="12"/>
      <c r="L1884" s="12" t="s">
        <v>11036</v>
      </c>
      <c r="M1884" s="12" t="s">
        <v>11037</v>
      </c>
    </row>
    <row r="1885" spans="1:13" ht="52.8">
      <c r="A1885" s="21" t="s">
        <v>7932</v>
      </c>
      <c r="B1885" s="21" t="s">
        <v>7933</v>
      </c>
      <c r="C1885" s="21" t="s">
        <v>7934</v>
      </c>
      <c r="D1885" s="21" t="s">
        <v>71</v>
      </c>
      <c r="E1885" s="22" t="s">
        <v>7935</v>
      </c>
      <c r="F1885" s="22" t="s">
        <v>7933</v>
      </c>
      <c r="G1885" s="21" t="s">
        <v>7936</v>
      </c>
      <c r="H1885" s="21" t="s">
        <v>7937</v>
      </c>
      <c r="I1885" s="12" t="s">
        <v>8137</v>
      </c>
      <c r="J1885" s="12" t="s">
        <v>9464</v>
      </c>
      <c r="K1885" s="12"/>
      <c r="L1885" s="12" t="s">
        <v>11038</v>
      </c>
      <c r="M1885" s="12" t="s">
        <v>11039</v>
      </c>
    </row>
    <row r="1886" spans="1:13" ht="52.8">
      <c r="A1886" s="21" t="s">
        <v>7932</v>
      </c>
      <c r="B1886" s="21" t="s">
        <v>7933</v>
      </c>
      <c r="C1886" s="21" t="s">
        <v>7934</v>
      </c>
      <c r="D1886" s="21" t="s">
        <v>71</v>
      </c>
      <c r="E1886" s="22" t="s">
        <v>7935</v>
      </c>
      <c r="F1886" s="22" t="s">
        <v>7933</v>
      </c>
      <c r="G1886" s="21" t="s">
        <v>7936</v>
      </c>
      <c r="H1886" s="21" t="s">
        <v>7937</v>
      </c>
      <c r="I1886" s="12" t="s">
        <v>8138</v>
      </c>
      <c r="J1886" s="12" t="s">
        <v>9465</v>
      </c>
      <c r="K1886" s="12"/>
      <c r="L1886" s="12" t="s">
        <v>11040</v>
      </c>
      <c r="M1886" s="12" t="s">
        <v>11041</v>
      </c>
    </row>
    <row r="1887" spans="1:13" ht="52.8">
      <c r="A1887" s="21" t="s">
        <v>7932</v>
      </c>
      <c r="B1887" s="21" t="s">
        <v>7933</v>
      </c>
      <c r="C1887" s="21" t="s">
        <v>7934</v>
      </c>
      <c r="D1887" s="21" t="s">
        <v>71</v>
      </c>
      <c r="E1887" s="22" t="s">
        <v>7935</v>
      </c>
      <c r="F1887" s="22" t="s">
        <v>7933</v>
      </c>
      <c r="G1887" s="21" t="s">
        <v>7936</v>
      </c>
      <c r="H1887" s="21" t="s">
        <v>7937</v>
      </c>
      <c r="I1887" s="12" t="s">
        <v>8139</v>
      </c>
      <c r="J1887" s="12" t="s">
        <v>9466</v>
      </c>
      <c r="K1887" s="12"/>
      <c r="L1887" s="12" t="s">
        <v>11042</v>
      </c>
      <c r="M1887" s="12" t="s">
        <v>11043</v>
      </c>
    </row>
    <row r="1888" spans="1:13" ht="52.8">
      <c r="A1888" s="21" t="s">
        <v>7932</v>
      </c>
      <c r="B1888" s="21" t="s">
        <v>7933</v>
      </c>
      <c r="C1888" s="21" t="s">
        <v>7934</v>
      </c>
      <c r="D1888" s="21" t="s">
        <v>71</v>
      </c>
      <c r="E1888" s="22" t="s">
        <v>7935</v>
      </c>
      <c r="F1888" s="22" t="s">
        <v>7933</v>
      </c>
      <c r="G1888" s="21" t="s">
        <v>7936</v>
      </c>
      <c r="H1888" s="21" t="s">
        <v>7937</v>
      </c>
      <c r="I1888" s="12" t="s">
        <v>8140</v>
      </c>
      <c r="J1888" s="12" t="s">
        <v>9467</v>
      </c>
      <c r="K1888" s="12" t="s">
        <v>11044</v>
      </c>
      <c r="L1888" s="12" t="s">
        <v>11045</v>
      </c>
      <c r="M1888" s="12" t="s">
        <v>11044</v>
      </c>
    </row>
    <row r="1889" spans="1:13" ht="52.8">
      <c r="A1889" s="21" t="s">
        <v>7932</v>
      </c>
      <c r="B1889" s="21" t="s">
        <v>7933</v>
      </c>
      <c r="C1889" s="21" t="s">
        <v>7934</v>
      </c>
      <c r="D1889" s="21" t="s">
        <v>71</v>
      </c>
      <c r="E1889" s="22" t="s">
        <v>7935</v>
      </c>
      <c r="F1889" s="22" t="s">
        <v>7933</v>
      </c>
      <c r="G1889" s="21" t="s">
        <v>7936</v>
      </c>
      <c r="H1889" s="21" t="s">
        <v>7937</v>
      </c>
      <c r="I1889" s="12" t="s">
        <v>8141</v>
      </c>
      <c r="J1889" s="12" t="s">
        <v>9468</v>
      </c>
      <c r="K1889" s="12" t="s">
        <v>11046</v>
      </c>
      <c r="L1889" s="12" t="s">
        <v>11047</v>
      </c>
      <c r="M1889" s="12" t="s">
        <v>11046</v>
      </c>
    </row>
    <row r="1890" spans="1:13" ht="52.8">
      <c r="A1890" s="21" t="s">
        <v>7932</v>
      </c>
      <c r="B1890" s="21" t="s">
        <v>7933</v>
      </c>
      <c r="C1890" s="21" t="s">
        <v>7934</v>
      </c>
      <c r="D1890" s="21" t="s">
        <v>71</v>
      </c>
      <c r="E1890" s="22" t="s">
        <v>7935</v>
      </c>
      <c r="F1890" s="22" t="s">
        <v>7933</v>
      </c>
      <c r="G1890" s="21" t="s">
        <v>7936</v>
      </c>
      <c r="H1890" s="21" t="s">
        <v>7937</v>
      </c>
      <c r="I1890" s="12" t="s">
        <v>8142</v>
      </c>
      <c r="J1890" s="12" t="s">
        <v>9469</v>
      </c>
      <c r="K1890" s="12"/>
      <c r="L1890" s="12" t="s">
        <v>11048</v>
      </c>
      <c r="M1890" s="12" t="s">
        <v>11049</v>
      </c>
    </row>
    <row r="1891" spans="1:13" ht="52.8">
      <c r="A1891" s="21" t="s">
        <v>7932</v>
      </c>
      <c r="B1891" s="21" t="s">
        <v>7933</v>
      </c>
      <c r="C1891" s="21" t="s">
        <v>7934</v>
      </c>
      <c r="D1891" s="21" t="s">
        <v>71</v>
      </c>
      <c r="E1891" s="22" t="s">
        <v>7935</v>
      </c>
      <c r="F1891" s="22" t="s">
        <v>7933</v>
      </c>
      <c r="G1891" s="21" t="s">
        <v>7936</v>
      </c>
      <c r="H1891" s="21" t="s">
        <v>7937</v>
      </c>
      <c r="I1891" s="12" t="s">
        <v>8143</v>
      </c>
      <c r="J1891" s="12" t="s">
        <v>9470</v>
      </c>
      <c r="K1891" s="12"/>
      <c r="L1891" s="12" t="s">
        <v>11050</v>
      </c>
      <c r="M1891" s="12" t="s">
        <v>11051</v>
      </c>
    </row>
    <row r="1892" spans="1:13" ht="52.8">
      <c r="A1892" s="21" t="s">
        <v>7932</v>
      </c>
      <c r="B1892" s="21" t="s">
        <v>7933</v>
      </c>
      <c r="C1892" s="21" t="s">
        <v>7934</v>
      </c>
      <c r="D1892" s="21" t="s">
        <v>71</v>
      </c>
      <c r="E1892" s="22" t="s">
        <v>7935</v>
      </c>
      <c r="F1892" s="22" t="s">
        <v>7933</v>
      </c>
      <c r="G1892" s="21" t="s">
        <v>7936</v>
      </c>
      <c r="H1892" s="21" t="s">
        <v>7937</v>
      </c>
      <c r="I1892" s="12" t="s">
        <v>8144</v>
      </c>
      <c r="J1892" s="12" t="s">
        <v>9471</v>
      </c>
      <c r="K1892" s="12"/>
      <c r="L1892" s="12" t="s">
        <v>11052</v>
      </c>
      <c r="M1892" s="12" t="s">
        <v>11053</v>
      </c>
    </row>
    <row r="1893" spans="1:13" ht="52.8">
      <c r="A1893" s="21" t="s">
        <v>7932</v>
      </c>
      <c r="B1893" s="21" t="s">
        <v>7933</v>
      </c>
      <c r="C1893" s="21" t="s">
        <v>7934</v>
      </c>
      <c r="D1893" s="21" t="s">
        <v>71</v>
      </c>
      <c r="E1893" s="22" t="s">
        <v>7935</v>
      </c>
      <c r="F1893" s="22" t="s">
        <v>7933</v>
      </c>
      <c r="G1893" s="21" t="s">
        <v>7936</v>
      </c>
      <c r="H1893" s="21" t="s">
        <v>7937</v>
      </c>
      <c r="I1893" s="12" t="s">
        <v>8145</v>
      </c>
      <c r="J1893" s="12" t="s">
        <v>9472</v>
      </c>
      <c r="K1893" s="12" t="s">
        <v>11054</v>
      </c>
      <c r="L1893" s="12" t="s">
        <v>11055</v>
      </c>
      <c r="M1893" s="12" t="s">
        <v>11054</v>
      </c>
    </row>
    <row r="1894" spans="1:13" ht="52.8">
      <c r="A1894" s="21" t="s">
        <v>7932</v>
      </c>
      <c r="B1894" s="21" t="s">
        <v>7933</v>
      </c>
      <c r="C1894" s="21" t="s">
        <v>7934</v>
      </c>
      <c r="D1894" s="21" t="s">
        <v>71</v>
      </c>
      <c r="E1894" s="22" t="s">
        <v>7935</v>
      </c>
      <c r="F1894" s="22" t="s">
        <v>7933</v>
      </c>
      <c r="G1894" s="21" t="s">
        <v>7936</v>
      </c>
      <c r="H1894" s="21" t="s">
        <v>7937</v>
      </c>
      <c r="I1894" s="12" t="s">
        <v>8146</v>
      </c>
      <c r="J1894" s="12" t="s">
        <v>9473</v>
      </c>
      <c r="K1894" s="12" t="s">
        <v>11056</v>
      </c>
      <c r="L1894" s="12" t="s">
        <v>11057</v>
      </c>
      <c r="M1894" s="12" t="s">
        <v>11056</v>
      </c>
    </row>
    <row r="1895" spans="1:13" ht="52.8">
      <c r="A1895" s="21" t="s">
        <v>7932</v>
      </c>
      <c r="B1895" s="21" t="s">
        <v>7933</v>
      </c>
      <c r="C1895" s="21" t="s">
        <v>7934</v>
      </c>
      <c r="D1895" s="21" t="s">
        <v>71</v>
      </c>
      <c r="E1895" s="22" t="s">
        <v>7935</v>
      </c>
      <c r="F1895" s="22" t="s">
        <v>7933</v>
      </c>
      <c r="G1895" s="21" t="s">
        <v>7936</v>
      </c>
      <c r="H1895" s="21" t="s">
        <v>7937</v>
      </c>
      <c r="I1895" s="12" t="s">
        <v>8147</v>
      </c>
      <c r="J1895" s="12" t="s">
        <v>9474</v>
      </c>
      <c r="K1895" s="12" t="s">
        <v>11058</v>
      </c>
      <c r="L1895" s="12" t="s">
        <v>11059</v>
      </c>
      <c r="M1895" s="12" t="s">
        <v>11060</v>
      </c>
    </row>
    <row r="1896" spans="1:13" ht="52.8">
      <c r="A1896" s="21" t="s">
        <v>7932</v>
      </c>
      <c r="B1896" s="21" t="s">
        <v>7933</v>
      </c>
      <c r="C1896" s="21" t="s">
        <v>7934</v>
      </c>
      <c r="D1896" s="21" t="s">
        <v>71</v>
      </c>
      <c r="E1896" s="22" t="s">
        <v>7935</v>
      </c>
      <c r="F1896" s="22" t="s">
        <v>7933</v>
      </c>
      <c r="G1896" s="21" t="s">
        <v>7936</v>
      </c>
      <c r="H1896" s="21" t="s">
        <v>7937</v>
      </c>
      <c r="I1896" s="12" t="s">
        <v>8148</v>
      </c>
      <c r="J1896" s="12" t="s">
        <v>9475</v>
      </c>
      <c r="K1896" s="12" t="s">
        <v>11061</v>
      </c>
      <c r="L1896" s="12" t="s">
        <v>11062</v>
      </c>
      <c r="M1896" s="12" t="s">
        <v>11061</v>
      </c>
    </row>
    <row r="1897" spans="1:13" ht="52.8">
      <c r="A1897" s="21" t="s">
        <v>7932</v>
      </c>
      <c r="B1897" s="21" t="s">
        <v>7933</v>
      </c>
      <c r="C1897" s="21" t="s">
        <v>7934</v>
      </c>
      <c r="D1897" s="21" t="s">
        <v>71</v>
      </c>
      <c r="E1897" s="22" t="s">
        <v>7935</v>
      </c>
      <c r="F1897" s="22" t="s">
        <v>7933</v>
      </c>
      <c r="G1897" s="21" t="s">
        <v>7936</v>
      </c>
      <c r="H1897" s="21" t="s">
        <v>7937</v>
      </c>
      <c r="I1897" s="12" t="s">
        <v>8149</v>
      </c>
      <c r="J1897" s="12" t="s">
        <v>9476</v>
      </c>
      <c r="K1897" s="12"/>
      <c r="L1897" s="12" t="s">
        <v>11063</v>
      </c>
      <c r="M1897" s="12" t="s">
        <v>11064</v>
      </c>
    </row>
    <row r="1898" spans="1:13" ht="52.8">
      <c r="A1898" s="21" t="s">
        <v>7932</v>
      </c>
      <c r="B1898" s="21" t="s">
        <v>7933</v>
      </c>
      <c r="C1898" s="21" t="s">
        <v>7934</v>
      </c>
      <c r="D1898" s="21" t="s">
        <v>71</v>
      </c>
      <c r="E1898" s="22" t="s">
        <v>7935</v>
      </c>
      <c r="F1898" s="22" t="s">
        <v>7933</v>
      </c>
      <c r="G1898" s="21" t="s">
        <v>7936</v>
      </c>
      <c r="H1898" s="21" t="s">
        <v>7937</v>
      </c>
      <c r="I1898" s="12" t="s">
        <v>8150</v>
      </c>
      <c r="J1898" s="12" t="s">
        <v>9477</v>
      </c>
      <c r="K1898" s="12" t="s">
        <v>11065</v>
      </c>
      <c r="L1898" s="12" t="s">
        <v>11066</v>
      </c>
      <c r="M1898" s="12" t="s">
        <v>11065</v>
      </c>
    </row>
    <row r="1899" spans="1:13" ht="52.8">
      <c r="A1899" s="21" t="s">
        <v>7932</v>
      </c>
      <c r="B1899" s="21" t="s">
        <v>7933</v>
      </c>
      <c r="C1899" s="21" t="s">
        <v>7934</v>
      </c>
      <c r="D1899" s="21" t="s">
        <v>71</v>
      </c>
      <c r="E1899" s="22" t="s">
        <v>7935</v>
      </c>
      <c r="F1899" s="22" t="s">
        <v>7933</v>
      </c>
      <c r="G1899" s="21" t="s">
        <v>7936</v>
      </c>
      <c r="H1899" s="21" t="s">
        <v>7937</v>
      </c>
      <c r="I1899" s="12" t="s">
        <v>8151</v>
      </c>
      <c r="J1899" s="12" t="s">
        <v>9478</v>
      </c>
      <c r="K1899" s="12" t="s">
        <v>11067</v>
      </c>
      <c r="L1899" s="12" t="s">
        <v>11068</v>
      </c>
      <c r="M1899" s="12" t="s">
        <v>11067</v>
      </c>
    </row>
    <row r="1900" spans="1:13" ht="52.8">
      <c r="A1900" s="21" t="s">
        <v>7932</v>
      </c>
      <c r="B1900" s="21" t="s">
        <v>7933</v>
      </c>
      <c r="C1900" s="21" t="s">
        <v>7934</v>
      </c>
      <c r="D1900" s="21" t="s">
        <v>71</v>
      </c>
      <c r="E1900" s="22" t="s">
        <v>7935</v>
      </c>
      <c r="F1900" s="22" t="s">
        <v>7933</v>
      </c>
      <c r="G1900" s="21" t="s">
        <v>7936</v>
      </c>
      <c r="H1900" s="21" t="s">
        <v>7937</v>
      </c>
      <c r="I1900" s="12" t="s">
        <v>8152</v>
      </c>
      <c r="J1900" s="12" t="s">
        <v>9479</v>
      </c>
      <c r="K1900" s="12" t="s">
        <v>11069</v>
      </c>
      <c r="L1900" s="12" t="s">
        <v>11070</v>
      </c>
      <c r="M1900" s="12" t="s">
        <v>11071</v>
      </c>
    </row>
    <row r="1901" spans="1:13" ht="52.8">
      <c r="A1901" s="21" t="s">
        <v>7932</v>
      </c>
      <c r="B1901" s="21" t="s">
        <v>7933</v>
      </c>
      <c r="C1901" s="21" t="s">
        <v>7934</v>
      </c>
      <c r="D1901" s="21" t="s">
        <v>71</v>
      </c>
      <c r="E1901" s="22" t="s">
        <v>7935</v>
      </c>
      <c r="F1901" s="22" t="s">
        <v>7933</v>
      </c>
      <c r="G1901" s="21" t="s">
        <v>7936</v>
      </c>
      <c r="H1901" s="21" t="s">
        <v>7937</v>
      </c>
      <c r="I1901" s="12" t="s">
        <v>8153</v>
      </c>
      <c r="J1901" s="12" t="s">
        <v>9480</v>
      </c>
      <c r="K1901" s="12" t="s">
        <v>11072</v>
      </c>
      <c r="L1901" s="12" t="s">
        <v>11073</v>
      </c>
      <c r="M1901" s="12" t="s">
        <v>11072</v>
      </c>
    </row>
    <row r="1902" spans="1:13" ht="52.8">
      <c r="A1902" s="21" t="s">
        <v>7932</v>
      </c>
      <c r="B1902" s="21" t="s">
        <v>7933</v>
      </c>
      <c r="C1902" s="21" t="s">
        <v>7934</v>
      </c>
      <c r="D1902" s="21" t="s">
        <v>71</v>
      </c>
      <c r="E1902" s="22" t="s">
        <v>7935</v>
      </c>
      <c r="F1902" s="22" t="s">
        <v>7933</v>
      </c>
      <c r="G1902" s="21" t="s">
        <v>7936</v>
      </c>
      <c r="H1902" s="21" t="s">
        <v>7937</v>
      </c>
      <c r="I1902" s="12" t="s">
        <v>8154</v>
      </c>
      <c r="J1902" s="12" t="s">
        <v>9481</v>
      </c>
      <c r="K1902" s="12"/>
      <c r="L1902" s="12" t="s">
        <v>11074</v>
      </c>
      <c r="M1902" s="12" t="s">
        <v>11075</v>
      </c>
    </row>
    <row r="1903" spans="1:13" ht="52.8">
      <c r="A1903" s="21" t="s">
        <v>7932</v>
      </c>
      <c r="B1903" s="21" t="s">
        <v>7933</v>
      </c>
      <c r="C1903" s="21" t="s">
        <v>7934</v>
      </c>
      <c r="D1903" s="21" t="s">
        <v>71</v>
      </c>
      <c r="E1903" s="22" t="s">
        <v>7935</v>
      </c>
      <c r="F1903" s="22" t="s">
        <v>7933</v>
      </c>
      <c r="G1903" s="21" t="s">
        <v>7936</v>
      </c>
      <c r="H1903" s="21" t="s">
        <v>7937</v>
      </c>
      <c r="I1903" s="12" t="s">
        <v>8155</v>
      </c>
      <c r="J1903" s="12" t="s">
        <v>9482</v>
      </c>
      <c r="K1903" s="12" t="s">
        <v>11076</v>
      </c>
      <c r="L1903" s="12" t="s">
        <v>11077</v>
      </c>
      <c r="M1903" s="12" t="s">
        <v>11078</v>
      </c>
    </row>
    <row r="1904" spans="1:13" ht="52.8">
      <c r="A1904" s="21" t="s">
        <v>7932</v>
      </c>
      <c r="B1904" s="21" t="s">
        <v>7933</v>
      </c>
      <c r="C1904" s="21" t="s">
        <v>7934</v>
      </c>
      <c r="D1904" s="21" t="s">
        <v>71</v>
      </c>
      <c r="E1904" s="22" t="s">
        <v>7935</v>
      </c>
      <c r="F1904" s="22" t="s">
        <v>7933</v>
      </c>
      <c r="G1904" s="21" t="s">
        <v>7936</v>
      </c>
      <c r="H1904" s="21" t="s">
        <v>7937</v>
      </c>
      <c r="I1904" s="12" t="s">
        <v>8156</v>
      </c>
      <c r="J1904" s="12" t="s">
        <v>9483</v>
      </c>
      <c r="K1904" s="12"/>
      <c r="L1904" s="12" t="s">
        <v>11079</v>
      </c>
      <c r="M1904" s="12" t="s">
        <v>11080</v>
      </c>
    </row>
    <row r="1905" spans="1:13" ht="52.8">
      <c r="A1905" s="21" t="s">
        <v>7932</v>
      </c>
      <c r="B1905" s="21" t="s">
        <v>7933</v>
      </c>
      <c r="C1905" s="21" t="s">
        <v>7934</v>
      </c>
      <c r="D1905" s="21" t="s">
        <v>71</v>
      </c>
      <c r="E1905" s="22" t="s">
        <v>7935</v>
      </c>
      <c r="F1905" s="22" t="s">
        <v>7933</v>
      </c>
      <c r="G1905" s="21" t="s">
        <v>7936</v>
      </c>
      <c r="H1905" s="21" t="s">
        <v>7937</v>
      </c>
      <c r="I1905" s="12" t="s">
        <v>8157</v>
      </c>
      <c r="J1905" s="12" t="s">
        <v>9484</v>
      </c>
      <c r="K1905" s="12"/>
      <c r="L1905" s="12" t="s">
        <v>11081</v>
      </c>
      <c r="M1905" s="12" t="s">
        <v>11082</v>
      </c>
    </row>
    <row r="1906" spans="1:13" ht="52.8">
      <c r="A1906" s="21" t="s">
        <v>7932</v>
      </c>
      <c r="B1906" s="21" t="s">
        <v>7933</v>
      </c>
      <c r="C1906" s="21" t="s">
        <v>7934</v>
      </c>
      <c r="D1906" s="21" t="s">
        <v>71</v>
      </c>
      <c r="E1906" s="22" t="s">
        <v>7935</v>
      </c>
      <c r="F1906" s="22" t="s">
        <v>7933</v>
      </c>
      <c r="G1906" s="21" t="s">
        <v>7936</v>
      </c>
      <c r="H1906" s="21" t="s">
        <v>7937</v>
      </c>
      <c r="I1906" s="12" t="s">
        <v>8158</v>
      </c>
      <c r="J1906" s="12" t="s">
        <v>9485</v>
      </c>
      <c r="K1906" s="12"/>
      <c r="L1906" s="12" t="s">
        <v>11083</v>
      </c>
      <c r="M1906" s="12" t="s">
        <v>11084</v>
      </c>
    </row>
    <row r="1907" spans="1:13" ht="52.8">
      <c r="A1907" s="21" t="s">
        <v>7932</v>
      </c>
      <c r="B1907" s="21" t="s">
        <v>7933</v>
      </c>
      <c r="C1907" s="21" t="s">
        <v>7934</v>
      </c>
      <c r="D1907" s="21" t="s">
        <v>71</v>
      </c>
      <c r="E1907" s="22" t="s">
        <v>7935</v>
      </c>
      <c r="F1907" s="22" t="s">
        <v>7933</v>
      </c>
      <c r="G1907" s="21" t="s">
        <v>7936</v>
      </c>
      <c r="H1907" s="21" t="s">
        <v>7937</v>
      </c>
      <c r="I1907" s="12" t="s">
        <v>8159</v>
      </c>
      <c r="J1907" s="12" t="s">
        <v>9486</v>
      </c>
      <c r="K1907" s="12"/>
      <c r="L1907" s="12" t="s">
        <v>11085</v>
      </c>
      <c r="M1907" s="12" t="s">
        <v>11086</v>
      </c>
    </row>
    <row r="1908" spans="1:13" ht="52.8">
      <c r="A1908" s="21" t="s">
        <v>7932</v>
      </c>
      <c r="B1908" s="21" t="s">
        <v>7933</v>
      </c>
      <c r="C1908" s="21" t="s">
        <v>7934</v>
      </c>
      <c r="D1908" s="21" t="s">
        <v>71</v>
      </c>
      <c r="E1908" s="22" t="s">
        <v>7935</v>
      </c>
      <c r="F1908" s="22" t="s">
        <v>7933</v>
      </c>
      <c r="G1908" s="21" t="s">
        <v>7936</v>
      </c>
      <c r="H1908" s="21" t="s">
        <v>7937</v>
      </c>
      <c r="I1908" s="12" t="s">
        <v>8160</v>
      </c>
      <c r="J1908" s="12" t="s">
        <v>9487</v>
      </c>
      <c r="K1908" s="12"/>
      <c r="L1908" s="12" t="s">
        <v>11087</v>
      </c>
      <c r="M1908" s="12" t="s">
        <v>11088</v>
      </c>
    </row>
    <row r="1909" spans="1:13" ht="52.8">
      <c r="A1909" s="21" t="s">
        <v>7932</v>
      </c>
      <c r="B1909" s="21" t="s">
        <v>7933</v>
      </c>
      <c r="C1909" s="21" t="s">
        <v>7934</v>
      </c>
      <c r="D1909" s="21" t="s">
        <v>71</v>
      </c>
      <c r="E1909" s="22" t="s">
        <v>7935</v>
      </c>
      <c r="F1909" s="22" t="s">
        <v>7933</v>
      </c>
      <c r="G1909" s="21" t="s">
        <v>7936</v>
      </c>
      <c r="H1909" s="21" t="s">
        <v>7937</v>
      </c>
      <c r="I1909" s="12" t="s">
        <v>8161</v>
      </c>
      <c r="J1909" s="12" t="s">
        <v>9488</v>
      </c>
      <c r="K1909" s="12"/>
      <c r="L1909" s="12" t="s">
        <v>11089</v>
      </c>
      <c r="M1909" s="12" t="s">
        <v>11090</v>
      </c>
    </row>
    <row r="1910" spans="1:13" ht="52.8">
      <c r="A1910" s="21" t="s">
        <v>7932</v>
      </c>
      <c r="B1910" s="21" t="s">
        <v>7933</v>
      </c>
      <c r="C1910" s="21" t="s">
        <v>7934</v>
      </c>
      <c r="D1910" s="21" t="s">
        <v>71</v>
      </c>
      <c r="E1910" s="22" t="s">
        <v>7935</v>
      </c>
      <c r="F1910" s="22" t="s">
        <v>7933</v>
      </c>
      <c r="G1910" s="21" t="s">
        <v>7936</v>
      </c>
      <c r="H1910" s="21" t="s">
        <v>7937</v>
      </c>
      <c r="I1910" s="12" t="s">
        <v>8162</v>
      </c>
      <c r="J1910" s="12" t="s">
        <v>9489</v>
      </c>
      <c r="K1910" s="12"/>
      <c r="L1910" s="12" t="s">
        <v>11091</v>
      </c>
      <c r="M1910" s="12" t="s">
        <v>11092</v>
      </c>
    </row>
    <row r="1911" spans="1:13" ht="52.8">
      <c r="A1911" s="21" t="s">
        <v>7932</v>
      </c>
      <c r="B1911" s="21" t="s">
        <v>7933</v>
      </c>
      <c r="C1911" s="21" t="s">
        <v>7934</v>
      </c>
      <c r="D1911" s="21" t="s">
        <v>71</v>
      </c>
      <c r="E1911" s="22" t="s">
        <v>7935</v>
      </c>
      <c r="F1911" s="22" t="s">
        <v>7933</v>
      </c>
      <c r="G1911" s="21" t="s">
        <v>7936</v>
      </c>
      <c r="H1911" s="21" t="s">
        <v>7937</v>
      </c>
      <c r="I1911" s="12" t="s">
        <v>8163</v>
      </c>
      <c r="J1911" s="12" t="s">
        <v>9490</v>
      </c>
      <c r="K1911" s="12"/>
      <c r="L1911" s="12" t="s">
        <v>11093</v>
      </c>
      <c r="M1911" s="12" t="s">
        <v>11094</v>
      </c>
    </row>
    <row r="1912" spans="1:13" ht="52.8">
      <c r="A1912" s="21" t="s">
        <v>7932</v>
      </c>
      <c r="B1912" s="21" t="s">
        <v>7933</v>
      </c>
      <c r="C1912" s="21" t="s">
        <v>7934</v>
      </c>
      <c r="D1912" s="21" t="s">
        <v>71</v>
      </c>
      <c r="E1912" s="22" t="s">
        <v>7935</v>
      </c>
      <c r="F1912" s="22" t="s">
        <v>7933</v>
      </c>
      <c r="G1912" s="21" t="s">
        <v>7936</v>
      </c>
      <c r="H1912" s="21" t="s">
        <v>7937</v>
      </c>
      <c r="I1912" s="12" t="s">
        <v>8164</v>
      </c>
      <c r="J1912" s="12" t="s">
        <v>9491</v>
      </c>
      <c r="K1912" s="12"/>
      <c r="L1912" s="12" t="s">
        <v>11095</v>
      </c>
      <c r="M1912" s="12" t="s">
        <v>11096</v>
      </c>
    </row>
    <row r="1913" spans="1:13" ht="52.8">
      <c r="A1913" s="21" t="s">
        <v>7932</v>
      </c>
      <c r="B1913" s="21" t="s">
        <v>7933</v>
      </c>
      <c r="C1913" s="21" t="s">
        <v>7934</v>
      </c>
      <c r="D1913" s="21" t="s">
        <v>71</v>
      </c>
      <c r="E1913" s="22" t="s">
        <v>7935</v>
      </c>
      <c r="F1913" s="22" t="s">
        <v>7933</v>
      </c>
      <c r="G1913" s="21" t="s">
        <v>7936</v>
      </c>
      <c r="H1913" s="21" t="s">
        <v>7937</v>
      </c>
      <c r="I1913" s="12" t="s">
        <v>8165</v>
      </c>
      <c r="J1913" s="12" t="s">
        <v>9492</v>
      </c>
      <c r="K1913" s="12"/>
      <c r="L1913" s="12" t="s">
        <v>11097</v>
      </c>
      <c r="M1913" s="12" t="s">
        <v>11098</v>
      </c>
    </row>
    <row r="1914" spans="1:13" ht="52.8">
      <c r="A1914" s="21" t="s">
        <v>7932</v>
      </c>
      <c r="B1914" s="21" t="s">
        <v>7933</v>
      </c>
      <c r="C1914" s="21" t="s">
        <v>7934</v>
      </c>
      <c r="D1914" s="21" t="s">
        <v>71</v>
      </c>
      <c r="E1914" s="22" t="s">
        <v>7935</v>
      </c>
      <c r="F1914" s="22" t="s">
        <v>7933</v>
      </c>
      <c r="G1914" s="21" t="s">
        <v>7936</v>
      </c>
      <c r="H1914" s="21" t="s">
        <v>7937</v>
      </c>
      <c r="I1914" s="12" t="s">
        <v>8166</v>
      </c>
      <c r="J1914" s="12" t="s">
        <v>9493</v>
      </c>
      <c r="K1914" s="12"/>
      <c r="L1914" s="12" t="s">
        <v>11099</v>
      </c>
      <c r="M1914" s="12" t="s">
        <v>11100</v>
      </c>
    </row>
    <row r="1915" spans="1:13" ht="79.2">
      <c r="A1915" s="21" t="s">
        <v>7932</v>
      </c>
      <c r="B1915" s="21" t="s">
        <v>7933</v>
      </c>
      <c r="C1915" s="21" t="s">
        <v>7934</v>
      </c>
      <c r="D1915" s="21" t="s">
        <v>71</v>
      </c>
      <c r="E1915" s="22" t="s">
        <v>7935</v>
      </c>
      <c r="F1915" s="22" t="s">
        <v>7933</v>
      </c>
      <c r="G1915" s="21" t="s">
        <v>7936</v>
      </c>
      <c r="H1915" s="21" t="s">
        <v>7937</v>
      </c>
      <c r="I1915" s="12" t="s">
        <v>8167</v>
      </c>
      <c r="J1915" s="12" t="s">
        <v>9494</v>
      </c>
      <c r="K1915" s="12" t="s">
        <v>11101</v>
      </c>
      <c r="L1915" s="12" t="s">
        <v>11102</v>
      </c>
      <c r="M1915" s="12" t="s">
        <v>11103</v>
      </c>
    </row>
    <row r="1916" spans="1:13" ht="79.2">
      <c r="A1916" s="21" t="s">
        <v>7932</v>
      </c>
      <c r="B1916" s="21" t="s">
        <v>7933</v>
      </c>
      <c r="C1916" s="21" t="s">
        <v>7934</v>
      </c>
      <c r="D1916" s="21" t="s">
        <v>71</v>
      </c>
      <c r="E1916" s="22" t="s">
        <v>7935</v>
      </c>
      <c r="F1916" s="22" t="s">
        <v>7933</v>
      </c>
      <c r="G1916" s="21" t="s">
        <v>7936</v>
      </c>
      <c r="H1916" s="21" t="s">
        <v>7937</v>
      </c>
      <c r="I1916" s="12" t="s">
        <v>8168</v>
      </c>
      <c r="J1916" s="12" t="s">
        <v>9495</v>
      </c>
      <c r="K1916" s="12" t="s">
        <v>11104</v>
      </c>
      <c r="L1916" s="12" t="s">
        <v>11105</v>
      </c>
      <c r="M1916" s="12" t="s">
        <v>11106</v>
      </c>
    </row>
    <row r="1917" spans="1:13" ht="52.8">
      <c r="A1917" s="21" t="s">
        <v>7932</v>
      </c>
      <c r="B1917" s="21" t="s">
        <v>7933</v>
      </c>
      <c r="C1917" s="21" t="s">
        <v>7934</v>
      </c>
      <c r="D1917" s="21" t="s">
        <v>71</v>
      </c>
      <c r="E1917" s="22" t="s">
        <v>7935</v>
      </c>
      <c r="F1917" s="22" t="s">
        <v>7933</v>
      </c>
      <c r="G1917" s="21" t="s">
        <v>7936</v>
      </c>
      <c r="H1917" s="21" t="s">
        <v>7937</v>
      </c>
      <c r="I1917" s="12" t="s">
        <v>8169</v>
      </c>
      <c r="J1917" s="12" t="s">
        <v>9496</v>
      </c>
      <c r="K1917" s="12" t="s">
        <v>11107</v>
      </c>
      <c r="L1917" s="12" t="s">
        <v>11108</v>
      </c>
      <c r="M1917" s="12" t="s">
        <v>11107</v>
      </c>
    </row>
    <row r="1918" spans="1:13" ht="52.8">
      <c r="A1918" s="21" t="s">
        <v>7932</v>
      </c>
      <c r="B1918" s="21" t="s">
        <v>7933</v>
      </c>
      <c r="C1918" s="21" t="s">
        <v>7934</v>
      </c>
      <c r="D1918" s="21" t="s">
        <v>71</v>
      </c>
      <c r="E1918" s="22" t="s">
        <v>7935</v>
      </c>
      <c r="F1918" s="22" t="s">
        <v>7933</v>
      </c>
      <c r="G1918" s="21" t="s">
        <v>7936</v>
      </c>
      <c r="H1918" s="21" t="s">
        <v>7937</v>
      </c>
      <c r="I1918" s="12" t="s">
        <v>8170</v>
      </c>
      <c r="J1918" s="12" t="s">
        <v>9497</v>
      </c>
      <c r="K1918" s="12"/>
      <c r="L1918" s="12" t="s">
        <v>11109</v>
      </c>
      <c r="M1918" s="12" t="s">
        <v>11110</v>
      </c>
    </row>
    <row r="1919" spans="1:13" ht="52.8">
      <c r="A1919" s="21" t="s">
        <v>7932</v>
      </c>
      <c r="B1919" s="21" t="s">
        <v>7933</v>
      </c>
      <c r="C1919" s="21" t="s">
        <v>7934</v>
      </c>
      <c r="D1919" s="21" t="s">
        <v>71</v>
      </c>
      <c r="E1919" s="22" t="s">
        <v>7935</v>
      </c>
      <c r="F1919" s="22" t="s">
        <v>7933</v>
      </c>
      <c r="G1919" s="21" t="s">
        <v>7936</v>
      </c>
      <c r="H1919" s="21" t="s">
        <v>7937</v>
      </c>
      <c r="I1919" s="12" t="s">
        <v>8171</v>
      </c>
      <c r="J1919" s="12" t="s">
        <v>9498</v>
      </c>
      <c r="K1919" s="12"/>
      <c r="L1919" s="12" t="s">
        <v>11111</v>
      </c>
      <c r="M1919" s="12" t="s">
        <v>11112</v>
      </c>
    </row>
    <row r="1920" spans="1:13" ht="52.8">
      <c r="A1920" s="21" t="s">
        <v>7932</v>
      </c>
      <c r="B1920" s="21" t="s">
        <v>7933</v>
      </c>
      <c r="C1920" s="21" t="s">
        <v>7934</v>
      </c>
      <c r="D1920" s="21" t="s">
        <v>71</v>
      </c>
      <c r="E1920" s="22" t="s">
        <v>7935</v>
      </c>
      <c r="F1920" s="22" t="s">
        <v>7933</v>
      </c>
      <c r="G1920" s="21" t="s">
        <v>7936</v>
      </c>
      <c r="H1920" s="21" t="s">
        <v>7937</v>
      </c>
      <c r="I1920" s="12" t="s">
        <v>8172</v>
      </c>
      <c r="J1920" s="12" t="s">
        <v>9499</v>
      </c>
      <c r="K1920" s="12"/>
      <c r="L1920" s="12" t="s">
        <v>11113</v>
      </c>
      <c r="M1920" s="12" t="s">
        <v>11114</v>
      </c>
    </row>
    <row r="1921" spans="1:13" ht="52.8">
      <c r="A1921" s="21" t="s">
        <v>7932</v>
      </c>
      <c r="B1921" s="21" t="s">
        <v>7933</v>
      </c>
      <c r="C1921" s="21" t="s">
        <v>7934</v>
      </c>
      <c r="D1921" s="21" t="s">
        <v>71</v>
      </c>
      <c r="E1921" s="22" t="s">
        <v>7935</v>
      </c>
      <c r="F1921" s="22" t="s">
        <v>7933</v>
      </c>
      <c r="G1921" s="21" t="s">
        <v>7936</v>
      </c>
      <c r="H1921" s="21" t="s">
        <v>7937</v>
      </c>
      <c r="I1921" s="12" t="s">
        <v>8173</v>
      </c>
      <c r="J1921" s="12" t="s">
        <v>9500</v>
      </c>
      <c r="K1921" s="12"/>
      <c r="L1921" s="12" t="s">
        <v>11115</v>
      </c>
      <c r="M1921" s="12" t="s">
        <v>11116</v>
      </c>
    </row>
    <row r="1922" spans="1:13" ht="52.8">
      <c r="A1922" s="21" t="s">
        <v>7932</v>
      </c>
      <c r="B1922" s="21" t="s">
        <v>7933</v>
      </c>
      <c r="C1922" s="21" t="s">
        <v>7934</v>
      </c>
      <c r="D1922" s="21" t="s">
        <v>71</v>
      </c>
      <c r="E1922" s="22" t="s">
        <v>7935</v>
      </c>
      <c r="F1922" s="22" t="s">
        <v>7933</v>
      </c>
      <c r="G1922" s="21" t="s">
        <v>7936</v>
      </c>
      <c r="H1922" s="21" t="s">
        <v>7937</v>
      </c>
      <c r="I1922" s="12" t="s">
        <v>8174</v>
      </c>
      <c r="J1922" s="12" t="s">
        <v>9501</v>
      </c>
      <c r="K1922" s="12"/>
      <c r="L1922" s="12" t="s">
        <v>11117</v>
      </c>
      <c r="M1922" s="12" t="s">
        <v>11118</v>
      </c>
    </row>
    <row r="1923" spans="1:13" ht="52.8">
      <c r="A1923" s="21" t="s">
        <v>7932</v>
      </c>
      <c r="B1923" s="21" t="s">
        <v>7933</v>
      </c>
      <c r="C1923" s="21" t="s">
        <v>7934</v>
      </c>
      <c r="D1923" s="21" t="s">
        <v>71</v>
      </c>
      <c r="E1923" s="22" t="s">
        <v>7935</v>
      </c>
      <c r="F1923" s="22" t="s">
        <v>7933</v>
      </c>
      <c r="G1923" s="21" t="s">
        <v>7936</v>
      </c>
      <c r="H1923" s="21" t="s">
        <v>7937</v>
      </c>
      <c r="I1923" s="12" t="s">
        <v>8175</v>
      </c>
      <c r="J1923" s="12" t="s">
        <v>9502</v>
      </c>
      <c r="K1923" s="12"/>
      <c r="L1923" s="12" t="s">
        <v>11119</v>
      </c>
      <c r="M1923" s="12" t="s">
        <v>11120</v>
      </c>
    </row>
    <row r="1924" spans="1:13" ht="52.8">
      <c r="A1924" s="21" t="s">
        <v>7932</v>
      </c>
      <c r="B1924" s="21" t="s">
        <v>7933</v>
      </c>
      <c r="C1924" s="21" t="s">
        <v>7934</v>
      </c>
      <c r="D1924" s="21" t="s">
        <v>71</v>
      </c>
      <c r="E1924" s="22" t="s">
        <v>7935</v>
      </c>
      <c r="F1924" s="22" t="s">
        <v>7933</v>
      </c>
      <c r="G1924" s="21" t="s">
        <v>7936</v>
      </c>
      <c r="H1924" s="21" t="s">
        <v>7937</v>
      </c>
      <c r="I1924" s="12" t="s">
        <v>8176</v>
      </c>
      <c r="J1924" s="12" t="s">
        <v>9503</v>
      </c>
      <c r="K1924" s="12" t="s">
        <v>11121</v>
      </c>
      <c r="L1924" s="12" t="s">
        <v>11122</v>
      </c>
      <c r="M1924" s="12" t="s">
        <v>11121</v>
      </c>
    </row>
    <row r="1925" spans="1:13" ht="52.8">
      <c r="A1925" s="21" t="s">
        <v>7932</v>
      </c>
      <c r="B1925" s="21" t="s">
        <v>7933</v>
      </c>
      <c r="C1925" s="21" t="s">
        <v>7934</v>
      </c>
      <c r="D1925" s="21" t="s">
        <v>71</v>
      </c>
      <c r="E1925" s="22" t="s">
        <v>7935</v>
      </c>
      <c r="F1925" s="22" t="s">
        <v>7933</v>
      </c>
      <c r="G1925" s="21" t="s">
        <v>7936</v>
      </c>
      <c r="H1925" s="21" t="s">
        <v>7937</v>
      </c>
      <c r="I1925" s="12" t="s">
        <v>8177</v>
      </c>
      <c r="J1925" s="12" t="s">
        <v>9504</v>
      </c>
      <c r="K1925" s="12"/>
      <c r="L1925" s="12" t="s">
        <v>11123</v>
      </c>
      <c r="M1925" s="12" t="s">
        <v>11124</v>
      </c>
    </row>
    <row r="1926" spans="1:13" ht="52.8">
      <c r="A1926" s="21" t="s">
        <v>7932</v>
      </c>
      <c r="B1926" s="21" t="s">
        <v>7933</v>
      </c>
      <c r="C1926" s="21" t="s">
        <v>7934</v>
      </c>
      <c r="D1926" s="21" t="s">
        <v>71</v>
      </c>
      <c r="E1926" s="22" t="s">
        <v>7935</v>
      </c>
      <c r="F1926" s="22" t="s">
        <v>7933</v>
      </c>
      <c r="G1926" s="21" t="s">
        <v>7936</v>
      </c>
      <c r="H1926" s="21" t="s">
        <v>7937</v>
      </c>
      <c r="I1926" s="12" t="s">
        <v>8178</v>
      </c>
      <c r="J1926" s="12" t="s">
        <v>9505</v>
      </c>
      <c r="K1926" s="12" t="s">
        <v>11125</v>
      </c>
      <c r="L1926" s="12" t="s">
        <v>11126</v>
      </c>
      <c r="M1926" s="12" t="s">
        <v>11127</v>
      </c>
    </row>
    <row r="1927" spans="1:13" ht="52.8">
      <c r="A1927" s="21" t="s">
        <v>7932</v>
      </c>
      <c r="B1927" s="21" t="s">
        <v>7933</v>
      </c>
      <c r="C1927" s="21" t="s">
        <v>7934</v>
      </c>
      <c r="D1927" s="21" t="s">
        <v>71</v>
      </c>
      <c r="E1927" s="22" t="s">
        <v>7935</v>
      </c>
      <c r="F1927" s="22" t="s">
        <v>7933</v>
      </c>
      <c r="G1927" s="21" t="s">
        <v>7936</v>
      </c>
      <c r="H1927" s="21" t="s">
        <v>7937</v>
      </c>
      <c r="I1927" s="12" t="s">
        <v>8179</v>
      </c>
      <c r="J1927" s="12" t="s">
        <v>9506</v>
      </c>
      <c r="K1927" s="12"/>
      <c r="L1927" s="12" t="s">
        <v>11128</v>
      </c>
      <c r="M1927" s="12" t="s">
        <v>11129</v>
      </c>
    </row>
    <row r="1928" spans="1:13" ht="52.8">
      <c r="A1928" s="21" t="s">
        <v>7932</v>
      </c>
      <c r="B1928" s="21" t="s">
        <v>7933</v>
      </c>
      <c r="C1928" s="21" t="s">
        <v>7934</v>
      </c>
      <c r="D1928" s="21" t="s">
        <v>71</v>
      </c>
      <c r="E1928" s="22" t="s">
        <v>7935</v>
      </c>
      <c r="F1928" s="22" t="s">
        <v>7933</v>
      </c>
      <c r="G1928" s="21" t="s">
        <v>7936</v>
      </c>
      <c r="H1928" s="21" t="s">
        <v>7937</v>
      </c>
      <c r="I1928" s="12" t="s">
        <v>8180</v>
      </c>
      <c r="J1928" s="12" t="s">
        <v>9507</v>
      </c>
      <c r="K1928" s="12" t="s">
        <v>11130</v>
      </c>
      <c r="L1928" s="12" t="s">
        <v>11131</v>
      </c>
      <c r="M1928" s="12" t="s">
        <v>11130</v>
      </c>
    </row>
    <row r="1929" spans="1:13" ht="52.8">
      <c r="A1929" s="21" t="s">
        <v>7932</v>
      </c>
      <c r="B1929" s="21" t="s">
        <v>7933</v>
      </c>
      <c r="C1929" s="21" t="s">
        <v>7934</v>
      </c>
      <c r="D1929" s="21" t="s">
        <v>71</v>
      </c>
      <c r="E1929" s="22" t="s">
        <v>7935</v>
      </c>
      <c r="F1929" s="22" t="s">
        <v>7933</v>
      </c>
      <c r="G1929" s="21" t="s">
        <v>7936</v>
      </c>
      <c r="H1929" s="21" t="s">
        <v>7937</v>
      </c>
      <c r="I1929" s="12" t="s">
        <v>8181</v>
      </c>
      <c r="J1929" s="12" t="s">
        <v>9508</v>
      </c>
      <c r="K1929" s="12"/>
      <c r="L1929" s="12" t="s">
        <v>11132</v>
      </c>
      <c r="M1929" s="12" t="s">
        <v>11133</v>
      </c>
    </row>
    <row r="1930" spans="1:13" ht="52.8">
      <c r="A1930" s="21" t="s">
        <v>7932</v>
      </c>
      <c r="B1930" s="21" t="s">
        <v>7933</v>
      </c>
      <c r="C1930" s="21" t="s">
        <v>7934</v>
      </c>
      <c r="D1930" s="21" t="s">
        <v>71</v>
      </c>
      <c r="E1930" s="22" t="s">
        <v>7935</v>
      </c>
      <c r="F1930" s="22" t="s">
        <v>7933</v>
      </c>
      <c r="G1930" s="21" t="s">
        <v>7936</v>
      </c>
      <c r="H1930" s="21" t="s">
        <v>7937</v>
      </c>
      <c r="I1930" s="12" t="s">
        <v>8182</v>
      </c>
      <c r="J1930" s="12" t="s">
        <v>9509</v>
      </c>
      <c r="K1930" s="12"/>
      <c r="L1930" s="12" t="s">
        <v>11134</v>
      </c>
      <c r="M1930" s="12" t="s">
        <v>11135</v>
      </c>
    </row>
    <row r="1931" spans="1:13" ht="52.8">
      <c r="A1931" s="21" t="s">
        <v>7932</v>
      </c>
      <c r="B1931" s="21" t="s">
        <v>7933</v>
      </c>
      <c r="C1931" s="21" t="s">
        <v>7934</v>
      </c>
      <c r="D1931" s="21" t="s">
        <v>71</v>
      </c>
      <c r="E1931" s="22" t="s">
        <v>7935</v>
      </c>
      <c r="F1931" s="22" t="s">
        <v>7933</v>
      </c>
      <c r="G1931" s="21" t="s">
        <v>7936</v>
      </c>
      <c r="H1931" s="21" t="s">
        <v>7937</v>
      </c>
      <c r="I1931" s="12" t="s">
        <v>8183</v>
      </c>
      <c r="J1931" s="12" t="s">
        <v>9510</v>
      </c>
      <c r="K1931" s="12" t="s">
        <v>11136</v>
      </c>
      <c r="L1931" s="12" t="s">
        <v>11137</v>
      </c>
      <c r="M1931" s="12" t="s">
        <v>11138</v>
      </c>
    </row>
    <row r="1932" spans="1:13" ht="52.8">
      <c r="A1932" s="21" t="s">
        <v>7932</v>
      </c>
      <c r="B1932" s="21" t="s">
        <v>7933</v>
      </c>
      <c r="C1932" s="21" t="s">
        <v>7934</v>
      </c>
      <c r="D1932" s="21" t="s">
        <v>71</v>
      </c>
      <c r="E1932" s="22" t="s">
        <v>7935</v>
      </c>
      <c r="F1932" s="22" t="s">
        <v>7933</v>
      </c>
      <c r="G1932" s="21" t="s">
        <v>7936</v>
      </c>
      <c r="H1932" s="21" t="s">
        <v>7937</v>
      </c>
      <c r="I1932" s="12" t="s">
        <v>8184</v>
      </c>
      <c r="J1932" s="12" t="s">
        <v>9511</v>
      </c>
      <c r="K1932" s="12"/>
      <c r="L1932" s="12" t="s">
        <v>11139</v>
      </c>
      <c r="M1932" s="12" t="s">
        <v>11140</v>
      </c>
    </row>
    <row r="1933" spans="1:13" ht="52.8">
      <c r="A1933" s="21" t="s">
        <v>7932</v>
      </c>
      <c r="B1933" s="21" t="s">
        <v>7933</v>
      </c>
      <c r="C1933" s="21" t="s">
        <v>7934</v>
      </c>
      <c r="D1933" s="21" t="s">
        <v>71</v>
      </c>
      <c r="E1933" s="22" t="s">
        <v>7935</v>
      </c>
      <c r="F1933" s="22" t="s">
        <v>7933</v>
      </c>
      <c r="G1933" s="21" t="s">
        <v>7936</v>
      </c>
      <c r="H1933" s="21" t="s">
        <v>7937</v>
      </c>
      <c r="I1933" s="12" t="s">
        <v>8185</v>
      </c>
      <c r="J1933" s="12" t="s">
        <v>9512</v>
      </c>
      <c r="K1933" s="12" t="s">
        <v>11141</v>
      </c>
      <c r="L1933" s="12" t="s">
        <v>11142</v>
      </c>
      <c r="M1933" s="12" t="s">
        <v>11141</v>
      </c>
    </row>
    <row r="1934" spans="1:13" ht="66">
      <c r="A1934" s="21" t="s">
        <v>7932</v>
      </c>
      <c r="B1934" s="21" t="s">
        <v>7933</v>
      </c>
      <c r="C1934" s="21" t="s">
        <v>7934</v>
      </c>
      <c r="D1934" s="21" t="s">
        <v>71</v>
      </c>
      <c r="E1934" s="22" t="s">
        <v>7935</v>
      </c>
      <c r="F1934" s="22" t="s">
        <v>7933</v>
      </c>
      <c r="G1934" s="21" t="s">
        <v>7936</v>
      </c>
      <c r="H1934" s="21" t="s">
        <v>7937</v>
      </c>
      <c r="I1934" s="12" t="s">
        <v>8186</v>
      </c>
      <c r="J1934" s="12" t="s">
        <v>9513</v>
      </c>
      <c r="K1934" s="12"/>
      <c r="L1934" s="12" t="s">
        <v>11143</v>
      </c>
      <c r="M1934" s="12" t="s">
        <v>11144</v>
      </c>
    </row>
    <row r="1935" spans="1:13" ht="52.8">
      <c r="A1935" s="21" t="s">
        <v>7932</v>
      </c>
      <c r="B1935" s="21" t="s">
        <v>7933</v>
      </c>
      <c r="C1935" s="21" t="s">
        <v>7934</v>
      </c>
      <c r="D1935" s="21" t="s">
        <v>71</v>
      </c>
      <c r="E1935" s="22" t="s">
        <v>7935</v>
      </c>
      <c r="F1935" s="22" t="s">
        <v>7933</v>
      </c>
      <c r="G1935" s="21" t="s">
        <v>7936</v>
      </c>
      <c r="H1935" s="21" t="s">
        <v>7937</v>
      </c>
      <c r="I1935" s="12" t="s">
        <v>8187</v>
      </c>
      <c r="J1935" s="12" t="s">
        <v>9514</v>
      </c>
      <c r="K1935" s="12"/>
      <c r="L1935" s="12" t="s">
        <v>11145</v>
      </c>
      <c r="M1935" s="12" t="s">
        <v>11146</v>
      </c>
    </row>
    <row r="1936" spans="1:13" ht="105.6">
      <c r="A1936" s="21" t="s">
        <v>7932</v>
      </c>
      <c r="B1936" s="21" t="s">
        <v>7933</v>
      </c>
      <c r="C1936" s="21" t="s">
        <v>7934</v>
      </c>
      <c r="D1936" s="21" t="s">
        <v>71</v>
      </c>
      <c r="E1936" s="22" t="s">
        <v>7935</v>
      </c>
      <c r="F1936" s="22" t="s">
        <v>7933</v>
      </c>
      <c r="G1936" s="21" t="s">
        <v>7936</v>
      </c>
      <c r="H1936" s="21" t="s">
        <v>7937</v>
      </c>
      <c r="I1936" s="12" t="s">
        <v>8188</v>
      </c>
      <c r="J1936" s="12" t="s">
        <v>9515</v>
      </c>
      <c r="K1936" s="12"/>
      <c r="L1936" s="12" t="s">
        <v>11147</v>
      </c>
      <c r="M1936" s="12" t="s">
        <v>11148</v>
      </c>
    </row>
    <row r="1937" spans="1:13" ht="52.8">
      <c r="A1937" s="21" t="s">
        <v>7932</v>
      </c>
      <c r="B1937" s="21" t="s">
        <v>7933</v>
      </c>
      <c r="C1937" s="21" t="s">
        <v>7934</v>
      </c>
      <c r="D1937" s="21" t="s">
        <v>71</v>
      </c>
      <c r="E1937" s="22" t="s">
        <v>7935</v>
      </c>
      <c r="F1937" s="22" t="s">
        <v>7933</v>
      </c>
      <c r="G1937" s="21" t="s">
        <v>7936</v>
      </c>
      <c r="H1937" s="21" t="s">
        <v>7937</v>
      </c>
      <c r="I1937" s="12" t="s">
        <v>8189</v>
      </c>
      <c r="J1937" s="12" t="s">
        <v>9516</v>
      </c>
      <c r="K1937" s="12"/>
      <c r="L1937" s="12" t="s">
        <v>11149</v>
      </c>
      <c r="M1937" s="12" t="s">
        <v>11150</v>
      </c>
    </row>
    <row r="1938" spans="1:13" ht="52.8">
      <c r="A1938" s="21" t="s">
        <v>7932</v>
      </c>
      <c r="B1938" s="21" t="s">
        <v>7933</v>
      </c>
      <c r="C1938" s="21" t="s">
        <v>7934</v>
      </c>
      <c r="D1938" s="21" t="s">
        <v>71</v>
      </c>
      <c r="E1938" s="22" t="s">
        <v>7935</v>
      </c>
      <c r="F1938" s="22" t="s">
        <v>7933</v>
      </c>
      <c r="G1938" s="21" t="s">
        <v>7936</v>
      </c>
      <c r="H1938" s="21" t="s">
        <v>7937</v>
      </c>
      <c r="I1938" s="12" t="s">
        <v>3485</v>
      </c>
      <c r="J1938" s="12" t="s">
        <v>9517</v>
      </c>
      <c r="K1938" s="12"/>
      <c r="L1938" s="12" t="s">
        <v>11151</v>
      </c>
      <c r="M1938" s="12" t="s">
        <v>11152</v>
      </c>
    </row>
    <row r="1939" spans="1:13" ht="52.8">
      <c r="A1939" s="21" t="s">
        <v>7932</v>
      </c>
      <c r="B1939" s="21" t="s">
        <v>7933</v>
      </c>
      <c r="C1939" s="21" t="s">
        <v>7934</v>
      </c>
      <c r="D1939" s="21" t="s">
        <v>71</v>
      </c>
      <c r="E1939" s="22" t="s">
        <v>7935</v>
      </c>
      <c r="F1939" s="22" t="s">
        <v>7933</v>
      </c>
      <c r="G1939" s="21" t="s">
        <v>7936</v>
      </c>
      <c r="H1939" s="21" t="s">
        <v>7937</v>
      </c>
      <c r="I1939" s="12" t="s">
        <v>8190</v>
      </c>
      <c r="J1939" s="12" t="s">
        <v>9518</v>
      </c>
      <c r="K1939" s="12"/>
      <c r="L1939" s="12" t="s">
        <v>11153</v>
      </c>
      <c r="M1939" s="12" t="s">
        <v>11154</v>
      </c>
    </row>
    <row r="1940" spans="1:13" ht="52.8">
      <c r="A1940" s="21" t="s">
        <v>7932</v>
      </c>
      <c r="B1940" s="21" t="s">
        <v>7933</v>
      </c>
      <c r="C1940" s="21" t="s">
        <v>7934</v>
      </c>
      <c r="D1940" s="21" t="s">
        <v>71</v>
      </c>
      <c r="E1940" s="22" t="s">
        <v>7935</v>
      </c>
      <c r="F1940" s="22" t="s">
        <v>7933</v>
      </c>
      <c r="G1940" s="21" t="s">
        <v>7936</v>
      </c>
      <c r="H1940" s="21" t="s">
        <v>7937</v>
      </c>
      <c r="I1940" s="12" t="s">
        <v>8191</v>
      </c>
      <c r="J1940" s="12" t="s">
        <v>9519</v>
      </c>
      <c r="K1940" s="12"/>
      <c r="L1940" s="12" t="s">
        <v>11155</v>
      </c>
      <c r="M1940" s="12" t="s">
        <v>11156</v>
      </c>
    </row>
    <row r="1941" spans="1:13" ht="145.19999999999999">
      <c r="A1941" s="21" t="s">
        <v>7932</v>
      </c>
      <c r="B1941" s="21" t="s">
        <v>7933</v>
      </c>
      <c r="C1941" s="21" t="s">
        <v>7934</v>
      </c>
      <c r="D1941" s="21" t="s">
        <v>71</v>
      </c>
      <c r="E1941" s="22" t="s">
        <v>7935</v>
      </c>
      <c r="F1941" s="22" t="s">
        <v>7933</v>
      </c>
      <c r="G1941" s="21" t="s">
        <v>7936</v>
      </c>
      <c r="H1941" s="21" t="s">
        <v>7937</v>
      </c>
      <c r="I1941" s="12" t="s">
        <v>8192</v>
      </c>
      <c r="J1941" s="12" t="s">
        <v>9520</v>
      </c>
      <c r="K1941" s="12"/>
      <c r="L1941" s="12" t="s">
        <v>11157</v>
      </c>
      <c r="M1941" s="12" t="s">
        <v>11158</v>
      </c>
    </row>
    <row r="1942" spans="1:13" ht="52.8">
      <c r="A1942" s="21" t="s">
        <v>7932</v>
      </c>
      <c r="B1942" s="21" t="s">
        <v>7933</v>
      </c>
      <c r="C1942" s="21" t="s">
        <v>7934</v>
      </c>
      <c r="D1942" s="21" t="s">
        <v>71</v>
      </c>
      <c r="E1942" s="22" t="s">
        <v>7935</v>
      </c>
      <c r="F1942" s="22" t="s">
        <v>7933</v>
      </c>
      <c r="G1942" s="21" t="s">
        <v>7936</v>
      </c>
      <c r="H1942" s="21" t="s">
        <v>7937</v>
      </c>
      <c r="I1942" s="12" t="s">
        <v>8193</v>
      </c>
      <c r="J1942" s="12" t="s">
        <v>9521</v>
      </c>
      <c r="K1942" s="12" t="s">
        <v>11159</v>
      </c>
      <c r="L1942" s="12" t="s">
        <v>11160</v>
      </c>
      <c r="M1942" s="12" t="s">
        <v>11161</v>
      </c>
    </row>
    <row r="1943" spans="1:13" ht="52.8">
      <c r="A1943" s="21" t="s">
        <v>7932</v>
      </c>
      <c r="B1943" s="21" t="s">
        <v>7933</v>
      </c>
      <c r="C1943" s="21" t="s">
        <v>7934</v>
      </c>
      <c r="D1943" s="21" t="s">
        <v>71</v>
      </c>
      <c r="E1943" s="22" t="s">
        <v>7935</v>
      </c>
      <c r="F1943" s="22" t="s">
        <v>7933</v>
      </c>
      <c r="G1943" s="21" t="s">
        <v>7936</v>
      </c>
      <c r="H1943" s="21" t="s">
        <v>7937</v>
      </c>
      <c r="I1943" s="12" t="s">
        <v>8194</v>
      </c>
      <c r="J1943" s="12" t="s">
        <v>9522</v>
      </c>
      <c r="K1943" s="12"/>
      <c r="L1943" s="12" t="s">
        <v>11162</v>
      </c>
      <c r="M1943" s="12" t="s">
        <v>11163</v>
      </c>
    </row>
    <row r="1944" spans="1:13" ht="52.8">
      <c r="A1944" s="21" t="s">
        <v>7932</v>
      </c>
      <c r="B1944" s="21" t="s">
        <v>7933</v>
      </c>
      <c r="C1944" s="21" t="s">
        <v>7934</v>
      </c>
      <c r="D1944" s="21" t="s">
        <v>71</v>
      </c>
      <c r="E1944" s="22" t="s">
        <v>7935</v>
      </c>
      <c r="F1944" s="22" t="s">
        <v>7933</v>
      </c>
      <c r="G1944" s="21" t="s">
        <v>7936</v>
      </c>
      <c r="H1944" s="21" t="s">
        <v>7937</v>
      </c>
      <c r="I1944" s="12" t="s">
        <v>8195</v>
      </c>
      <c r="J1944" s="12" t="s">
        <v>9523</v>
      </c>
      <c r="K1944" s="12"/>
      <c r="L1944" s="12" t="s">
        <v>11164</v>
      </c>
      <c r="M1944" s="12" t="s">
        <v>11165</v>
      </c>
    </row>
    <row r="1945" spans="1:13" ht="52.8">
      <c r="A1945" s="21" t="s">
        <v>7932</v>
      </c>
      <c r="B1945" s="21" t="s">
        <v>7933</v>
      </c>
      <c r="C1945" s="21" t="s">
        <v>7934</v>
      </c>
      <c r="D1945" s="21" t="s">
        <v>71</v>
      </c>
      <c r="E1945" s="22" t="s">
        <v>7935</v>
      </c>
      <c r="F1945" s="22" t="s">
        <v>7933</v>
      </c>
      <c r="G1945" s="21" t="s">
        <v>7936</v>
      </c>
      <c r="H1945" s="21" t="s">
        <v>7937</v>
      </c>
      <c r="I1945" s="12" t="s">
        <v>8196</v>
      </c>
      <c r="J1945" s="12" t="s">
        <v>9524</v>
      </c>
      <c r="K1945" s="12"/>
      <c r="L1945" s="12" t="s">
        <v>11166</v>
      </c>
      <c r="M1945" s="12" t="s">
        <v>11167</v>
      </c>
    </row>
    <row r="1946" spans="1:13" ht="52.8">
      <c r="A1946" s="21" t="s">
        <v>7932</v>
      </c>
      <c r="B1946" s="21" t="s">
        <v>7933</v>
      </c>
      <c r="C1946" s="21" t="s">
        <v>7934</v>
      </c>
      <c r="D1946" s="21" t="s">
        <v>71</v>
      </c>
      <c r="E1946" s="22" t="s">
        <v>7935</v>
      </c>
      <c r="F1946" s="22" t="s">
        <v>7933</v>
      </c>
      <c r="G1946" s="21" t="s">
        <v>7936</v>
      </c>
      <c r="H1946" s="21" t="s">
        <v>7937</v>
      </c>
      <c r="I1946" s="12" t="s">
        <v>8197</v>
      </c>
      <c r="J1946" s="12" t="s">
        <v>9525</v>
      </c>
      <c r="K1946" s="12" t="s">
        <v>11168</v>
      </c>
      <c r="L1946" s="12" t="s">
        <v>11169</v>
      </c>
      <c r="M1946" s="12" t="s">
        <v>11170</v>
      </c>
    </row>
    <row r="1947" spans="1:13" ht="52.8">
      <c r="A1947" s="21" t="s">
        <v>7932</v>
      </c>
      <c r="B1947" s="21" t="s">
        <v>7933</v>
      </c>
      <c r="C1947" s="21" t="s">
        <v>7934</v>
      </c>
      <c r="D1947" s="21" t="s">
        <v>71</v>
      </c>
      <c r="E1947" s="22" t="s">
        <v>7935</v>
      </c>
      <c r="F1947" s="22" t="s">
        <v>7933</v>
      </c>
      <c r="G1947" s="21" t="s">
        <v>7936</v>
      </c>
      <c r="H1947" s="21" t="s">
        <v>7937</v>
      </c>
      <c r="I1947" s="12" t="s">
        <v>8198</v>
      </c>
      <c r="J1947" s="12" t="s">
        <v>9526</v>
      </c>
      <c r="K1947" s="12" t="s">
        <v>11171</v>
      </c>
      <c r="L1947" s="12" t="s">
        <v>11172</v>
      </c>
      <c r="M1947" s="12" t="s">
        <v>11173</v>
      </c>
    </row>
    <row r="1948" spans="1:13" ht="52.8">
      <c r="A1948" s="21" t="s">
        <v>7932</v>
      </c>
      <c r="B1948" s="21" t="s">
        <v>7933</v>
      </c>
      <c r="C1948" s="21" t="s">
        <v>7934</v>
      </c>
      <c r="D1948" s="21" t="s">
        <v>71</v>
      </c>
      <c r="E1948" s="22" t="s">
        <v>7935</v>
      </c>
      <c r="F1948" s="22" t="s">
        <v>7933</v>
      </c>
      <c r="G1948" s="21" t="s">
        <v>7936</v>
      </c>
      <c r="H1948" s="21" t="s">
        <v>7937</v>
      </c>
      <c r="I1948" s="12" t="s">
        <v>8199</v>
      </c>
      <c r="J1948" s="12" t="s">
        <v>9527</v>
      </c>
      <c r="K1948" s="12" t="s">
        <v>11174</v>
      </c>
      <c r="L1948" s="12" t="s">
        <v>11175</v>
      </c>
      <c r="M1948" s="12" t="s">
        <v>11176</v>
      </c>
    </row>
    <row r="1949" spans="1:13" ht="52.8">
      <c r="A1949" s="21" t="s">
        <v>7932</v>
      </c>
      <c r="B1949" s="21" t="s">
        <v>7933</v>
      </c>
      <c r="C1949" s="21" t="s">
        <v>7934</v>
      </c>
      <c r="D1949" s="21" t="s">
        <v>71</v>
      </c>
      <c r="E1949" s="22" t="s">
        <v>7935</v>
      </c>
      <c r="F1949" s="22" t="s">
        <v>7933</v>
      </c>
      <c r="G1949" s="21" t="s">
        <v>7936</v>
      </c>
      <c r="H1949" s="21" t="s">
        <v>7937</v>
      </c>
      <c r="I1949" s="12" t="s">
        <v>8200</v>
      </c>
      <c r="J1949" s="12" t="s">
        <v>9528</v>
      </c>
      <c r="K1949" s="12" t="s">
        <v>11177</v>
      </c>
      <c r="L1949" s="12" t="s">
        <v>11178</v>
      </c>
      <c r="M1949" s="12" t="s">
        <v>11179</v>
      </c>
    </row>
    <row r="1950" spans="1:13" ht="52.8">
      <c r="A1950" s="21" t="s">
        <v>7932</v>
      </c>
      <c r="B1950" s="21" t="s">
        <v>7933</v>
      </c>
      <c r="C1950" s="21" t="s">
        <v>7934</v>
      </c>
      <c r="D1950" s="21" t="s">
        <v>71</v>
      </c>
      <c r="E1950" s="22" t="s">
        <v>7935</v>
      </c>
      <c r="F1950" s="22" t="s">
        <v>7933</v>
      </c>
      <c r="G1950" s="21" t="s">
        <v>7936</v>
      </c>
      <c r="H1950" s="21" t="s">
        <v>7937</v>
      </c>
      <c r="I1950" s="12" t="s">
        <v>8201</v>
      </c>
      <c r="J1950" s="12" t="s">
        <v>9529</v>
      </c>
      <c r="K1950" s="12" t="s">
        <v>11180</v>
      </c>
      <c r="L1950" s="12" t="s">
        <v>11181</v>
      </c>
      <c r="M1950" s="12" t="s">
        <v>11182</v>
      </c>
    </row>
    <row r="1951" spans="1:13" ht="52.8">
      <c r="A1951" s="21" t="s">
        <v>7932</v>
      </c>
      <c r="B1951" s="21" t="s">
        <v>7933</v>
      </c>
      <c r="C1951" s="21" t="s">
        <v>7934</v>
      </c>
      <c r="D1951" s="21" t="s">
        <v>71</v>
      </c>
      <c r="E1951" s="22" t="s">
        <v>7935</v>
      </c>
      <c r="F1951" s="22" t="s">
        <v>7933</v>
      </c>
      <c r="G1951" s="21" t="s">
        <v>7936</v>
      </c>
      <c r="H1951" s="21" t="s">
        <v>7937</v>
      </c>
      <c r="I1951" s="12" t="s">
        <v>8202</v>
      </c>
      <c r="J1951" s="12" t="s">
        <v>9530</v>
      </c>
      <c r="K1951" s="12" t="s">
        <v>11183</v>
      </c>
      <c r="L1951" s="12" t="s">
        <v>11184</v>
      </c>
      <c r="M1951" s="12" t="s">
        <v>11185</v>
      </c>
    </row>
    <row r="1952" spans="1:13" ht="52.8">
      <c r="A1952" s="21" t="s">
        <v>7932</v>
      </c>
      <c r="B1952" s="21" t="s">
        <v>7933</v>
      </c>
      <c r="C1952" s="21" t="s">
        <v>7934</v>
      </c>
      <c r="D1952" s="21" t="s">
        <v>71</v>
      </c>
      <c r="E1952" s="22" t="s">
        <v>7935</v>
      </c>
      <c r="F1952" s="22" t="s">
        <v>7933</v>
      </c>
      <c r="G1952" s="21" t="s">
        <v>7936</v>
      </c>
      <c r="H1952" s="21" t="s">
        <v>7937</v>
      </c>
      <c r="I1952" s="12" t="s">
        <v>8203</v>
      </c>
      <c r="J1952" s="12" t="s">
        <v>9531</v>
      </c>
      <c r="K1952" s="12" t="s">
        <v>11186</v>
      </c>
      <c r="L1952" s="12" t="s">
        <v>11187</v>
      </c>
      <c r="M1952" s="12" t="s">
        <v>11188</v>
      </c>
    </row>
    <row r="1953" spans="1:13" ht="52.8">
      <c r="A1953" s="21" t="s">
        <v>7932</v>
      </c>
      <c r="B1953" s="21" t="s">
        <v>7933</v>
      </c>
      <c r="C1953" s="21" t="s">
        <v>7934</v>
      </c>
      <c r="D1953" s="21" t="s">
        <v>71</v>
      </c>
      <c r="E1953" s="22" t="s">
        <v>7935</v>
      </c>
      <c r="F1953" s="22" t="s">
        <v>7933</v>
      </c>
      <c r="G1953" s="21" t="s">
        <v>7936</v>
      </c>
      <c r="H1953" s="21" t="s">
        <v>7937</v>
      </c>
      <c r="I1953" s="12" t="s">
        <v>8204</v>
      </c>
      <c r="J1953" s="12" t="s">
        <v>9532</v>
      </c>
      <c r="K1953" s="12" t="s">
        <v>11189</v>
      </c>
      <c r="L1953" s="12" t="s">
        <v>11190</v>
      </c>
      <c r="M1953" s="12" t="s">
        <v>11191</v>
      </c>
    </row>
    <row r="1954" spans="1:13" ht="52.8">
      <c r="A1954" s="21" t="s">
        <v>7932</v>
      </c>
      <c r="B1954" s="21" t="s">
        <v>7933</v>
      </c>
      <c r="C1954" s="21" t="s">
        <v>7934</v>
      </c>
      <c r="D1954" s="21" t="s">
        <v>71</v>
      </c>
      <c r="E1954" s="22" t="s">
        <v>7935</v>
      </c>
      <c r="F1954" s="22" t="s">
        <v>7933</v>
      </c>
      <c r="G1954" s="21" t="s">
        <v>7936</v>
      </c>
      <c r="H1954" s="21" t="s">
        <v>7937</v>
      </c>
      <c r="I1954" s="12" t="s">
        <v>8205</v>
      </c>
      <c r="J1954" s="12" t="s">
        <v>9533</v>
      </c>
      <c r="K1954" s="12" t="s">
        <v>11192</v>
      </c>
      <c r="L1954" s="12" t="s">
        <v>11193</v>
      </c>
      <c r="M1954" s="12" t="s">
        <v>11194</v>
      </c>
    </row>
    <row r="1955" spans="1:13" ht="52.8">
      <c r="A1955" s="21" t="s">
        <v>7932</v>
      </c>
      <c r="B1955" s="21" t="s">
        <v>7933</v>
      </c>
      <c r="C1955" s="21" t="s">
        <v>7934</v>
      </c>
      <c r="D1955" s="21" t="s">
        <v>71</v>
      </c>
      <c r="E1955" s="22" t="s">
        <v>7935</v>
      </c>
      <c r="F1955" s="22" t="s">
        <v>7933</v>
      </c>
      <c r="G1955" s="21" t="s">
        <v>7936</v>
      </c>
      <c r="H1955" s="21" t="s">
        <v>7937</v>
      </c>
      <c r="I1955" s="12" t="s">
        <v>8206</v>
      </c>
      <c r="J1955" s="12" t="s">
        <v>9534</v>
      </c>
      <c r="K1955" s="12" t="s">
        <v>11195</v>
      </c>
      <c r="L1955" s="12" t="s">
        <v>11196</v>
      </c>
      <c r="M1955" s="12" t="s">
        <v>11197</v>
      </c>
    </row>
    <row r="1956" spans="1:13" ht="52.8">
      <c r="A1956" s="21" t="s">
        <v>7932</v>
      </c>
      <c r="B1956" s="21" t="s">
        <v>7933</v>
      </c>
      <c r="C1956" s="21" t="s">
        <v>7934</v>
      </c>
      <c r="D1956" s="21" t="s">
        <v>71</v>
      </c>
      <c r="E1956" s="22" t="s">
        <v>7935</v>
      </c>
      <c r="F1956" s="22" t="s">
        <v>7933</v>
      </c>
      <c r="G1956" s="21" t="s">
        <v>7936</v>
      </c>
      <c r="H1956" s="21" t="s">
        <v>7937</v>
      </c>
      <c r="I1956" s="12" t="s">
        <v>8207</v>
      </c>
      <c r="J1956" s="12" t="s">
        <v>9535</v>
      </c>
      <c r="K1956" s="12" t="s">
        <v>11198</v>
      </c>
      <c r="L1956" s="12" t="s">
        <v>11199</v>
      </c>
      <c r="M1956" s="12" t="s">
        <v>11200</v>
      </c>
    </row>
    <row r="1957" spans="1:13" ht="52.8">
      <c r="A1957" s="21" t="s">
        <v>7932</v>
      </c>
      <c r="B1957" s="21" t="s">
        <v>7933</v>
      </c>
      <c r="C1957" s="21" t="s">
        <v>7934</v>
      </c>
      <c r="D1957" s="21" t="s">
        <v>71</v>
      </c>
      <c r="E1957" s="22" t="s">
        <v>7935</v>
      </c>
      <c r="F1957" s="22" t="s">
        <v>7933</v>
      </c>
      <c r="G1957" s="21" t="s">
        <v>7936</v>
      </c>
      <c r="H1957" s="21" t="s">
        <v>7937</v>
      </c>
      <c r="I1957" s="12" t="s">
        <v>8208</v>
      </c>
      <c r="J1957" s="12" t="s">
        <v>9536</v>
      </c>
      <c r="K1957" s="12" t="s">
        <v>11201</v>
      </c>
      <c r="L1957" s="12" t="s">
        <v>11202</v>
      </c>
      <c r="M1957" s="12" t="s">
        <v>11203</v>
      </c>
    </row>
    <row r="1958" spans="1:13" ht="52.8">
      <c r="A1958" s="21" t="s">
        <v>7932</v>
      </c>
      <c r="B1958" s="21" t="s">
        <v>7933</v>
      </c>
      <c r="C1958" s="21" t="s">
        <v>7934</v>
      </c>
      <c r="D1958" s="21" t="s">
        <v>71</v>
      </c>
      <c r="E1958" s="22" t="s">
        <v>7935</v>
      </c>
      <c r="F1958" s="22" t="s">
        <v>7933</v>
      </c>
      <c r="G1958" s="21" t="s">
        <v>7936</v>
      </c>
      <c r="H1958" s="21" t="s">
        <v>7937</v>
      </c>
      <c r="I1958" s="12" t="s">
        <v>8209</v>
      </c>
      <c r="J1958" s="12" t="s">
        <v>9537</v>
      </c>
      <c r="K1958" s="12" t="s">
        <v>11204</v>
      </c>
      <c r="L1958" s="12" t="s">
        <v>11205</v>
      </c>
      <c r="M1958" s="12" t="s">
        <v>11206</v>
      </c>
    </row>
    <row r="1959" spans="1:13" ht="52.8">
      <c r="A1959" s="21" t="s">
        <v>7932</v>
      </c>
      <c r="B1959" s="21" t="s">
        <v>7933</v>
      </c>
      <c r="C1959" s="21" t="s">
        <v>7934</v>
      </c>
      <c r="D1959" s="21" t="s">
        <v>71</v>
      </c>
      <c r="E1959" s="22" t="s">
        <v>7935</v>
      </c>
      <c r="F1959" s="22" t="s">
        <v>7933</v>
      </c>
      <c r="G1959" s="21" t="s">
        <v>7936</v>
      </c>
      <c r="H1959" s="21" t="s">
        <v>7937</v>
      </c>
      <c r="I1959" s="12" t="s">
        <v>8210</v>
      </c>
      <c r="J1959" s="12" t="s">
        <v>9538</v>
      </c>
      <c r="K1959" s="12"/>
      <c r="L1959" s="12" t="s">
        <v>11207</v>
      </c>
      <c r="M1959" s="12" t="s">
        <v>11208</v>
      </c>
    </row>
    <row r="1960" spans="1:13" ht="52.8">
      <c r="A1960" s="21" t="s">
        <v>7932</v>
      </c>
      <c r="B1960" s="21" t="s">
        <v>7933</v>
      </c>
      <c r="C1960" s="21" t="s">
        <v>7934</v>
      </c>
      <c r="D1960" s="21" t="s">
        <v>71</v>
      </c>
      <c r="E1960" s="22" t="s">
        <v>7935</v>
      </c>
      <c r="F1960" s="22" t="s">
        <v>7933</v>
      </c>
      <c r="G1960" s="21" t="s">
        <v>7936</v>
      </c>
      <c r="H1960" s="21" t="s">
        <v>7937</v>
      </c>
      <c r="I1960" s="12" t="s">
        <v>8211</v>
      </c>
      <c r="J1960" s="12" t="s">
        <v>9539</v>
      </c>
      <c r="K1960" s="12"/>
      <c r="L1960" s="12" t="s">
        <v>11209</v>
      </c>
      <c r="M1960" s="12" t="s">
        <v>11210</v>
      </c>
    </row>
    <row r="1961" spans="1:13" ht="52.8">
      <c r="A1961" s="21" t="s">
        <v>7932</v>
      </c>
      <c r="B1961" s="21" t="s">
        <v>7933</v>
      </c>
      <c r="C1961" s="21" t="s">
        <v>7934</v>
      </c>
      <c r="D1961" s="21" t="s">
        <v>71</v>
      </c>
      <c r="E1961" s="22" t="s">
        <v>7935</v>
      </c>
      <c r="F1961" s="22" t="s">
        <v>7933</v>
      </c>
      <c r="G1961" s="21" t="s">
        <v>7936</v>
      </c>
      <c r="H1961" s="21" t="s">
        <v>7937</v>
      </c>
      <c r="I1961" s="12" t="s">
        <v>8212</v>
      </c>
      <c r="J1961" s="12" t="s">
        <v>9540</v>
      </c>
      <c r="K1961" s="12"/>
      <c r="L1961" s="12" t="s">
        <v>11211</v>
      </c>
      <c r="M1961" s="12" t="s">
        <v>11212</v>
      </c>
    </row>
    <row r="1962" spans="1:13" ht="52.8">
      <c r="A1962" s="21" t="s">
        <v>7932</v>
      </c>
      <c r="B1962" s="21" t="s">
        <v>7933</v>
      </c>
      <c r="C1962" s="21" t="s">
        <v>7934</v>
      </c>
      <c r="D1962" s="21" t="s">
        <v>71</v>
      </c>
      <c r="E1962" s="22" t="s">
        <v>7935</v>
      </c>
      <c r="F1962" s="22" t="s">
        <v>7933</v>
      </c>
      <c r="G1962" s="21" t="s">
        <v>7936</v>
      </c>
      <c r="H1962" s="21" t="s">
        <v>7937</v>
      </c>
      <c r="I1962" s="12" t="s">
        <v>8213</v>
      </c>
      <c r="J1962" s="12" t="s">
        <v>9541</v>
      </c>
      <c r="K1962" s="12"/>
      <c r="L1962" s="12" t="s">
        <v>11213</v>
      </c>
      <c r="M1962" s="12" t="s">
        <v>11214</v>
      </c>
    </row>
    <row r="1963" spans="1:13" ht="52.8">
      <c r="A1963" s="21" t="s">
        <v>7932</v>
      </c>
      <c r="B1963" s="21" t="s">
        <v>7933</v>
      </c>
      <c r="C1963" s="21" t="s">
        <v>7934</v>
      </c>
      <c r="D1963" s="21" t="s">
        <v>71</v>
      </c>
      <c r="E1963" s="22" t="s">
        <v>7935</v>
      </c>
      <c r="F1963" s="22" t="s">
        <v>7933</v>
      </c>
      <c r="G1963" s="21" t="s">
        <v>7936</v>
      </c>
      <c r="H1963" s="21" t="s">
        <v>7937</v>
      </c>
      <c r="I1963" s="12" t="s">
        <v>8214</v>
      </c>
      <c r="J1963" s="12" t="s">
        <v>9542</v>
      </c>
      <c r="K1963" s="12"/>
      <c r="L1963" s="12" t="s">
        <v>11215</v>
      </c>
      <c r="M1963" s="12" t="s">
        <v>11216</v>
      </c>
    </row>
    <row r="1964" spans="1:13" ht="66">
      <c r="A1964" s="21" t="s">
        <v>7932</v>
      </c>
      <c r="B1964" s="21" t="s">
        <v>7933</v>
      </c>
      <c r="C1964" s="21" t="s">
        <v>7934</v>
      </c>
      <c r="D1964" s="21" t="s">
        <v>71</v>
      </c>
      <c r="E1964" s="22" t="s">
        <v>7935</v>
      </c>
      <c r="F1964" s="22" t="s">
        <v>7933</v>
      </c>
      <c r="G1964" s="21" t="s">
        <v>7936</v>
      </c>
      <c r="H1964" s="21" t="s">
        <v>7937</v>
      </c>
      <c r="I1964" s="12" t="s">
        <v>8215</v>
      </c>
      <c r="J1964" s="12" t="s">
        <v>9543</v>
      </c>
      <c r="K1964" s="12" t="s">
        <v>11217</v>
      </c>
      <c r="L1964" s="12" t="s">
        <v>11218</v>
      </c>
      <c r="M1964" s="12" t="s">
        <v>11219</v>
      </c>
    </row>
    <row r="1965" spans="1:13" ht="52.8">
      <c r="A1965" s="21" t="s">
        <v>7932</v>
      </c>
      <c r="B1965" s="21" t="s">
        <v>7933</v>
      </c>
      <c r="C1965" s="21" t="s">
        <v>7934</v>
      </c>
      <c r="D1965" s="21" t="s">
        <v>71</v>
      </c>
      <c r="E1965" s="22" t="s">
        <v>7935</v>
      </c>
      <c r="F1965" s="22" t="s">
        <v>7933</v>
      </c>
      <c r="G1965" s="21" t="s">
        <v>7936</v>
      </c>
      <c r="H1965" s="21" t="s">
        <v>7937</v>
      </c>
      <c r="I1965" s="12" t="s">
        <v>8216</v>
      </c>
      <c r="J1965" s="12" t="s">
        <v>9544</v>
      </c>
      <c r="K1965" s="12"/>
      <c r="L1965" s="12" t="s">
        <v>11220</v>
      </c>
      <c r="M1965" s="12" t="s">
        <v>11221</v>
      </c>
    </row>
    <row r="1966" spans="1:13" ht="52.8">
      <c r="A1966" s="21" t="s">
        <v>7932</v>
      </c>
      <c r="B1966" s="21" t="s">
        <v>7933</v>
      </c>
      <c r="C1966" s="21" t="s">
        <v>7934</v>
      </c>
      <c r="D1966" s="21" t="s">
        <v>71</v>
      </c>
      <c r="E1966" s="22" t="s">
        <v>7935</v>
      </c>
      <c r="F1966" s="22" t="s">
        <v>7933</v>
      </c>
      <c r="G1966" s="21" t="s">
        <v>7936</v>
      </c>
      <c r="H1966" s="21" t="s">
        <v>7937</v>
      </c>
      <c r="I1966" s="12" t="s">
        <v>8217</v>
      </c>
      <c r="J1966" s="12" t="s">
        <v>9545</v>
      </c>
      <c r="K1966" s="12"/>
      <c r="L1966" s="12" t="s">
        <v>11222</v>
      </c>
      <c r="M1966" s="12" t="s">
        <v>11223</v>
      </c>
    </row>
    <row r="1967" spans="1:13" ht="66">
      <c r="A1967" s="21" t="s">
        <v>7932</v>
      </c>
      <c r="B1967" s="21" t="s">
        <v>7933</v>
      </c>
      <c r="C1967" s="21" t="s">
        <v>7934</v>
      </c>
      <c r="D1967" s="21" t="s">
        <v>71</v>
      </c>
      <c r="E1967" s="22" t="s">
        <v>7935</v>
      </c>
      <c r="F1967" s="22" t="s">
        <v>7933</v>
      </c>
      <c r="G1967" s="21" t="s">
        <v>7936</v>
      </c>
      <c r="H1967" s="21" t="s">
        <v>7937</v>
      </c>
      <c r="I1967" s="12" t="s">
        <v>8218</v>
      </c>
      <c r="J1967" s="12" t="s">
        <v>9546</v>
      </c>
      <c r="K1967" s="12" t="s">
        <v>11224</v>
      </c>
      <c r="L1967" s="12" t="s">
        <v>11225</v>
      </c>
      <c r="M1967" s="12" t="s">
        <v>11226</v>
      </c>
    </row>
    <row r="1968" spans="1:13" ht="52.8">
      <c r="A1968" s="21" t="s">
        <v>7932</v>
      </c>
      <c r="B1968" s="21" t="s">
        <v>7933</v>
      </c>
      <c r="C1968" s="21" t="s">
        <v>7934</v>
      </c>
      <c r="D1968" s="21" t="s">
        <v>71</v>
      </c>
      <c r="E1968" s="22" t="s">
        <v>7935</v>
      </c>
      <c r="F1968" s="22" t="s">
        <v>7933</v>
      </c>
      <c r="G1968" s="21" t="s">
        <v>7936</v>
      </c>
      <c r="H1968" s="21" t="s">
        <v>7937</v>
      </c>
      <c r="I1968" s="12" t="s">
        <v>8219</v>
      </c>
      <c r="J1968" s="12" t="s">
        <v>9547</v>
      </c>
      <c r="K1968" s="12"/>
      <c r="L1968" s="12" t="s">
        <v>11227</v>
      </c>
      <c r="M1968" s="12" t="s">
        <v>11228</v>
      </c>
    </row>
    <row r="1969" spans="1:13" ht="52.8">
      <c r="A1969" s="21" t="s">
        <v>7932</v>
      </c>
      <c r="B1969" s="21" t="s">
        <v>7933</v>
      </c>
      <c r="C1969" s="21" t="s">
        <v>7934</v>
      </c>
      <c r="D1969" s="21" t="s">
        <v>71</v>
      </c>
      <c r="E1969" s="22" t="s">
        <v>7935</v>
      </c>
      <c r="F1969" s="22" t="s">
        <v>7933</v>
      </c>
      <c r="G1969" s="21" t="s">
        <v>7936</v>
      </c>
      <c r="H1969" s="21" t="s">
        <v>7937</v>
      </c>
      <c r="I1969" s="12" t="s">
        <v>8220</v>
      </c>
      <c r="J1969" s="12" t="s">
        <v>9548</v>
      </c>
      <c r="K1969" s="12"/>
      <c r="L1969" s="12" t="s">
        <v>11229</v>
      </c>
      <c r="M1969" s="12" t="s">
        <v>11230</v>
      </c>
    </row>
    <row r="1970" spans="1:13" ht="52.8">
      <c r="A1970" s="21" t="s">
        <v>7932</v>
      </c>
      <c r="B1970" s="21" t="s">
        <v>7933</v>
      </c>
      <c r="C1970" s="21" t="s">
        <v>7934</v>
      </c>
      <c r="D1970" s="21" t="s">
        <v>71</v>
      </c>
      <c r="E1970" s="22" t="s">
        <v>7935</v>
      </c>
      <c r="F1970" s="22" t="s">
        <v>7933</v>
      </c>
      <c r="G1970" s="21" t="s">
        <v>7936</v>
      </c>
      <c r="H1970" s="21" t="s">
        <v>7937</v>
      </c>
      <c r="I1970" s="12" t="s">
        <v>8221</v>
      </c>
      <c r="J1970" s="12" t="s">
        <v>9549</v>
      </c>
      <c r="K1970" s="12"/>
      <c r="L1970" s="12" t="s">
        <v>11231</v>
      </c>
      <c r="M1970" s="12" t="s">
        <v>11232</v>
      </c>
    </row>
    <row r="1971" spans="1:13" ht="66">
      <c r="A1971" s="21" t="s">
        <v>7932</v>
      </c>
      <c r="B1971" s="21" t="s">
        <v>7933</v>
      </c>
      <c r="C1971" s="21" t="s">
        <v>7934</v>
      </c>
      <c r="D1971" s="21" t="s">
        <v>71</v>
      </c>
      <c r="E1971" s="22" t="s">
        <v>7935</v>
      </c>
      <c r="F1971" s="22" t="s">
        <v>7933</v>
      </c>
      <c r="G1971" s="21" t="s">
        <v>7936</v>
      </c>
      <c r="H1971" s="21" t="s">
        <v>7937</v>
      </c>
      <c r="I1971" s="12" t="s">
        <v>8222</v>
      </c>
      <c r="J1971" s="12" t="s">
        <v>9550</v>
      </c>
      <c r="K1971" s="12"/>
      <c r="L1971" s="12" t="s">
        <v>11233</v>
      </c>
      <c r="M1971" s="12" t="s">
        <v>11234</v>
      </c>
    </row>
    <row r="1972" spans="1:13" ht="52.8">
      <c r="A1972" s="21" t="s">
        <v>7932</v>
      </c>
      <c r="B1972" s="21" t="s">
        <v>7933</v>
      </c>
      <c r="C1972" s="21" t="s">
        <v>7934</v>
      </c>
      <c r="D1972" s="21" t="s">
        <v>71</v>
      </c>
      <c r="E1972" s="22" t="s">
        <v>7935</v>
      </c>
      <c r="F1972" s="22" t="s">
        <v>7933</v>
      </c>
      <c r="G1972" s="21" t="s">
        <v>7936</v>
      </c>
      <c r="H1972" s="21" t="s">
        <v>7937</v>
      </c>
      <c r="I1972" s="12" t="s">
        <v>8223</v>
      </c>
      <c r="J1972" s="12" t="s">
        <v>9551</v>
      </c>
      <c r="K1972" s="12"/>
      <c r="L1972" s="12" t="s">
        <v>11235</v>
      </c>
      <c r="M1972" s="12" t="s">
        <v>11236</v>
      </c>
    </row>
    <row r="1973" spans="1:13" ht="52.8">
      <c r="A1973" s="21" t="s">
        <v>7932</v>
      </c>
      <c r="B1973" s="21" t="s">
        <v>7933</v>
      </c>
      <c r="C1973" s="21" t="s">
        <v>7934</v>
      </c>
      <c r="D1973" s="21" t="s">
        <v>71</v>
      </c>
      <c r="E1973" s="22" t="s">
        <v>7935</v>
      </c>
      <c r="F1973" s="22" t="s">
        <v>7933</v>
      </c>
      <c r="G1973" s="21" t="s">
        <v>7936</v>
      </c>
      <c r="H1973" s="21" t="s">
        <v>7937</v>
      </c>
      <c r="I1973" s="12" t="s">
        <v>8224</v>
      </c>
      <c r="J1973" s="12" t="s">
        <v>9552</v>
      </c>
      <c r="K1973" s="12" t="s">
        <v>11237</v>
      </c>
      <c r="L1973" s="12" t="s">
        <v>11238</v>
      </c>
      <c r="M1973" s="12" t="s">
        <v>11239</v>
      </c>
    </row>
    <row r="1974" spans="1:13" ht="52.8">
      <c r="A1974" s="21" t="s">
        <v>7932</v>
      </c>
      <c r="B1974" s="21" t="s">
        <v>7933</v>
      </c>
      <c r="C1974" s="21" t="s">
        <v>7934</v>
      </c>
      <c r="D1974" s="21" t="s">
        <v>71</v>
      </c>
      <c r="E1974" s="22" t="s">
        <v>7935</v>
      </c>
      <c r="F1974" s="22" t="s">
        <v>7933</v>
      </c>
      <c r="G1974" s="21" t="s">
        <v>7936</v>
      </c>
      <c r="H1974" s="21" t="s">
        <v>7937</v>
      </c>
      <c r="I1974" s="12" t="s">
        <v>8225</v>
      </c>
      <c r="J1974" s="12" t="s">
        <v>9553</v>
      </c>
      <c r="K1974" s="12" t="s">
        <v>11240</v>
      </c>
      <c r="L1974" s="12" t="s">
        <v>11241</v>
      </c>
      <c r="M1974" s="12" t="s">
        <v>11242</v>
      </c>
    </row>
    <row r="1975" spans="1:13" ht="52.8">
      <c r="A1975" s="21" t="s">
        <v>7932</v>
      </c>
      <c r="B1975" s="21" t="s">
        <v>7933</v>
      </c>
      <c r="C1975" s="21" t="s">
        <v>7934</v>
      </c>
      <c r="D1975" s="21" t="s">
        <v>71</v>
      </c>
      <c r="E1975" s="22" t="s">
        <v>7935</v>
      </c>
      <c r="F1975" s="22" t="s">
        <v>7933</v>
      </c>
      <c r="G1975" s="21" t="s">
        <v>7936</v>
      </c>
      <c r="H1975" s="21" t="s">
        <v>7937</v>
      </c>
      <c r="I1975" s="12" t="s">
        <v>8226</v>
      </c>
      <c r="J1975" s="12" t="s">
        <v>9554</v>
      </c>
      <c r="K1975" s="12"/>
      <c r="L1975" s="12" t="s">
        <v>11243</v>
      </c>
      <c r="M1975" s="12" t="s">
        <v>11244</v>
      </c>
    </row>
    <row r="1976" spans="1:13" ht="52.8">
      <c r="A1976" s="21" t="s">
        <v>7932</v>
      </c>
      <c r="B1976" s="21" t="s">
        <v>7933</v>
      </c>
      <c r="C1976" s="21" t="s">
        <v>7934</v>
      </c>
      <c r="D1976" s="21" t="s">
        <v>71</v>
      </c>
      <c r="E1976" s="22" t="s">
        <v>7935</v>
      </c>
      <c r="F1976" s="22" t="s">
        <v>7933</v>
      </c>
      <c r="G1976" s="21" t="s">
        <v>7936</v>
      </c>
      <c r="H1976" s="21" t="s">
        <v>7937</v>
      </c>
      <c r="I1976" s="12" t="s">
        <v>8227</v>
      </c>
      <c r="J1976" s="12" t="s">
        <v>9555</v>
      </c>
      <c r="K1976" s="12"/>
      <c r="L1976" s="12" t="s">
        <v>11245</v>
      </c>
      <c r="M1976" s="12" t="s">
        <v>11246</v>
      </c>
    </row>
    <row r="1977" spans="1:13" ht="52.8">
      <c r="A1977" s="21" t="s">
        <v>7932</v>
      </c>
      <c r="B1977" s="21" t="s">
        <v>7933</v>
      </c>
      <c r="C1977" s="21" t="s">
        <v>7934</v>
      </c>
      <c r="D1977" s="21" t="s">
        <v>71</v>
      </c>
      <c r="E1977" s="22" t="s">
        <v>7935</v>
      </c>
      <c r="F1977" s="22" t="s">
        <v>7933</v>
      </c>
      <c r="G1977" s="21" t="s">
        <v>7936</v>
      </c>
      <c r="H1977" s="21" t="s">
        <v>7937</v>
      </c>
      <c r="I1977" s="12" t="s">
        <v>8228</v>
      </c>
      <c r="J1977" s="12" t="s">
        <v>9556</v>
      </c>
      <c r="K1977" s="12"/>
      <c r="L1977" s="12" t="s">
        <v>11247</v>
      </c>
      <c r="M1977" s="12" t="s">
        <v>11248</v>
      </c>
    </row>
    <row r="1978" spans="1:13" ht="52.8">
      <c r="A1978" s="21" t="s">
        <v>7932</v>
      </c>
      <c r="B1978" s="21" t="s">
        <v>7933</v>
      </c>
      <c r="C1978" s="21" t="s">
        <v>7934</v>
      </c>
      <c r="D1978" s="21" t="s">
        <v>71</v>
      </c>
      <c r="E1978" s="22" t="s">
        <v>7935</v>
      </c>
      <c r="F1978" s="22" t="s">
        <v>7933</v>
      </c>
      <c r="G1978" s="21" t="s">
        <v>7936</v>
      </c>
      <c r="H1978" s="21" t="s">
        <v>7937</v>
      </c>
      <c r="I1978" s="12" t="s">
        <v>8229</v>
      </c>
      <c r="J1978" s="12" t="s">
        <v>9557</v>
      </c>
      <c r="K1978" s="12" t="s">
        <v>11249</v>
      </c>
      <c r="L1978" s="12" t="s">
        <v>11250</v>
      </c>
      <c r="M1978" s="12" t="s">
        <v>11251</v>
      </c>
    </row>
    <row r="1979" spans="1:13" ht="52.8">
      <c r="A1979" s="21" t="s">
        <v>7932</v>
      </c>
      <c r="B1979" s="21" t="s">
        <v>7933</v>
      </c>
      <c r="C1979" s="21" t="s">
        <v>7934</v>
      </c>
      <c r="D1979" s="21" t="s">
        <v>71</v>
      </c>
      <c r="E1979" s="22" t="s">
        <v>7935</v>
      </c>
      <c r="F1979" s="22" t="s">
        <v>7933</v>
      </c>
      <c r="G1979" s="21" t="s">
        <v>7936</v>
      </c>
      <c r="H1979" s="21" t="s">
        <v>7937</v>
      </c>
      <c r="I1979" s="12" t="s">
        <v>8230</v>
      </c>
      <c r="J1979" s="12" t="s">
        <v>9558</v>
      </c>
      <c r="K1979" s="12"/>
      <c r="L1979" s="12" t="s">
        <v>11252</v>
      </c>
      <c r="M1979" s="12" t="s">
        <v>11253</v>
      </c>
    </row>
    <row r="1980" spans="1:13" ht="52.8">
      <c r="A1980" s="21" t="s">
        <v>7932</v>
      </c>
      <c r="B1980" s="21" t="s">
        <v>7933</v>
      </c>
      <c r="C1980" s="21" t="s">
        <v>7934</v>
      </c>
      <c r="D1980" s="21" t="s">
        <v>71</v>
      </c>
      <c r="E1980" s="22" t="s">
        <v>7935</v>
      </c>
      <c r="F1980" s="22" t="s">
        <v>7933</v>
      </c>
      <c r="G1980" s="21" t="s">
        <v>7936</v>
      </c>
      <c r="H1980" s="21" t="s">
        <v>7937</v>
      </c>
      <c r="I1980" s="12" t="s">
        <v>8231</v>
      </c>
      <c r="J1980" s="12" t="s">
        <v>9559</v>
      </c>
      <c r="K1980" s="12"/>
      <c r="L1980" s="12" t="s">
        <v>11254</v>
      </c>
      <c r="M1980" s="12" t="s">
        <v>11255</v>
      </c>
    </row>
    <row r="1981" spans="1:13" ht="52.8">
      <c r="A1981" s="21" t="s">
        <v>7932</v>
      </c>
      <c r="B1981" s="21" t="s">
        <v>7933</v>
      </c>
      <c r="C1981" s="21" t="s">
        <v>7934</v>
      </c>
      <c r="D1981" s="21" t="s">
        <v>71</v>
      </c>
      <c r="E1981" s="22" t="s">
        <v>7935</v>
      </c>
      <c r="F1981" s="22" t="s">
        <v>7933</v>
      </c>
      <c r="G1981" s="21" t="s">
        <v>7936</v>
      </c>
      <c r="H1981" s="21" t="s">
        <v>7937</v>
      </c>
      <c r="I1981" s="12" t="s">
        <v>8232</v>
      </c>
      <c r="J1981" s="12" t="s">
        <v>9560</v>
      </c>
      <c r="K1981" s="12" t="s">
        <v>11256</v>
      </c>
      <c r="L1981" s="12" t="s">
        <v>11257</v>
      </c>
      <c r="M1981" s="12" t="s">
        <v>11256</v>
      </c>
    </row>
    <row r="1982" spans="1:13" ht="52.8">
      <c r="A1982" s="21" t="s">
        <v>7932</v>
      </c>
      <c r="B1982" s="21" t="s">
        <v>7933</v>
      </c>
      <c r="C1982" s="21" t="s">
        <v>7934</v>
      </c>
      <c r="D1982" s="21" t="s">
        <v>71</v>
      </c>
      <c r="E1982" s="22" t="s">
        <v>7935</v>
      </c>
      <c r="F1982" s="22" t="s">
        <v>7933</v>
      </c>
      <c r="G1982" s="21" t="s">
        <v>7936</v>
      </c>
      <c r="H1982" s="21" t="s">
        <v>7937</v>
      </c>
      <c r="I1982" s="12" t="s">
        <v>8233</v>
      </c>
      <c r="J1982" s="12" t="s">
        <v>9561</v>
      </c>
      <c r="K1982" s="12"/>
      <c r="L1982" s="12" t="s">
        <v>11258</v>
      </c>
      <c r="M1982" s="12" t="s">
        <v>11259</v>
      </c>
    </row>
    <row r="1983" spans="1:13" ht="52.8">
      <c r="A1983" s="21" t="s">
        <v>7932</v>
      </c>
      <c r="B1983" s="21" t="s">
        <v>7933</v>
      </c>
      <c r="C1983" s="21" t="s">
        <v>7934</v>
      </c>
      <c r="D1983" s="21" t="s">
        <v>71</v>
      </c>
      <c r="E1983" s="22" t="s">
        <v>7935</v>
      </c>
      <c r="F1983" s="22" t="s">
        <v>7933</v>
      </c>
      <c r="G1983" s="21" t="s">
        <v>7936</v>
      </c>
      <c r="H1983" s="21" t="s">
        <v>7937</v>
      </c>
      <c r="I1983" s="12" t="s">
        <v>8234</v>
      </c>
      <c r="J1983" s="12" t="s">
        <v>9562</v>
      </c>
      <c r="K1983" s="12"/>
      <c r="L1983" s="12" t="s">
        <v>11260</v>
      </c>
      <c r="M1983" s="12" t="s">
        <v>11261</v>
      </c>
    </row>
    <row r="1984" spans="1:13" ht="52.8">
      <c r="A1984" s="21" t="s">
        <v>7932</v>
      </c>
      <c r="B1984" s="21" t="s">
        <v>7933</v>
      </c>
      <c r="C1984" s="21" t="s">
        <v>7934</v>
      </c>
      <c r="D1984" s="21" t="s">
        <v>71</v>
      </c>
      <c r="E1984" s="22" t="s">
        <v>7935</v>
      </c>
      <c r="F1984" s="22" t="s">
        <v>7933</v>
      </c>
      <c r="G1984" s="21" t="s">
        <v>7936</v>
      </c>
      <c r="H1984" s="21" t="s">
        <v>7937</v>
      </c>
      <c r="I1984" s="12" t="s">
        <v>8235</v>
      </c>
      <c r="J1984" s="12" t="s">
        <v>9563</v>
      </c>
      <c r="K1984" s="12"/>
      <c r="L1984" s="12" t="s">
        <v>11262</v>
      </c>
      <c r="M1984" s="12" t="s">
        <v>11263</v>
      </c>
    </row>
    <row r="1985" spans="1:13" ht="52.8">
      <c r="A1985" s="21" t="s">
        <v>7932</v>
      </c>
      <c r="B1985" s="21" t="s">
        <v>7933</v>
      </c>
      <c r="C1985" s="21" t="s">
        <v>7934</v>
      </c>
      <c r="D1985" s="21" t="s">
        <v>71</v>
      </c>
      <c r="E1985" s="22" t="s">
        <v>7935</v>
      </c>
      <c r="F1985" s="22" t="s">
        <v>7933</v>
      </c>
      <c r="G1985" s="21" t="s">
        <v>7936</v>
      </c>
      <c r="H1985" s="21" t="s">
        <v>7937</v>
      </c>
      <c r="I1985" s="12" t="s">
        <v>8236</v>
      </c>
      <c r="J1985" s="12" t="s">
        <v>9564</v>
      </c>
      <c r="K1985" s="12" t="s">
        <v>11264</v>
      </c>
      <c r="L1985" s="12" t="s">
        <v>11265</v>
      </c>
      <c r="M1985" s="12" t="s">
        <v>11264</v>
      </c>
    </row>
    <row r="1986" spans="1:13" ht="52.8">
      <c r="A1986" s="21" t="s">
        <v>7932</v>
      </c>
      <c r="B1986" s="21" t="s">
        <v>7933</v>
      </c>
      <c r="C1986" s="21" t="s">
        <v>7934</v>
      </c>
      <c r="D1986" s="21" t="s">
        <v>71</v>
      </c>
      <c r="E1986" s="22" t="s">
        <v>7935</v>
      </c>
      <c r="F1986" s="22" t="s">
        <v>7933</v>
      </c>
      <c r="G1986" s="21" t="s">
        <v>7936</v>
      </c>
      <c r="H1986" s="21" t="s">
        <v>7937</v>
      </c>
      <c r="I1986" s="12" t="s">
        <v>8237</v>
      </c>
      <c r="J1986" s="12" t="s">
        <v>9565</v>
      </c>
      <c r="K1986" s="12"/>
      <c r="L1986" s="12" t="s">
        <v>11266</v>
      </c>
      <c r="M1986" s="12" t="s">
        <v>11267</v>
      </c>
    </row>
    <row r="1987" spans="1:13" ht="52.8">
      <c r="A1987" s="21" t="s">
        <v>7932</v>
      </c>
      <c r="B1987" s="21" t="s">
        <v>7933</v>
      </c>
      <c r="C1987" s="21" t="s">
        <v>7934</v>
      </c>
      <c r="D1987" s="21" t="s">
        <v>71</v>
      </c>
      <c r="E1987" s="22" t="s">
        <v>7935</v>
      </c>
      <c r="F1987" s="22" t="s">
        <v>7933</v>
      </c>
      <c r="G1987" s="21" t="s">
        <v>7936</v>
      </c>
      <c r="H1987" s="21" t="s">
        <v>7937</v>
      </c>
      <c r="I1987" s="12" t="s">
        <v>8238</v>
      </c>
      <c r="J1987" s="12" t="s">
        <v>9566</v>
      </c>
      <c r="K1987" s="12"/>
      <c r="L1987" s="12" t="s">
        <v>11268</v>
      </c>
      <c r="M1987" s="12" t="s">
        <v>11269</v>
      </c>
    </row>
    <row r="1988" spans="1:13" ht="52.8">
      <c r="A1988" s="21" t="s">
        <v>7932</v>
      </c>
      <c r="B1988" s="21" t="s">
        <v>7933</v>
      </c>
      <c r="C1988" s="21" t="s">
        <v>7934</v>
      </c>
      <c r="D1988" s="21" t="s">
        <v>71</v>
      </c>
      <c r="E1988" s="22" t="s">
        <v>7935</v>
      </c>
      <c r="F1988" s="22" t="s">
        <v>7933</v>
      </c>
      <c r="G1988" s="21" t="s">
        <v>7936</v>
      </c>
      <c r="H1988" s="21" t="s">
        <v>7937</v>
      </c>
      <c r="I1988" s="12" t="s">
        <v>8239</v>
      </c>
      <c r="J1988" s="12" t="s">
        <v>9567</v>
      </c>
      <c r="K1988" s="12"/>
      <c r="L1988" s="12" t="s">
        <v>11270</v>
      </c>
      <c r="M1988" s="12" t="s">
        <v>11271</v>
      </c>
    </row>
    <row r="1989" spans="1:13" ht="52.8">
      <c r="A1989" s="21" t="s">
        <v>7932</v>
      </c>
      <c r="B1989" s="21" t="s">
        <v>7933</v>
      </c>
      <c r="C1989" s="21" t="s">
        <v>7934</v>
      </c>
      <c r="D1989" s="21" t="s">
        <v>71</v>
      </c>
      <c r="E1989" s="22" t="s">
        <v>7935</v>
      </c>
      <c r="F1989" s="22" t="s">
        <v>7933</v>
      </c>
      <c r="G1989" s="21" t="s">
        <v>7936</v>
      </c>
      <c r="H1989" s="21" t="s">
        <v>7937</v>
      </c>
      <c r="I1989" s="12" t="s">
        <v>8240</v>
      </c>
      <c r="J1989" s="12" t="s">
        <v>9568</v>
      </c>
      <c r="K1989" s="12"/>
      <c r="L1989" s="12" t="s">
        <v>11272</v>
      </c>
      <c r="M1989" s="12" t="s">
        <v>11273</v>
      </c>
    </row>
    <row r="1990" spans="1:13" ht="52.8">
      <c r="A1990" s="21" t="s">
        <v>7932</v>
      </c>
      <c r="B1990" s="21" t="s">
        <v>7933</v>
      </c>
      <c r="C1990" s="21" t="s">
        <v>7934</v>
      </c>
      <c r="D1990" s="21" t="s">
        <v>71</v>
      </c>
      <c r="E1990" s="22" t="s">
        <v>7935</v>
      </c>
      <c r="F1990" s="22" t="s">
        <v>7933</v>
      </c>
      <c r="G1990" s="21" t="s">
        <v>7936</v>
      </c>
      <c r="H1990" s="21" t="s">
        <v>7937</v>
      </c>
      <c r="I1990" s="12" t="s">
        <v>8241</v>
      </c>
      <c r="J1990" s="12" t="s">
        <v>9569</v>
      </c>
      <c r="K1990" s="12" t="s">
        <v>11274</v>
      </c>
      <c r="L1990" s="12" t="s">
        <v>11275</v>
      </c>
      <c r="M1990" s="12" t="s">
        <v>11274</v>
      </c>
    </row>
    <row r="1991" spans="1:13" ht="52.8">
      <c r="A1991" s="21" t="s">
        <v>7932</v>
      </c>
      <c r="B1991" s="21" t="s">
        <v>7933</v>
      </c>
      <c r="C1991" s="21" t="s">
        <v>7934</v>
      </c>
      <c r="D1991" s="21" t="s">
        <v>71</v>
      </c>
      <c r="E1991" s="22" t="s">
        <v>7935</v>
      </c>
      <c r="F1991" s="22" t="s">
        <v>7933</v>
      </c>
      <c r="G1991" s="21" t="s">
        <v>7936</v>
      </c>
      <c r="H1991" s="21" t="s">
        <v>7937</v>
      </c>
      <c r="I1991" s="12" t="s">
        <v>8242</v>
      </c>
      <c r="J1991" s="12" t="s">
        <v>9570</v>
      </c>
      <c r="K1991" s="12"/>
      <c r="L1991" s="12" t="s">
        <v>11276</v>
      </c>
      <c r="M1991" s="12" t="s">
        <v>11277</v>
      </c>
    </row>
    <row r="1992" spans="1:13" ht="52.8">
      <c r="A1992" s="21" t="s">
        <v>7932</v>
      </c>
      <c r="B1992" s="21" t="s">
        <v>7933</v>
      </c>
      <c r="C1992" s="21" t="s">
        <v>7934</v>
      </c>
      <c r="D1992" s="21" t="s">
        <v>71</v>
      </c>
      <c r="E1992" s="22" t="s">
        <v>7935</v>
      </c>
      <c r="F1992" s="22" t="s">
        <v>7933</v>
      </c>
      <c r="G1992" s="21" t="s">
        <v>7936</v>
      </c>
      <c r="H1992" s="21" t="s">
        <v>7937</v>
      </c>
      <c r="I1992" s="12" t="s">
        <v>8243</v>
      </c>
      <c r="J1992" s="12" t="s">
        <v>9571</v>
      </c>
      <c r="K1992" s="12"/>
      <c r="L1992" s="12" t="s">
        <v>11278</v>
      </c>
      <c r="M1992" s="12" t="s">
        <v>11279</v>
      </c>
    </row>
    <row r="1993" spans="1:13" ht="52.8">
      <c r="A1993" s="21" t="s">
        <v>7932</v>
      </c>
      <c r="B1993" s="21" t="s">
        <v>7933</v>
      </c>
      <c r="C1993" s="21" t="s">
        <v>7934</v>
      </c>
      <c r="D1993" s="21" t="s">
        <v>71</v>
      </c>
      <c r="E1993" s="22" t="s">
        <v>7935</v>
      </c>
      <c r="F1993" s="22" t="s">
        <v>7933</v>
      </c>
      <c r="G1993" s="21" t="s">
        <v>7936</v>
      </c>
      <c r="H1993" s="21" t="s">
        <v>7937</v>
      </c>
      <c r="I1993" s="12" t="s">
        <v>8244</v>
      </c>
      <c r="J1993" s="12" t="s">
        <v>9572</v>
      </c>
      <c r="K1993" s="12"/>
      <c r="L1993" s="12" t="s">
        <v>11280</v>
      </c>
      <c r="M1993" s="12" t="s">
        <v>11281</v>
      </c>
    </row>
    <row r="1994" spans="1:13" ht="52.8">
      <c r="A1994" s="21" t="s">
        <v>7932</v>
      </c>
      <c r="B1994" s="21" t="s">
        <v>7933</v>
      </c>
      <c r="C1994" s="21" t="s">
        <v>7934</v>
      </c>
      <c r="D1994" s="21" t="s">
        <v>71</v>
      </c>
      <c r="E1994" s="22" t="s">
        <v>7935</v>
      </c>
      <c r="F1994" s="22" t="s">
        <v>7933</v>
      </c>
      <c r="G1994" s="21" t="s">
        <v>7936</v>
      </c>
      <c r="H1994" s="21" t="s">
        <v>7937</v>
      </c>
      <c r="I1994" s="12" t="s">
        <v>8245</v>
      </c>
      <c r="J1994" s="12" t="s">
        <v>9573</v>
      </c>
      <c r="K1994" s="12"/>
      <c r="L1994" s="12" t="s">
        <v>11282</v>
      </c>
      <c r="M1994" s="12" t="s">
        <v>11283</v>
      </c>
    </row>
    <row r="1995" spans="1:13" ht="52.8">
      <c r="A1995" s="21" t="s">
        <v>7932</v>
      </c>
      <c r="B1995" s="21" t="s">
        <v>7933</v>
      </c>
      <c r="C1995" s="21" t="s">
        <v>7934</v>
      </c>
      <c r="D1995" s="21" t="s">
        <v>71</v>
      </c>
      <c r="E1995" s="22" t="s">
        <v>7935</v>
      </c>
      <c r="F1995" s="22" t="s">
        <v>7933</v>
      </c>
      <c r="G1995" s="21" t="s">
        <v>7936</v>
      </c>
      <c r="H1995" s="21" t="s">
        <v>7937</v>
      </c>
      <c r="I1995" s="12" t="s">
        <v>8246</v>
      </c>
      <c r="J1995" s="12" t="s">
        <v>9574</v>
      </c>
      <c r="K1995" s="12" t="s">
        <v>11284</v>
      </c>
      <c r="L1995" s="12" t="s">
        <v>11285</v>
      </c>
      <c r="M1995" s="12" t="s">
        <v>11284</v>
      </c>
    </row>
    <row r="1996" spans="1:13" ht="52.8">
      <c r="A1996" s="21" t="s">
        <v>7932</v>
      </c>
      <c r="B1996" s="21" t="s">
        <v>7933</v>
      </c>
      <c r="C1996" s="21" t="s">
        <v>7934</v>
      </c>
      <c r="D1996" s="21" t="s">
        <v>71</v>
      </c>
      <c r="E1996" s="22" t="s">
        <v>7935</v>
      </c>
      <c r="F1996" s="22" t="s">
        <v>7933</v>
      </c>
      <c r="G1996" s="21" t="s">
        <v>7936</v>
      </c>
      <c r="H1996" s="21" t="s">
        <v>7937</v>
      </c>
      <c r="I1996" s="12" t="s">
        <v>8247</v>
      </c>
      <c r="J1996" s="12" t="s">
        <v>9575</v>
      </c>
      <c r="K1996" s="12" t="s">
        <v>11286</v>
      </c>
      <c r="L1996" s="12" t="s">
        <v>11287</v>
      </c>
      <c r="M1996" s="12" t="s">
        <v>11286</v>
      </c>
    </row>
    <row r="1997" spans="1:13" ht="52.8">
      <c r="A1997" s="21" t="s">
        <v>7932</v>
      </c>
      <c r="B1997" s="21" t="s">
        <v>7933</v>
      </c>
      <c r="C1997" s="21" t="s">
        <v>7934</v>
      </c>
      <c r="D1997" s="21" t="s">
        <v>71</v>
      </c>
      <c r="E1997" s="22" t="s">
        <v>7935</v>
      </c>
      <c r="F1997" s="22" t="s">
        <v>7933</v>
      </c>
      <c r="G1997" s="21" t="s">
        <v>7936</v>
      </c>
      <c r="H1997" s="21" t="s">
        <v>7937</v>
      </c>
      <c r="I1997" s="12" t="s">
        <v>8248</v>
      </c>
      <c r="J1997" s="12" t="s">
        <v>9576</v>
      </c>
      <c r="K1997" s="12" t="s">
        <v>11288</v>
      </c>
      <c r="L1997" s="12" t="s">
        <v>11289</v>
      </c>
      <c r="M1997" s="12" t="s">
        <v>11288</v>
      </c>
    </row>
    <row r="1998" spans="1:13" ht="52.8">
      <c r="A1998" s="21" t="s">
        <v>7932</v>
      </c>
      <c r="B1998" s="21" t="s">
        <v>7933</v>
      </c>
      <c r="C1998" s="21" t="s">
        <v>7934</v>
      </c>
      <c r="D1998" s="21" t="s">
        <v>71</v>
      </c>
      <c r="E1998" s="22" t="s">
        <v>7935</v>
      </c>
      <c r="F1998" s="22" t="s">
        <v>7933</v>
      </c>
      <c r="G1998" s="21" t="s">
        <v>7936</v>
      </c>
      <c r="H1998" s="21" t="s">
        <v>7937</v>
      </c>
      <c r="I1998" s="12" t="s">
        <v>8249</v>
      </c>
      <c r="J1998" s="12" t="s">
        <v>9577</v>
      </c>
      <c r="K1998" s="12" t="s">
        <v>11290</v>
      </c>
      <c r="L1998" s="12" t="s">
        <v>11291</v>
      </c>
      <c r="M1998" s="12" t="s">
        <v>11290</v>
      </c>
    </row>
    <row r="1999" spans="1:13" ht="52.8">
      <c r="A1999" s="21" t="s">
        <v>7932</v>
      </c>
      <c r="B1999" s="21" t="s">
        <v>7933</v>
      </c>
      <c r="C1999" s="21" t="s">
        <v>7934</v>
      </c>
      <c r="D1999" s="21" t="s">
        <v>71</v>
      </c>
      <c r="E1999" s="22" t="s">
        <v>7935</v>
      </c>
      <c r="F1999" s="22" t="s">
        <v>7933</v>
      </c>
      <c r="G1999" s="21" t="s">
        <v>7936</v>
      </c>
      <c r="H1999" s="21" t="s">
        <v>7937</v>
      </c>
      <c r="I1999" s="12" t="s">
        <v>8250</v>
      </c>
      <c r="J1999" s="12" t="s">
        <v>9578</v>
      </c>
      <c r="K1999" s="12" t="s">
        <v>11292</v>
      </c>
      <c r="L1999" s="12" t="s">
        <v>11293</v>
      </c>
      <c r="M1999" s="12" t="s">
        <v>11292</v>
      </c>
    </row>
    <row r="2000" spans="1:13" ht="52.8">
      <c r="A2000" s="21" t="s">
        <v>7932</v>
      </c>
      <c r="B2000" s="21" t="s">
        <v>7933</v>
      </c>
      <c r="C2000" s="21" t="s">
        <v>7934</v>
      </c>
      <c r="D2000" s="21" t="s">
        <v>71</v>
      </c>
      <c r="E2000" s="22" t="s">
        <v>7935</v>
      </c>
      <c r="F2000" s="22" t="s">
        <v>7933</v>
      </c>
      <c r="G2000" s="21" t="s">
        <v>7936</v>
      </c>
      <c r="H2000" s="21" t="s">
        <v>7937</v>
      </c>
      <c r="I2000" s="12" t="s">
        <v>8251</v>
      </c>
      <c r="J2000" s="12" t="s">
        <v>9579</v>
      </c>
      <c r="K2000" s="12" t="s">
        <v>11294</v>
      </c>
      <c r="L2000" s="12" t="s">
        <v>11295</v>
      </c>
      <c r="M2000" s="12" t="s">
        <v>11294</v>
      </c>
    </row>
    <row r="2001" spans="1:13" ht="79.2">
      <c r="A2001" s="21" t="s">
        <v>7932</v>
      </c>
      <c r="B2001" s="21" t="s">
        <v>7933</v>
      </c>
      <c r="C2001" s="21" t="s">
        <v>7934</v>
      </c>
      <c r="D2001" s="21" t="s">
        <v>71</v>
      </c>
      <c r="E2001" s="22" t="s">
        <v>7935</v>
      </c>
      <c r="F2001" s="22" t="s">
        <v>7933</v>
      </c>
      <c r="G2001" s="21" t="s">
        <v>7936</v>
      </c>
      <c r="H2001" s="21" t="s">
        <v>7937</v>
      </c>
      <c r="I2001" s="12" t="s">
        <v>8252</v>
      </c>
      <c r="J2001" s="12" t="s">
        <v>9580</v>
      </c>
      <c r="K2001" s="12" t="s">
        <v>11296</v>
      </c>
      <c r="L2001" s="12" t="s">
        <v>11297</v>
      </c>
      <c r="M2001" s="12" t="s">
        <v>11296</v>
      </c>
    </row>
    <row r="2002" spans="1:13" ht="52.8">
      <c r="A2002" s="21" t="s">
        <v>7932</v>
      </c>
      <c r="B2002" s="21" t="s">
        <v>7933</v>
      </c>
      <c r="C2002" s="21" t="s">
        <v>7934</v>
      </c>
      <c r="D2002" s="21" t="s">
        <v>71</v>
      </c>
      <c r="E2002" s="22" t="s">
        <v>7935</v>
      </c>
      <c r="F2002" s="22" t="s">
        <v>7933</v>
      </c>
      <c r="G2002" s="21" t="s">
        <v>7936</v>
      </c>
      <c r="H2002" s="21" t="s">
        <v>7937</v>
      </c>
      <c r="I2002" s="12" t="s">
        <v>8253</v>
      </c>
      <c r="J2002" s="12" t="s">
        <v>9581</v>
      </c>
      <c r="K2002" s="12" t="s">
        <v>11298</v>
      </c>
      <c r="L2002" s="12" t="s">
        <v>11299</v>
      </c>
      <c r="M2002" s="12" t="s">
        <v>11298</v>
      </c>
    </row>
    <row r="2003" spans="1:13" ht="52.8">
      <c r="A2003" s="21" t="s">
        <v>7932</v>
      </c>
      <c r="B2003" s="21" t="s">
        <v>7933</v>
      </c>
      <c r="C2003" s="21" t="s">
        <v>7934</v>
      </c>
      <c r="D2003" s="21" t="s">
        <v>71</v>
      </c>
      <c r="E2003" s="22" t="s">
        <v>7935</v>
      </c>
      <c r="F2003" s="22" t="s">
        <v>7933</v>
      </c>
      <c r="G2003" s="21" t="s">
        <v>7936</v>
      </c>
      <c r="H2003" s="21" t="s">
        <v>7937</v>
      </c>
      <c r="I2003" s="12" t="s">
        <v>8254</v>
      </c>
      <c r="J2003" s="12" t="s">
        <v>9582</v>
      </c>
      <c r="K2003" s="12"/>
      <c r="L2003" s="12" t="s">
        <v>11300</v>
      </c>
      <c r="M2003" s="12" t="s">
        <v>11301</v>
      </c>
    </row>
    <row r="2004" spans="1:13" ht="52.8">
      <c r="A2004" s="21" t="s">
        <v>7932</v>
      </c>
      <c r="B2004" s="21" t="s">
        <v>7933</v>
      </c>
      <c r="C2004" s="21" t="s">
        <v>7934</v>
      </c>
      <c r="D2004" s="21" t="s">
        <v>71</v>
      </c>
      <c r="E2004" s="22" t="s">
        <v>7935</v>
      </c>
      <c r="F2004" s="22" t="s">
        <v>7933</v>
      </c>
      <c r="G2004" s="21" t="s">
        <v>7936</v>
      </c>
      <c r="H2004" s="21" t="s">
        <v>7937</v>
      </c>
      <c r="I2004" s="12" t="s">
        <v>8255</v>
      </c>
      <c r="J2004" s="12" t="s">
        <v>9583</v>
      </c>
      <c r="K2004" s="12"/>
      <c r="L2004" s="12" t="s">
        <v>11302</v>
      </c>
      <c r="M2004" s="12" t="s">
        <v>11303</v>
      </c>
    </row>
    <row r="2005" spans="1:13" ht="52.8">
      <c r="A2005" s="21" t="s">
        <v>7932</v>
      </c>
      <c r="B2005" s="21" t="s">
        <v>7933</v>
      </c>
      <c r="C2005" s="21" t="s">
        <v>7934</v>
      </c>
      <c r="D2005" s="21" t="s">
        <v>71</v>
      </c>
      <c r="E2005" s="22" t="s">
        <v>7935</v>
      </c>
      <c r="F2005" s="22" t="s">
        <v>7933</v>
      </c>
      <c r="G2005" s="21" t="s">
        <v>7936</v>
      </c>
      <c r="H2005" s="21" t="s">
        <v>7937</v>
      </c>
      <c r="I2005" s="12" t="s">
        <v>8256</v>
      </c>
      <c r="J2005" s="12" t="s">
        <v>9584</v>
      </c>
      <c r="K2005" s="12"/>
      <c r="L2005" s="12" t="s">
        <v>11304</v>
      </c>
      <c r="M2005" s="12" t="s">
        <v>11305</v>
      </c>
    </row>
    <row r="2006" spans="1:13" ht="52.8">
      <c r="A2006" s="21" t="s">
        <v>7932</v>
      </c>
      <c r="B2006" s="21" t="s">
        <v>7933</v>
      </c>
      <c r="C2006" s="21" t="s">
        <v>7934</v>
      </c>
      <c r="D2006" s="21" t="s">
        <v>71</v>
      </c>
      <c r="E2006" s="22" t="s">
        <v>7935</v>
      </c>
      <c r="F2006" s="22" t="s">
        <v>7933</v>
      </c>
      <c r="G2006" s="21" t="s">
        <v>7936</v>
      </c>
      <c r="H2006" s="21" t="s">
        <v>7937</v>
      </c>
      <c r="I2006" s="12" t="s">
        <v>8257</v>
      </c>
      <c r="J2006" s="12" t="s">
        <v>9585</v>
      </c>
      <c r="K2006" s="12"/>
      <c r="L2006" s="12" t="s">
        <v>11306</v>
      </c>
      <c r="M2006" s="12" t="s">
        <v>11307</v>
      </c>
    </row>
    <row r="2007" spans="1:13" ht="66">
      <c r="A2007" s="21" t="s">
        <v>7932</v>
      </c>
      <c r="B2007" s="21" t="s">
        <v>7933</v>
      </c>
      <c r="C2007" s="21" t="s">
        <v>7934</v>
      </c>
      <c r="D2007" s="21" t="s">
        <v>71</v>
      </c>
      <c r="E2007" s="22" t="s">
        <v>7935</v>
      </c>
      <c r="F2007" s="22" t="s">
        <v>7933</v>
      </c>
      <c r="G2007" s="21" t="s">
        <v>7936</v>
      </c>
      <c r="H2007" s="21" t="s">
        <v>7937</v>
      </c>
      <c r="I2007" s="12" t="s">
        <v>8258</v>
      </c>
      <c r="J2007" s="12" t="s">
        <v>9586</v>
      </c>
      <c r="K2007" s="12"/>
      <c r="L2007" s="12" t="s">
        <v>11308</v>
      </c>
      <c r="M2007" s="12" t="s">
        <v>11309</v>
      </c>
    </row>
    <row r="2008" spans="1:13" ht="52.8">
      <c r="A2008" s="21" t="s">
        <v>7932</v>
      </c>
      <c r="B2008" s="21" t="s">
        <v>7933</v>
      </c>
      <c r="C2008" s="21" t="s">
        <v>7934</v>
      </c>
      <c r="D2008" s="21" t="s">
        <v>71</v>
      </c>
      <c r="E2008" s="22" t="s">
        <v>7935</v>
      </c>
      <c r="F2008" s="22" t="s">
        <v>7933</v>
      </c>
      <c r="G2008" s="21" t="s">
        <v>7936</v>
      </c>
      <c r="H2008" s="21" t="s">
        <v>7937</v>
      </c>
      <c r="I2008" s="12" t="s">
        <v>8259</v>
      </c>
      <c r="J2008" s="12" t="s">
        <v>9587</v>
      </c>
      <c r="K2008" s="12" t="s">
        <v>11310</v>
      </c>
      <c r="L2008" s="12" t="s">
        <v>11311</v>
      </c>
      <c r="M2008" s="12" t="s">
        <v>11312</v>
      </c>
    </row>
    <row r="2009" spans="1:13" ht="52.8">
      <c r="A2009" s="21" t="s">
        <v>7932</v>
      </c>
      <c r="B2009" s="21" t="s">
        <v>7933</v>
      </c>
      <c r="C2009" s="21" t="s">
        <v>7934</v>
      </c>
      <c r="D2009" s="21" t="s">
        <v>71</v>
      </c>
      <c r="E2009" s="22" t="s">
        <v>7935</v>
      </c>
      <c r="F2009" s="22" t="s">
        <v>7933</v>
      </c>
      <c r="G2009" s="21" t="s">
        <v>7936</v>
      </c>
      <c r="H2009" s="21" t="s">
        <v>7937</v>
      </c>
      <c r="I2009" s="12" t="s">
        <v>8260</v>
      </c>
      <c r="J2009" s="12" t="s">
        <v>9588</v>
      </c>
      <c r="K2009" s="12"/>
      <c r="L2009" s="12" t="s">
        <v>11313</v>
      </c>
      <c r="M2009" s="12" t="s">
        <v>11314</v>
      </c>
    </row>
    <row r="2010" spans="1:13" ht="52.8">
      <c r="A2010" s="21" t="s">
        <v>7932</v>
      </c>
      <c r="B2010" s="21" t="s">
        <v>7933</v>
      </c>
      <c r="C2010" s="21" t="s">
        <v>7934</v>
      </c>
      <c r="D2010" s="21" t="s">
        <v>71</v>
      </c>
      <c r="E2010" s="22" t="s">
        <v>7935</v>
      </c>
      <c r="F2010" s="22" t="s">
        <v>7933</v>
      </c>
      <c r="G2010" s="21" t="s">
        <v>7936</v>
      </c>
      <c r="H2010" s="21" t="s">
        <v>7937</v>
      </c>
      <c r="I2010" s="12" t="s">
        <v>8261</v>
      </c>
      <c r="J2010" s="12" t="s">
        <v>9589</v>
      </c>
      <c r="K2010" s="12"/>
      <c r="L2010" s="12" t="s">
        <v>11315</v>
      </c>
      <c r="M2010" s="12" t="s">
        <v>11316</v>
      </c>
    </row>
    <row r="2011" spans="1:13" ht="66">
      <c r="A2011" s="21" t="s">
        <v>7932</v>
      </c>
      <c r="B2011" s="21" t="s">
        <v>7933</v>
      </c>
      <c r="C2011" s="21" t="s">
        <v>7934</v>
      </c>
      <c r="D2011" s="21" t="s">
        <v>71</v>
      </c>
      <c r="E2011" s="22" t="s">
        <v>7935</v>
      </c>
      <c r="F2011" s="22" t="s">
        <v>7933</v>
      </c>
      <c r="G2011" s="21" t="s">
        <v>7936</v>
      </c>
      <c r="H2011" s="21" t="s">
        <v>7937</v>
      </c>
      <c r="I2011" s="12" t="s">
        <v>8262</v>
      </c>
      <c r="J2011" s="12" t="s">
        <v>9590</v>
      </c>
      <c r="K2011" s="12"/>
      <c r="L2011" s="12" t="s">
        <v>11317</v>
      </c>
      <c r="M2011" s="12" t="s">
        <v>11318</v>
      </c>
    </row>
    <row r="2012" spans="1:13" ht="66">
      <c r="A2012" s="21" t="s">
        <v>7932</v>
      </c>
      <c r="B2012" s="21" t="s">
        <v>7933</v>
      </c>
      <c r="C2012" s="21" t="s">
        <v>7934</v>
      </c>
      <c r="D2012" s="21" t="s">
        <v>71</v>
      </c>
      <c r="E2012" s="22" t="s">
        <v>7935</v>
      </c>
      <c r="F2012" s="22" t="s">
        <v>7933</v>
      </c>
      <c r="G2012" s="21" t="s">
        <v>7936</v>
      </c>
      <c r="H2012" s="21" t="s">
        <v>7937</v>
      </c>
      <c r="I2012" s="12" t="s">
        <v>8263</v>
      </c>
      <c r="J2012" s="12" t="s">
        <v>9591</v>
      </c>
      <c r="K2012" s="12"/>
      <c r="L2012" s="12" t="s">
        <v>11319</v>
      </c>
      <c r="M2012" s="12" t="s">
        <v>11320</v>
      </c>
    </row>
    <row r="2013" spans="1:13" ht="79.2">
      <c r="A2013" s="21" t="s">
        <v>7932</v>
      </c>
      <c r="B2013" s="21" t="s">
        <v>7933</v>
      </c>
      <c r="C2013" s="21" t="s">
        <v>7934</v>
      </c>
      <c r="D2013" s="21" t="s">
        <v>71</v>
      </c>
      <c r="E2013" s="22" t="s">
        <v>7935</v>
      </c>
      <c r="F2013" s="22" t="s">
        <v>7933</v>
      </c>
      <c r="G2013" s="21" t="s">
        <v>7936</v>
      </c>
      <c r="H2013" s="21" t="s">
        <v>7937</v>
      </c>
      <c r="I2013" s="12" t="s">
        <v>8264</v>
      </c>
      <c r="J2013" s="12" t="s">
        <v>9592</v>
      </c>
      <c r="K2013" s="12"/>
      <c r="L2013" s="12" t="s">
        <v>11321</v>
      </c>
      <c r="M2013" s="12" t="s">
        <v>11322</v>
      </c>
    </row>
    <row r="2014" spans="1:13" ht="92.4">
      <c r="A2014" s="21" t="s">
        <v>7932</v>
      </c>
      <c r="B2014" s="21" t="s">
        <v>7933</v>
      </c>
      <c r="C2014" s="21" t="s">
        <v>7934</v>
      </c>
      <c r="D2014" s="21" t="s">
        <v>71</v>
      </c>
      <c r="E2014" s="22" t="s">
        <v>7935</v>
      </c>
      <c r="F2014" s="22" t="s">
        <v>7933</v>
      </c>
      <c r="G2014" s="21" t="s">
        <v>7936</v>
      </c>
      <c r="H2014" s="21" t="s">
        <v>7937</v>
      </c>
      <c r="I2014" s="12" t="s">
        <v>8265</v>
      </c>
      <c r="J2014" s="12" t="s">
        <v>9593</v>
      </c>
      <c r="K2014" s="12"/>
      <c r="L2014" s="12" t="s">
        <v>11323</v>
      </c>
      <c r="M2014" s="12" t="s">
        <v>11324</v>
      </c>
    </row>
    <row r="2015" spans="1:13" ht="92.4">
      <c r="A2015" s="21" t="s">
        <v>7932</v>
      </c>
      <c r="B2015" s="21" t="s">
        <v>7933</v>
      </c>
      <c r="C2015" s="21" t="s">
        <v>7934</v>
      </c>
      <c r="D2015" s="21" t="s">
        <v>71</v>
      </c>
      <c r="E2015" s="22" t="s">
        <v>7935</v>
      </c>
      <c r="F2015" s="22" t="s">
        <v>7933</v>
      </c>
      <c r="G2015" s="21" t="s">
        <v>7936</v>
      </c>
      <c r="H2015" s="21" t="s">
        <v>7937</v>
      </c>
      <c r="I2015" s="12" t="s">
        <v>8266</v>
      </c>
      <c r="J2015" s="12" t="s">
        <v>9594</v>
      </c>
      <c r="K2015" s="12" t="s">
        <v>11325</v>
      </c>
      <c r="L2015" s="12" t="s">
        <v>11326</v>
      </c>
      <c r="M2015" s="12" t="s">
        <v>11327</v>
      </c>
    </row>
    <row r="2016" spans="1:13" ht="52.8">
      <c r="A2016" s="21" t="s">
        <v>7932</v>
      </c>
      <c r="B2016" s="21" t="s">
        <v>7933</v>
      </c>
      <c r="C2016" s="21" t="s">
        <v>7934</v>
      </c>
      <c r="D2016" s="21" t="s">
        <v>71</v>
      </c>
      <c r="E2016" s="22" t="s">
        <v>7935</v>
      </c>
      <c r="F2016" s="22" t="s">
        <v>7933</v>
      </c>
      <c r="G2016" s="21" t="s">
        <v>7936</v>
      </c>
      <c r="H2016" s="21" t="s">
        <v>7937</v>
      </c>
      <c r="I2016" s="12" t="s">
        <v>8267</v>
      </c>
      <c r="J2016" s="12" t="s">
        <v>9595</v>
      </c>
      <c r="K2016" s="12"/>
      <c r="L2016" s="12" t="s">
        <v>11328</v>
      </c>
      <c r="M2016" s="12" t="s">
        <v>11329</v>
      </c>
    </row>
    <row r="2017" spans="1:13" ht="52.8">
      <c r="A2017" s="21" t="s">
        <v>7932</v>
      </c>
      <c r="B2017" s="21" t="s">
        <v>7933</v>
      </c>
      <c r="C2017" s="21" t="s">
        <v>7934</v>
      </c>
      <c r="D2017" s="21" t="s">
        <v>71</v>
      </c>
      <c r="E2017" s="22" t="s">
        <v>7935</v>
      </c>
      <c r="F2017" s="22" t="s">
        <v>7933</v>
      </c>
      <c r="G2017" s="21" t="s">
        <v>7936</v>
      </c>
      <c r="H2017" s="21" t="s">
        <v>7937</v>
      </c>
      <c r="I2017" s="12" t="s">
        <v>8268</v>
      </c>
      <c r="J2017" s="12" t="s">
        <v>9596</v>
      </c>
      <c r="K2017" s="12"/>
      <c r="L2017" s="12" t="s">
        <v>11330</v>
      </c>
      <c r="M2017" s="12" t="s">
        <v>11331</v>
      </c>
    </row>
    <row r="2018" spans="1:13" ht="52.8">
      <c r="A2018" s="21" t="s">
        <v>7932</v>
      </c>
      <c r="B2018" s="21" t="s">
        <v>7933</v>
      </c>
      <c r="C2018" s="21" t="s">
        <v>7934</v>
      </c>
      <c r="D2018" s="21" t="s">
        <v>71</v>
      </c>
      <c r="E2018" s="22" t="s">
        <v>7935</v>
      </c>
      <c r="F2018" s="22" t="s">
        <v>7933</v>
      </c>
      <c r="G2018" s="21" t="s">
        <v>7936</v>
      </c>
      <c r="H2018" s="21" t="s">
        <v>7937</v>
      </c>
      <c r="I2018" s="12" t="s">
        <v>8269</v>
      </c>
      <c r="J2018" s="12" t="s">
        <v>9597</v>
      </c>
      <c r="K2018" s="12"/>
      <c r="L2018" s="12" t="s">
        <v>11332</v>
      </c>
      <c r="M2018" s="12" t="s">
        <v>11333</v>
      </c>
    </row>
    <row r="2019" spans="1:13" ht="52.8">
      <c r="A2019" s="21" t="s">
        <v>7932</v>
      </c>
      <c r="B2019" s="21" t="s">
        <v>7933</v>
      </c>
      <c r="C2019" s="21" t="s">
        <v>7934</v>
      </c>
      <c r="D2019" s="21" t="s">
        <v>71</v>
      </c>
      <c r="E2019" s="22" t="s">
        <v>7935</v>
      </c>
      <c r="F2019" s="22" t="s">
        <v>7933</v>
      </c>
      <c r="G2019" s="21" t="s">
        <v>7936</v>
      </c>
      <c r="H2019" s="21" t="s">
        <v>7937</v>
      </c>
      <c r="I2019" s="12" t="s">
        <v>8270</v>
      </c>
      <c r="J2019" s="12" t="s">
        <v>9598</v>
      </c>
      <c r="K2019" s="12"/>
      <c r="L2019" s="12" t="s">
        <v>11334</v>
      </c>
      <c r="M2019" s="12" t="s">
        <v>11335</v>
      </c>
    </row>
    <row r="2020" spans="1:13" ht="52.8">
      <c r="A2020" s="21" t="s">
        <v>7932</v>
      </c>
      <c r="B2020" s="21" t="s">
        <v>7933</v>
      </c>
      <c r="C2020" s="21" t="s">
        <v>7934</v>
      </c>
      <c r="D2020" s="21" t="s">
        <v>71</v>
      </c>
      <c r="E2020" s="22" t="s">
        <v>7935</v>
      </c>
      <c r="F2020" s="22" t="s">
        <v>7933</v>
      </c>
      <c r="G2020" s="21" t="s">
        <v>7936</v>
      </c>
      <c r="H2020" s="21" t="s">
        <v>7937</v>
      </c>
      <c r="I2020" s="12" t="s">
        <v>8271</v>
      </c>
      <c r="J2020" s="12" t="s">
        <v>9599</v>
      </c>
      <c r="K2020" s="12"/>
      <c r="L2020" s="12" t="s">
        <v>11336</v>
      </c>
      <c r="M2020" s="12" t="s">
        <v>11337</v>
      </c>
    </row>
    <row r="2021" spans="1:13" ht="52.8">
      <c r="A2021" s="21" t="s">
        <v>7932</v>
      </c>
      <c r="B2021" s="21" t="s">
        <v>7933</v>
      </c>
      <c r="C2021" s="21" t="s">
        <v>7934</v>
      </c>
      <c r="D2021" s="21" t="s">
        <v>71</v>
      </c>
      <c r="E2021" s="22" t="s">
        <v>7935</v>
      </c>
      <c r="F2021" s="22" t="s">
        <v>7933</v>
      </c>
      <c r="G2021" s="21" t="s">
        <v>7936</v>
      </c>
      <c r="H2021" s="21" t="s">
        <v>7937</v>
      </c>
      <c r="I2021" s="12" t="s">
        <v>8272</v>
      </c>
      <c r="J2021" s="12" t="s">
        <v>9600</v>
      </c>
      <c r="K2021" s="12" t="s">
        <v>11338</v>
      </c>
      <c r="L2021" s="12" t="s">
        <v>11339</v>
      </c>
      <c r="M2021" s="12" t="s">
        <v>11340</v>
      </c>
    </row>
    <row r="2022" spans="1:13" ht="105.6">
      <c r="A2022" s="21" t="s">
        <v>7932</v>
      </c>
      <c r="B2022" s="21" t="s">
        <v>7933</v>
      </c>
      <c r="C2022" s="21" t="s">
        <v>7934</v>
      </c>
      <c r="D2022" s="21" t="s">
        <v>71</v>
      </c>
      <c r="E2022" s="22" t="s">
        <v>7935</v>
      </c>
      <c r="F2022" s="22" t="s">
        <v>7933</v>
      </c>
      <c r="G2022" s="21" t="s">
        <v>7936</v>
      </c>
      <c r="H2022" s="21" t="s">
        <v>7937</v>
      </c>
      <c r="I2022" s="12" t="s">
        <v>8273</v>
      </c>
      <c r="J2022" s="12" t="s">
        <v>9601</v>
      </c>
      <c r="K2022" s="12"/>
      <c r="L2022" s="12" t="s">
        <v>11341</v>
      </c>
      <c r="M2022" s="12" t="s">
        <v>11342</v>
      </c>
    </row>
    <row r="2023" spans="1:13" ht="52.8">
      <c r="A2023" s="21" t="s">
        <v>7932</v>
      </c>
      <c r="B2023" s="21" t="s">
        <v>7933</v>
      </c>
      <c r="C2023" s="21" t="s">
        <v>7934</v>
      </c>
      <c r="D2023" s="21" t="s">
        <v>71</v>
      </c>
      <c r="E2023" s="22" t="s">
        <v>7935</v>
      </c>
      <c r="F2023" s="22" t="s">
        <v>7933</v>
      </c>
      <c r="G2023" s="21" t="s">
        <v>7936</v>
      </c>
      <c r="H2023" s="21" t="s">
        <v>7937</v>
      </c>
      <c r="I2023" s="12" t="s">
        <v>8274</v>
      </c>
      <c r="J2023" s="12" t="s">
        <v>9602</v>
      </c>
      <c r="K2023" s="12" t="s">
        <v>11343</v>
      </c>
      <c r="L2023" s="12" t="s">
        <v>11344</v>
      </c>
      <c r="M2023" s="12" t="s">
        <v>11345</v>
      </c>
    </row>
    <row r="2024" spans="1:13" ht="52.8">
      <c r="A2024" s="21" t="s">
        <v>7932</v>
      </c>
      <c r="B2024" s="21" t="s">
        <v>7933</v>
      </c>
      <c r="C2024" s="21" t="s">
        <v>7934</v>
      </c>
      <c r="D2024" s="21" t="s">
        <v>71</v>
      </c>
      <c r="E2024" s="22" t="s">
        <v>7935</v>
      </c>
      <c r="F2024" s="22" t="s">
        <v>7933</v>
      </c>
      <c r="G2024" s="21" t="s">
        <v>7936</v>
      </c>
      <c r="H2024" s="21" t="s">
        <v>7937</v>
      </c>
      <c r="I2024" s="12" t="s">
        <v>8275</v>
      </c>
      <c r="J2024" s="12" t="s">
        <v>9603</v>
      </c>
      <c r="K2024" s="12"/>
      <c r="L2024" s="12" t="s">
        <v>11346</v>
      </c>
      <c r="M2024" s="12" t="s">
        <v>11347</v>
      </c>
    </row>
    <row r="2025" spans="1:13" ht="66">
      <c r="A2025" s="21" t="s">
        <v>7932</v>
      </c>
      <c r="B2025" s="21" t="s">
        <v>7933</v>
      </c>
      <c r="C2025" s="21" t="s">
        <v>7934</v>
      </c>
      <c r="D2025" s="21" t="s">
        <v>71</v>
      </c>
      <c r="E2025" s="22" t="s">
        <v>7935</v>
      </c>
      <c r="F2025" s="22" t="s">
        <v>7933</v>
      </c>
      <c r="G2025" s="21" t="s">
        <v>7936</v>
      </c>
      <c r="H2025" s="21" t="s">
        <v>7937</v>
      </c>
      <c r="I2025" s="12" t="s">
        <v>8276</v>
      </c>
      <c r="J2025" s="12" t="s">
        <v>9604</v>
      </c>
      <c r="K2025" s="12"/>
      <c r="L2025" s="12" t="s">
        <v>11348</v>
      </c>
      <c r="M2025" s="12" t="s">
        <v>11349</v>
      </c>
    </row>
    <row r="2026" spans="1:13" ht="52.8">
      <c r="A2026" s="21" t="s">
        <v>7932</v>
      </c>
      <c r="B2026" s="21" t="s">
        <v>7933</v>
      </c>
      <c r="C2026" s="21" t="s">
        <v>7934</v>
      </c>
      <c r="D2026" s="21" t="s">
        <v>71</v>
      </c>
      <c r="E2026" s="22" t="s">
        <v>7935</v>
      </c>
      <c r="F2026" s="22" t="s">
        <v>7933</v>
      </c>
      <c r="G2026" s="21" t="s">
        <v>7936</v>
      </c>
      <c r="H2026" s="21" t="s">
        <v>7937</v>
      </c>
      <c r="I2026" s="12" t="s">
        <v>8277</v>
      </c>
      <c r="J2026" s="12" t="s">
        <v>9605</v>
      </c>
      <c r="K2026" s="12" t="s">
        <v>11350</v>
      </c>
      <c r="L2026" s="12" t="s">
        <v>11351</v>
      </c>
      <c r="M2026" s="12" t="s">
        <v>11352</v>
      </c>
    </row>
    <row r="2027" spans="1:13" ht="52.8">
      <c r="A2027" s="21" t="s">
        <v>7932</v>
      </c>
      <c r="B2027" s="21" t="s">
        <v>7933</v>
      </c>
      <c r="C2027" s="21" t="s">
        <v>7934</v>
      </c>
      <c r="D2027" s="21" t="s">
        <v>71</v>
      </c>
      <c r="E2027" s="22" t="s">
        <v>7935</v>
      </c>
      <c r="F2027" s="22" t="s">
        <v>7933</v>
      </c>
      <c r="G2027" s="21" t="s">
        <v>7936</v>
      </c>
      <c r="H2027" s="21" t="s">
        <v>7937</v>
      </c>
      <c r="I2027" s="12" t="s">
        <v>8278</v>
      </c>
      <c r="J2027" s="12" t="s">
        <v>9606</v>
      </c>
      <c r="K2027" s="12"/>
      <c r="L2027" s="12" t="s">
        <v>11353</v>
      </c>
      <c r="M2027" s="12" t="s">
        <v>11354</v>
      </c>
    </row>
    <row r="2028" spans="1:13" ht="52.8">
      <c r="A2028" s="21" t="s">
        <v>7932</v>
      </c>
      <c r="B2028" s="21" t="s">
        <v>7933</v>
      </c>
      <c r="C2028" s="21" t="s">
        <v>7934</v>
      </c>
      <c r="D2028" s="21" t="s">
        <v>71</v>
      </c>
      <c r="E2028" s="22" t="s">
        <v>7935</v>
      </c>
      <c r="F2028" s="22" t="s">
        <v>7933</v>
      </c>
      <c r="G2028" s="21" t="s">
        <v>7936</v>
      </c>
      <c r="H2028" s="21" t="s">
        <v>7937</v>
      </c>
      <c r="I2028" s="12" t="s">
        <v>8279</v>
      </c>
      <c r="J2028" s="12" t="s">
        <v>9607</v>
      </c>
      <c r="K2028" s="12"/>
      <c r="L2028" s="12" t="s">
        <v>11355</v>
      </c>
      <c r="M2028" s="12" t="s">
        <v>11356</v>
      </c>
    </row>
    <row r="2029" spans="1:13" ht="52.8">
      <c r="A2029" s="21" t="s">
        <v>7932</v>
      </c>
      <c r="B2029" s="21" t="s">
        <v>7933</v>
      </c>
      <c r="C2029" s="21" t="s">
        <v>7934</v>
      </c>
      <c r="D2029" s="21" t="s">
        <v>71</v>
      </c>
      <c r="E2029" s="22" t="s">
        <v>7935</v>
      </c>
      <c r="F2029" s="22" t="s">
        <v>7933</v>
      </c>
      <c r="G2029" s="21" t="s">
        <v>7936</v>
      </c>
      <c r="H2029" s="21" t="s">
        <v>7937</v>
      </c>
      <c r="I2029" s="12" t="s">
        <v>8280</v>
      </c>
      <c r="J2029" s="12" t="s">
        <v>9608</v>
      </c>
      <c r="K2029" s="12" t="s">
        <v>11357</v>
      </c>
      <c r="L2029" s="12" t="s">
        <v>11358</v>
      </c>
      <c r="M2029" s="12" t="s">
        <v>11359</v>
      </c>
    </row>
    <row r="2030" spans="1:13" ht="52.8">
      <c r="A2030" s="21" t="s">
        <v>7932</v>
      </c>
      <c r="B2030" s="21" t="s">
        <v>7933</v>
      </c>
      <c r="C2030" s="21" t="s">
        <v>7934</v>
      </c>
      <c r="D2030" s="21" t="s">
        <v>71</v>
      </c>
      <c r="E2030" s="22" t="s">
        <v>7935</v>
      </c>
      <c r="F2030" s="22" t="s">
        <v>7933</v>
      </c>
      <c r="G2030" s="21" t="s">
        <v>7936</v>
      </c>
      <c r="H2030" s="21" t="s">
        <v>7937</v>
      </c>
      <c r="I2030" s="12" t="s">
        <v>8281</v>
      </c>
      <c r="J2030" s="12" t="s">
        <v>9609</v>
      </c>
      <c r="K2030" s="12"/>
      <c r="L2030" s="12" t="s">
        <v>11360</v>
      </c>
      <c r="M2030" s="12" t="s">
        <v>11361</v>
      </c>
    </row>
    <row r="2031" spans="1:13" ht="52.8">
      <c r="A2031" s="21" t="s">
        <v>7932</v>
      </c>
      <c r="B2031" s="21" t="s">
        <v>7933</v>
      </c>
      <c r="C2031" s="21" t="s">
        <v>7934</v>
      </c>
      <c r="D2031" s="21" t="s">
        <v>71</v>
      </c>
      <c r="E2031" s="22" t="s">
        <v>7935</v>
      </c>
      <c r="F2031" s="22" t="s">
        <v>7933</v>
      </c>
      <c r="G2031" s="21" t="s">
        <v>7936</v>
      </c>
      <c r="H2031" s="21" t="s">
        <v>7937</v>
      </c>
      <c r="I2031" s="12" t="s">
        <v>8282</v>
      </c>
      <c r="J2031" s="12" t="s">
        <v>9610</v>
      </c>
      <c r="K2031" s="12" t="s">
        <v>11362</v>
      </c>
      <c r="L2031" s="12" t="s">
        <v>11363</v>
      </c>
      <c r="M2031" s="12" t="s">
        <v>11362</v>
      </c>
    </row>
    <row r="2032" spans="1:13" ht="52.8">
      <c r="A2032" s="21" t="s">
        <v>7932</v>
      </c>
      <c r="B2032" s="21" t="s">
        <v>7933</v>
      </c>
      <c r="C2032" s="21" t="s">
        <v>7934</v>
      </c>
      <c r="D2032" s="21" t="s">
        <v>71</v>
      </c>
      <c r="E2032" s="22" t="s">
        <v>7935</v>
      </c>
      <c r="F2032" s="22" t="s">
        <v>7933</v>
      </c>
      <c r="G2032" s="21" t="s">
        <v>7936</v>
      </c>
      <c r="H2032" s="21" t="s">
        <v>7937</v>
      </c>
      <c r="I2032" s="12" t="s">
        <v>8283</v>
      </c>
      <c r="J2032" s="12" t="s">
        <v>9611</v>
      </c>
      <c r="K2032" s="12" t="s">
        <v>11364</v>
      </c>
      <c r="L2032" s="12" t="s">
        <v>11365</v>
      </c>
      <c r="M2032" s="12" t="s">
        <v>11364</v>
      </c>
    </row>
    <row r="2033" spans="1:13" ht="52.8">
      <c r="A2033" s="21" t="s">
        <v>7932</v>
      </c>
      <c r="B2033" s="21" t="s">
        <v>7933</v>
      </c>
      <c r="C2033" s="21" t="s">
        <v>7934</v>
      </c>
      <c r="D2033" s="21" t="s">
        <v>71</v>
      </c>
      <c r="E2033" s="22" t="s">
        <v>7935</v>
      </c>
      <c r="F2033" s="22" t="s">
        <v>7933</v>
      </c>
      <c r="G2033" s="21" t="s">
        <v>7936</v>
      </c>
      <c r="H2033" s="21" t="s">
        <v>7937</v>
      </c>
      <c r="I2033" s="12" t="s">
        <v>8284</v>
      </c>
      <c r="J2033" s="12" t="s">
        <v>9612</v>
      </c>
      <c r="K2033" s="12" t="s">
        <v>11366</v>
      </c>
      <c r="L2033" s="12" t="s">
        <v>11367</v>
      </c>
      <c r="M2033" s="12" t="s">
        <v>11368</v>
      </c>
    </row>
    <row r="2034" spans="1:13" ht="52.8">
      <c r="A2034" s="21" t="s">
        <v>7932</v>
      </c>
      <c r="B2034" s="21" t="s">
        <v>7933</v>
      </c>
      <c r="C2034" s="21" t="s">
        <v>7934</v>
      </c>
      <c r="D2034" s="21" t="s">
        <v>71</v>
      </c>
      <c r="E2034" s="22" t="s">
        <v>7935</v>
      </c>
      <c r="F2034" s="22" t="s">
        <v>7933</v>
      </c>
      <c r="G2034" s="21" t="s">
        <v>7936</v>
      </c>
      <c r="H2034" s="21" t="s">
        <v>7937</v>
      </c>
      <c r="I2034" s="12" t="s">
        <v>8285</v>
      </c>
      <c r="J2034" s="12" t="s">
        <v>9613</v>
      </c>
      <c r="K2034" s="12" t="s">
        <v>11369</v>
      </c>
      <c r="L2034" s="12" t="s">
        <v>11370</v>
      </c>
      <c r="M2034" s="12" t="s">
        <v>11371</v>
      </c>
    </row>
    <row r="2035" spans="1:13" ht="52.8">
      <c r="A2035" s="21" t="s">
        <v>7932</v>
      </c>
      <c r="B2035" s="21" t="s">
        <v>7933</v>
      </c>
      <c r="C2035" s="21" t="s">
        <v>7934</v>
      </c>
      <c r="D2035" s="21" t="s">
        <v>71</v>
      </c>
      <c r="E2035" s="22" t="s">
        <v>7935</v>
      </c>
      <c r="F2035" s="22" t="s">
        <v>7933</v>
      </c>
      <c r="G2035" s="21" t="s">
        <v>7936</v>
      </c>
      <c r="H2035" s="21" t="s">
        <v>7937</v>
      </c>
      <c r="I2035" s="12" t="s">
        <v>8286</v>
      </c>
      <c r="J2035" s="12" t="s">
        <v>9614</v>
      </c>
      <c r="K2035" s="12"/>
      <c r="L2035" s="12" t="s">
        <v>11372</v>
      </c>
      <c r="M2035" s="12" t="s">
        <v>11373</v>
      </c>
    </row>
    <row r="2036" spans="1:13" ht="52.8">
      <c r="A2036" s="21" t="s">
        <v>7932</v>
      </c>
      <c r="B2036" s="21" t="s">
        <v>7933</v>
      </c>
      <c r="C2036" s="21" t="s">
        <v>7934</v>
      </c>
      <c r="D2036" s="21" t="s">
        <v>71</v>
      </c>
      <c r="E2036" s="22" t="s">
        <v>7935</v>
      </c>
      <c r="F2036" s="22" t="s">
        <v>7933</v>
      </c>
      <c r="G2036" s="21" t="s">
        <v>7936</v>
      </c>
      <c r="H2036" s="21" t="s">
        <v>7937</v>
      </c>
      <c r="I2036" s="12" t="s">
        <v>8287</v>
      </c>
      <c r="J2036" s="12" t="s">
        <v>9615</v>
      </c>
      <c r="K2036" s="12" t="s">
        <v>11374</v>
      </c>
      <c r="L2036" s="12" t="s">
        <v>11375</v>
      </c>
      <c r="M2036" s="12" t="s">
        <v>11374</v>
      </c>
    </row>
    <row r="2037" spans="1:13" ht="52.8">
      <c r="A2037" s="21" t="s">
        <v>7932</v>
      </c>
      <c r="B2037" s="21" t="s">
        <v>7933</v>
      </c>
      <c r="C2037" s="21" t="s">
        <v>7934</v>
      </c>
      <c r="D2037" s="21" t="s">
        <v>71</v>
      </c>
      <c r="E2037" s="22" t="s">
        <v>7935</v>
      </c>
      <c r="F2037" s="22" t="s">
        <v>7933</v>
      </c>
      <c r="G2037" s="21" t="s">
        <v>7936</v>
      </c>
      <c r="H2037" s="21" t="s">
        <v>7937</v>
      </c>
      <c r="I2037" s="12" t="s">
        <v>8288</v>
      </c>
      <c r="J2037" s="12" t="s">
        <v>9616</v>
      </c>
      <c r="K2037" s="12"/>
      <c r="L2037" s="12" t="s">
        <v>11376</v>
      </c>
      <c r="M2037" s="12" t="s">
        <v>11377</v>
      </c>
    </row>
    <row r="2038" spans="1:13" ht="52.8">
      <c r="A2038" s="21" t="s">
        <v>7932</v>
      </c>
      <c r="B2038" s="21" t="s">
        <v>7933</v>
      </c>
      <c r="C2038" s="21" t="s">
        <v>7934</v>
      </c>
      <c r="D2038" s="21" t="s">
        <v>71</v>
      </c>
      <c r="E2038" s="22" t="s">
        <v>7935</v>
      </c>
      <c r="F2038" s="22" t="s">
        <v>7933</v>
      </c>
      <c r="G2038" s="21" t="s">
        <v>7936</v>
      </c>
      <c r="H2038" s="21" t="s">
        <v>7937</v>
      </c>
      <c r="I2038" s="12" t="s">
        <v>8289</v>
      </c>
      <c r="J2038" s="12" t="s">
        <v>9617</v>
      </c>
      <c r="K2038" s="12"/>
      <c r="L2038" s="12" t="s">
        <v>11378</v>
      </c>
      <c r="M2038" s="12" t="s">
        <v>11379</v>
      </c>
    </row>
    <row r="2039" spans="1:13" ht="52.8">
      <c r="A2039" s="21" t="s">
        <v>7932</v>
      </c>
      <c r="B2039" s="21" t="s">
        <v>7933</v>
      </c>
      <c r="C2039" s="21" t="s">
        <v>7934</v>
      </c>
      <c r="D2039" s="21" t="s">
        <v>71</v>
      </c>
      <c r="E2039" s="22" t="s">
        <v>7935</v>
      </c>
      <c r="F2039" s="22" t="s">
        <v>7933</v>
      </c>
      <c r="G2039" s="21" t="s">
        <v>7936</v>
      </c>
      <c r="H2039" s="21" t="s">
        <v>7937</v>
      </c>
      <c r="I2039" s="12" t="s">
        <v>8290</v>
      </c>
      <c r="J2039" s="12" t="s">
        <v>9618</v>
      </c>
      <c r="K2039" s="12" t="s">
        <v>11380</v>
      </c>
      <c r="L2039" s="12" t="s">
        <v>11381</v>
      </c>
      <c r="M2039" s="12" t="s">
        <v>11382</v>
      </c>
    </row>
    <row r="2040" spans="1:13" ht="52.8">
      <c r="A2040" s="21" t="s">
        <v>7932</v>
      </c>
      <c r="B2040" s="21" t="s">
        <v>7933</v>
      </c>
      <c r="C2040" s="21" t="s">
        <v>7934</v>
      </c>
      <c r="D2040" s="21" t="s">
        <v>71</v>
      </c>
      <c r="E2040" s="22" t="s">
        <v>7935</v>
      </c>
      <c r="F2040" s="22" t="s">
        <v>7933</v>
      </c>
      <c r="G2040" s="21" t="s">
        <v>7936</v>
      </c>
      <c r="H2040" s="21" t="s">
        <v>7937</v>
      </c>
      <c r="I2040" s="12" t="s">
        <v>8291</v>
      </c>
      <c r="J2040" s="12" t="s">
        <v>9619</v>
      </c>
      <c r="K2040" s="12" t="s">
        <v>11383</v>
      </c>
      <c r="L2040" s="12" t="s">
        <v>11384</v>
      </c>
      <c r="M2040" s="12" t="s">
        <v>11383</v>
      </c>
    </row>
    <row r="2041" spans="1:13" ht="52.8">
      <c r="A2041" s="21" t="s">
        <v>7932</v>
      </c>
      <c r="B2041" s="21" t="s">
        <v>7933</v>
      </c>
      <c r="C2041" s="21" t="s">
        <v>7934</v>
      </c>
      <c r="D2041" s="21" t="s">
        <v>71</v>
      </c>
      <c r="E2041" s="22" t="s">
        <v>7935</v>
      </c>
      <c r="F2041" s="22" t="s">
        <v>7933</v>
      </c>
      <c r="G2041" s="21" t="s">
        <v>7936</v>
      </c>
      <c r="H2041" s="21" t="s">
        <v>7937</v>
      </c>
      <c r="I2041" s="12" t="s">
        <v>8292</v>
      </c>
      <c r="J2041" s="12" t="s">
        <v>9620</v>
      </c>
      <c r="K2041" s="12"/>
      <c r="L2041" s="12" t="s">
        <v>11385</v>
      </c>
      <c r="M2041" s="12" t="s">
        <v>11386</v>
      </c>
    </row>
    <row r="2042" spans="1:13" ht="52.8">
      <c r="A2042" s="21" t="s">
        <v>7932</v>
      </c>
      <c r="B2042" s="21" t="s">
        <v>7933</v>
      </c>
      <c r="C2042" s="21" t="s">
        <v>7934</v>
      </c>
      <c r="D2042" s="21" t="s">
        <v>71</v>
      </c>
      <c r="E2042" s="22" t="s">
        <v>7935</v>
      </c>
      <c r="F2042" s="22" t="s">
        <v>7933</v>
      </c>
      <c r="G2042" s="21" t="s">
        <v>7936</v>
      </c>
      <c r="H2042" s="21" t="s">
        <v>7937</v>
      </c>
      <c r="I2042" s="12" t="s">
        <v>8293</v>
      </c>
      <c r="J2042" s="12" t="s">
        <v>9621</v>
      </c>
      <c r="K2042" s="12"/>
      <c r="L2042" s="12" t="s">
        <v>11387</v>
      </c>
      <c r="M2042" s="12" t="s">
        <v>11388</v>
      </c>
    </row>
    <row r="2043" spans="1:13" ht="52.8">
      <c r="A2043" s="21" t="s">
        <v>7932</v>
      </c>
      <c r="B2043" s="21" t="s">
        <v>7933</v>
      </c>
      <c r="C2043" s="21" t="s">
        <v>7934</v>
      </c>
      <c r="D2043" s="21" t="s">
        <v>71</v>
      </c>
      <c r="E2043" s="22" t="s">
        <v>7935</v>
      </c>
      <c r="F2043" s="22" t="s">
        <v>7933</v>
      </c>
      <c r="G2043" s="21" t="s">
        <v>7936</v>
      </c>
      <c r="H2043" s="21" t="s">
        <v>7937</v>
      </c>
      <c r="I2043" s="12" t="s">
        <v>8294</v>
      </c>
      <c r="J2043" s="12" t="s">
        <v>9622</v>
      </c>
      <c r="K2043" s="12"/>
      <c r="L2043" s="12" t="s">
        <v>11389</v>
      </c>
      <c r="M2043" s="12" t="s">
        <v>11390</v>
      </c>
    </row>
    <row r="2044" spans="1:13" ht="52.8">
      <c r="A2044" s="21" t="s">
        <v>7932</v>
      </c>
      <c r="B2044" s="21" t="s">
        <v>7933</v>
      </c>
      <c r="C2044" s="21" t="s">
        <v>7934</v>
      </c>
      <c r="D2044" s="21" t="s">
        <v>71</v>
      </c>
      <c r="E2044" s="22" t="s">
        <v>7935</v>
      </c>
      <c r="F2044" s="22" t="s">
        <v>7933</v>
      </c>
      <c r="G2044" s="21" t="s">
        <v>7936</v>
      </c>
      <c r="H2044" s="21" t="s">
        <v>7937</v>
      </c>
      <c r="I2044" s="12" t="s">
        <v>8295</v>
      </c>
      <c r="J2044" s="12" t="s">
        <v>9623</v>
      </c>
      <c r="K2044" s="12" t="s">
        <v>11391</v>
      </c>
      <c r="L2044" s="12" t="s">
        <v>11392</v>
      </c>
      <c r="M2044" s="12" t="s">
        <v>11393</v>
      </c>
    </row>
    <row r="2045" spans="1:13" ht="52.8">
      <c r="A2045" s="21" t="s">
        <v>7932</v>
      </c>
      <c r="B2045" s="21" t="s">
        <v>7933</v>
      </c>
      <c r="C2045" s="21" t="s">
        <v>7934</v>
      </c>
      <c r="D2045" s="21" t="s">
        <v>71</v>
      </c>
      <c r="E2045" s="22" t="s">
        <v>7935</v>
      </c>
      <c r="F2045" s="22" t="s">
        <v>7933</v>
      </c>
      <c r="G2045" s="21" t="s">
        <v>7936</v>
      </c>
      <c r="H2045" s="21" t="s">
        <v>7937</v>
      </c>
      <c r="I2045" s="12" t="s">
        <v>8296</v>
      </c>
      <c r="J2045" s="12" t="s">
        <v>9624</v>
      </c>
      <c r="K2045" s="12"/>
      <c r="L2045" s="12" t="s">
        <v>11394</v>
      </c>
      <c r="M2045" s="12" t="s">
        <v>11395</v>
      </c>
    </row>
    <row r="2046" spans="1:13" ht="52.8">
      <c r="A2046" s="21" t="s">
        <v>7932</v>
      </c>
      <c r="B2046" s="21" t="s">
        <v>7933</v>
      </c>
      <c r="C2046" s="21" t="s">
        <v>7934</v>
      </c>
      <c r="D2046" s="21" t="s">
        <v>71</v>
      </c>
      <c r="E2046" s="22" t="s">
        <v>7935</v>
      </c>
      <c r="F2046" s="22" t="s">
        <v>7933</v>
      </c>
      <c r="G2046" s="21" t="s">
        <v>7936</v>
      </c>
      <c r="H2046" s="21" t="s">
        <v>7937</v>
      </c>
      <c r="I2046" s="12" t="s">
        <v>8297</v>
      </c>
      <c r="J2046" s="12" t="s">
        <v>9625</v>
      </c>
      <c r="K2046" s="12" t="s">
        <v>11396</v>
      </c>
      <c r="L2046" s="12" t="s">
        <v>11397</v>
      </c>
      <c r="M2046" s="12" t="s">
        <v>11396</v>
      </c>
    </row>
    <row r="2047" spans="1:13" ht="52.8">
      <c r="A2047" s="21" t="s">
        <v>7932</v>
      </c>
      <c r="B2047" s="21" t="s">
        <v>7933</v>
      </c>
      <c r="C2047" s="21" t="s">
        <v>7934</v>
      </c>
      <c r="D2047" s="21" t="s">
        <v>71</v>
      </c>
      <c r="E2047" s="22" t="s">
        <v>7935</v>
      </c>
      <c r="F2047" s="22" t="s">
        <v>7933</v>
      </c>
      <c r="G2047" s="21" t="s">
        <v>7936</v>
      </c>
      <c r="H2047" s="21" t="s">
        <v>7937</v>
      </c>
      <c r="I2047" s="12" t="s">
        <v>8298</v>
      </c>
      <c r="J2047" s="12" t="s">
        <v>9626</v>
      </c>
      <c r="K2047" s="12"/>
      <c r="L2047" s="12" t="s">
        <v>11398</v>
      </c>
      <c r="M2047" s="12" t="s">
        <v>11399</v>
      </c>
    </row>
    <row r="2048" spans="1:13" ht="52.8">
      <c r="A2048" s="21" t="s">
        <v>7932</v>
      </c>
      <c r="B2048" s="21" t="s">
        <v>7933</v>
      </c>
      <c r="C2048" s="21" t="s">
        <v>7934</v>
      </c>
      <c r="D2048" s="21" t="s">
        <v>71</v>
      </c>
      <c r="E2048" s="22" t="s">
        <v>7935</v>
      </c>
      <c r="F2048" s="22" t="s">
        <v>7933</v>
      </c>
      <c r="G2048" s="21" t="s">
        <v>7936</v>
      </c>
      <c r="H2048" s="21" t="s">
        <v>7937</v>
      </c>
      <c r="I2048" s="12" t="s">
        <v>8299</v>
      </c>
      <c r="J2048" s="12" t="s">
        <v>9627</v>
      </c>
      <c r="K2048" s="12"/>
      <c r="L2048" s="12" t="s">
        <v>11400</v>
      </c>
      <c r="M2048" s="12" t="s">
        <v>11401</v>
      </c>
    </row>
    <row r="2049" spans="1:13" ht="52.8">
      <c r="A2049" s="21" t="s">
        <v>7932</v>
      </c>
      <c r="B2049" s="21" t="s">
        <v>7933</v>
      </c>
      <c r="C2049" s="21" t="s">
        <v>7934</v>
      </c>
      <c r="D2049" s="21" t="s">
        <v>71</v>
      </c>
      <c r="E2049" s="22" t="s">
        <v>7935</v>
      </c>
      <c r="F2049" s="22" t="s">
        <v>7933</v>
      </c>
      <c r="G2049" s="21" t="s">
        <v>7936</v>
      </c>
      <c r="H2049" s="21" t="s">
        <v>7937</v>
      </c>
      <c r="I2049" s="12" t="s">
        <v>8300</v>
      </c>
      <c r="J2049" s="12" t="s">
        <v>9628</v>
      </c>
      <c r="K2049" s="12"/>
      <c r="L2049" s="12" t="s">
        <v>11402</v>
      </c>
      <c r="M2049" s="12" t="s">
        <v>11403</v>
      </c>
    </row>
    <row r="2050" spans="1:13" ht="52.8">
      <c r="A2050" s="21" t="s">
        <v>7932</v>
      </c>
      <c r="B2050" s="21" t="s">
        <v>7933</v>
      </c>
      <c r="C2050" s="21" t="s">
        <v>7934</v>
      </c>
      <c r="D2050" s="21" t="s">
        <v>71</v>
      </c>
      <c r="E2050" s="22" t="s">
        <v>7935</v>
      </c>
      <c r="F2050" s="22" t="s">
        <v>7933</v>
      </c>
      <c r="G2050" s="21" t="s">
        <v>7936</v>
      </c>
      <c r="H2050" s="21" t="s">
        <v>7937</v>
      </c>
      <c r="I2050" s="12" t="s">
        <v>8301</v>
      </c>
      <c r="J2050" s="12" t="s">
        <v>9629</v>
      </c>
      <c r="K2050" s="12" t="s">
        <v>11404</v>
      </c>
      <c r="L2050" s="12" t="s">
        <v>11405</v>
      </c>
      <c r="M2050" s="12" t="s">
        <v>11406</v>
      </c>
    </row>
    <row r="2051" spans="1:13" ht="52.8">
      <c r="A2051" s="21" t="s">
        <v>7932</v>
      </c>
      <c r="B2051" s="21" t="s">
        <v>7933</v>
      </c>
      <c r="C2051" s="21" t="s">
        <v>7934</v>
      </c>
      <c r="D2051" s="21" t="s">
        <v>71</v>
      </c>
      <c r="E2051" s="22" t="s">
        <v>7935</v>
      </c>
      <c r="F2051" s="22" t="s">
        <v>7933</v>
      </c>
      <c r="G2051" s="21" t="s">
        <v>7936</v>
      </c>
      <c r="H2051" s="21" t="s">
        <v>7937</v>
      </c>
      <c r="I2051" s="12" t="s">
        <v>8302</v>
      </c>
      <c r="J2051" s="12" t="s">
        <v>9630</v>
      </c>
      <c r="K2051" s="12"/>
      <c r="L2051" s="12" t="s">
        <v>11407</v>
      </c>
      <c r="M2051" s="12" t="s">
        <v>11408</v>
      </c>
    </row>
    <row r="2052" spans="1:13" ht="52.8">
      <c r="A2052" s="21" t="s">
        <v>7932</v>
      </c>
      <c r="B2052" s="21" t="s">
        <v>7933</v>
      </c>
      <c r="C2052" s="21" t="s">
        <v>7934</v>
      </c>
      <c r="D2052" s="21" t="s">
        <v>71</v>
      </c>
      <c r="E2052" s="22" t="s">
        <v>7935</v>
      </c>
      <c r="F2052" s="22" t="s">
        <v>7933</v>
      </c>
      <c r="G2052" s="21" t="s">
        <v>7936</v>
      </c>
      <c r="H2052" s="21" t="s">
        <v>7937</v>
      </c>
      <c r="I2052" s="12" t="s">
        <v>8303</v>
      </c>
      <c r="J2052" s="12" t="s">
        <v>9631</v>
      </c>
      <c r="K2052" s="12"/>
      <c r="L2052" s="12" t="s">
        <v>11409</v>
      </c>
      <c r="M2052" s="12" t="s">
        <v>11410</v>
      </c>
    </row>
    <row r="2053" spans="1:13" ht="66">
      <c r="A2053" s="21" t="s">
        <v>7932</v>
      </c>
      <c r="B2053" s="21" t="s">
        <v>7933</v>
      </c>
      <c r="C2053" s="21" t="s">
        <v>7934</v>
      </c>
      <c r="D2053" s="21" t="s">
        <v>71</v>
      </c>
      <c r="E2053" s="22" t="s">
        <v>7935</v>
      </c>
      <c r="F2053" s="22" t="s">
        <v>7933</v>
      </c>
      <c r="G2053" s="21" t="s">
        <v>7936</v>
      </c>
      <c r="H2053" s="21" t="s">
        <v>7937</v>
      </c>
      <c r="I2053" s="12" t="s">
        <v>8304</v>
      </c>
      <c r="J2053" s="12" t="s">
        <v>9632</v>
      </c>
      <c r="K2053" s="12"/>
      <c r="L2053" s="12" t="s">
        <v>11411</v>
      </c>
      <c r="M2053" s="12" t="s">
        <v>11412</v>
      </c>
    </row>
    <row r="2054" spans="1:13" ht="66">
      <c r="A2054" s="21" t="s">
        <v>7932</v>
      </c>
      <c r="B2054" s="21" t="s">
        <v>7933</v>
      </c>
      <c r="C2054" s="21" t="s">
        <v>7934</v>
      </c>
      <c r="D2054" s="21" t="s">
        <v>71</v>
      </c>
      <c r="E2054" s="22" t="s">
        <v>7935</v>
      </c>
      <c r="F2054" s="22" t="s">
        <v>7933</v>
      </c>
      <c r="G2054" s="21" t="s">
        <v>7936</v>
      </c>
      <c r="H2054" s="21" t="s">
        <v>7937</v>
      </c>
      <c r="I2054" s="12" t="s">
        <v>8305</v>
      </c>
      <c r="J2054" s="12" t="s">
        <v>9633</v>
      </c>
      <c r="K2054" s="12"/>
      <c r="L2054" s="12" t="s">
        <v>11413</v>
      </c>
      <c r="M2054" s="12" t="s">
        <v>11414</v>
      </c>
    </row>
    <row r="2055" spans="1:13" ht="52.8">
      <c r="A2055" s="21" t="s">
        <v>7932</v>
      </c>
      <c r="B2055" s="21" t="s">
        <v>7933</v>
      </c>
      <c r="C2055" s="21" t="s">
        <v>7934</v>
      </c>
      <c r="D2055" s="21" t="s">
        <v>71</v>
      </c>
      <c r="E2055" s="22" t="s">
        <v>7935</v>
      </c>
      <c r="F2055" s="22" t="s">
        <v>7933</v>
      </c>
      <c r="G2055" s="21" t="s">
        <v>7936</v>
      </c>
      <c r="H2055" s="21" t="s">
        <v>7937</v>
      </c>
      <c r="I2055" s="12" t="s">
        <v>8306</v>
      </c>
      <c r="J2055" s="12" t="s">
        <v>9634</v>
      </c>
      <c r="K2055" s="12"/>
      <c r="L2055" s="12" t="s">
        <v>11415</v>
      </c>
      <c r="M2055" s="12" t="s">
        <v>11416</v>
      </c>
    </row>
    <row r="2056" spans="1:13" ht="52.8">
      <c r="A2056" s="21" t="s">
        <v>7932</v>
      </c>
      <c r="B2056" s="21" t="s">
        <v>7933</v>
      </c>
      <c r="C2056" s="21" t="s">
        <v>7934</v>
      </c>
      <c r="D2056" s="21" t="s">
        <v>71</v>
      </c>
      <c r="E2056" s="22" t="s">
        <v>7935</v>
      </c>
      <c r="F2056" s="22" t="s">
        <v>7933</v>
      </c>
      <c r="G2056" s="21" t="s">
        <v>7936</v>
      </c>
      <c r="H2056" s="21" t="s">
        <v>7937</v>
      </c>
      <c r="I2056" s="12" t="s">
        <v>8307</v>
      </c>
      <c r="J2056" s="12" t="s">
        <v>9635</v>
      </c>
      <c r="K2056" s="12"/>
      <c r="L2056" s="12" t="s">
        <v>11417</v>
      </c>
      <c r="M2056" s="12" t="s">
        <v>11418</v>
      </c>
    </row>
    <row r="2057" spans="1:13" ht="52.8">
      <c r="A2057" s="21" t="s">
        <v>7932</v>
      </c>
      <c r="B2057" s="21" t="s">
        <v>7933</v>
      </c>
      <c r="C2057" s="21" t="s">
        <v>7934</v>
      </c>
      <c r="D2057" s="21" t="s">
        <v>71</v>
      </c>
      <c r="E2057" s="22" t="s">
        <v>7935</v>
      </c>
      <c r="F2057" s="22" t="s">
        <v>7933</v>
      </c>
      <c r="G2057" s="21" t="s">
        <v>7936</v>
      </c>
      <c r="H2057" s="21" t="s">
        <v>7937</v>
      </c>
      <c r="I2057" s="12" t="s">
        <v>8308</v>
      </c>
      <c r="J2057" s="12" t="s">
        <v>9636</v>
      </c>
      <c r="K2057" s="12"/>
      <c r="L2057" s="12" t="s">
        <v>11419</v>
      </c>
      <c r="M2057" s="12" t="s">
        <v>11420</v>
      </c>
    </row>
    <row r="2058" spans="1:13" ht="52.8">
      <c r="A2058" s="21" t="s">
        <v>7932</v>
      </c>
      <c r="B2058" s="21" t="s">
        <v>7933</v>
      </c>
      <c r="C2058" s="21" t="s">
        <v>7934</v>
      </c>
      <c r="D2058" s="21" t="s">
        <v>71</v>
      </c>
      <c r="E2058" s="22" t="s">
        <v>7935</v>
      </c>
      <c r="F2058" s="22" t="s">
        <v>7933</v>
      </c>
      <c r="G2058" s="21" t="s">
        <v>7936</v>
      </c>
      <c r="H2058" s="21" t="s">
        <v>7937</v>
      </c>
      <c r="I2058" s="12" t="s">
        <v>8309</v>
      </c>
      <c r="J2058" s="12" t="s">
        <v>9637</v>
      </c>
      <c r="K2058" s="12" t="s">
        <v>11421</v>
      </c>
      <c r="L2058" s="12" t="s">
        <v>11422</v>
      </c>
      <c r="M2058" s="12" t="s">
        <v>11421</v>
      </c>
    </row>
    <row r="2059" spans="1:13" ht="52.8">
      <c r="A2059" s="21" t="s">
        <v>7932</v>
      </c>
      <c r="B2059" s="21" t="s">
        <v>7933</v>
      </c>
      <c r="C2059" s="21" t="s">
        <v>7934</v>
      </c>
      <c r="D2059" s="21" t="s">
        <v>71</v>
      </c>
      <c r="E2059" s="22" t="s">
        <v>7935</v>
      </c>
      <c r="F2059" s="22" t="s">
        <v>7933</v>
      </c>
      <c r="G2059" s="21" t="s">
        <v>7936</v>
      </c>
      <c r="H2059" s="21" t="s">
        <v>7937</v>
      </c>
      <c r="I2059" s="12" t="s">
        <v>8310</v>
      </c>
      <c r="J2059" s="12" t="s">
        <v>9638</v>
      </c>
      <c r="K2059" s="12" t="s">
        <v>11423</v>
      </c>
      <c r="L2059" s="12" t="s">
        <v>11424</v>
      </c>
      <c r="M2059" s="12" t="s">
        <v>11423</v>
      </c>
    </row>
    <row r="2060" spans="1:13" ht="52.8">
      <c r="A2060" s="21" t="s">
        <v>7932</v>
      </c>
      <c r="B2060" s="21" t="s">
        <v>7933</v>
      </c>
      <c r="C2060" s="21" t="s">
        <v>7934</v>
      </c>
      <c r="D2060" s="21" t="s">
        <v>71</v>
      </c>
      <c r="E2060" s="22" t="s">
        <v>7935</v>
      </c>
      <c r="F2060" s="22" t="s">
        <v>7933</v>
      </c>
      <c r="G2060" s="21" t="s">
        <v>7936</v>
      </c>
      <c r="H2060" s="21" t="s">
        <v>7937</v>
      </c>
      <c r="I2060" s="12" t="s">
        <v>8311</v>
      </c>
      <c r="J2060" s="12" t="s">
        <v>9639</v>
      </c>
      <c r="K2060" s="12"/>
      <c r="L2060" s="12" t="s">
        <v>11425</v>
      </c>
      <c r="M2060" s="12" t="s">
        <v>11426</v>
      </c>
    </row>
    <row r="2061" spans="1:13" ht="52.8">
      <c r="A2061" s="21" t="s">
        <v>7932</v>
      </c>
      <c r="B2061" s="21" t="s">
        <v>7933</v>
      </c>
      <c r="C2061" s="21" t="s">
        <v>7934</v>
      </c>
      <c r="D2061" s="21" t="s">
        <v>71</v>
      </c>
      <c r="E2061" s="22" t="s">
        <v>7935</v>
      </c>
      <c r="F2061" s="22" t="s">
        <v>7933</v>
      </c>
      <c r="G2061" s="21" t="s">
        <v>7936</v>
      </c>
      <c r="H2061" s="21" t="s">
        <v>7937</v>
      </c>
      <c r="I2061" s="12" t="s">
        <v>8312</v>
      </c>
      <c r="J2061" s="12" t="s">
        <v>9640</v>
      </c>
      <c r="K2061" s="12" t="s">
        <v>11427</v>
      </c>
      <c r="L2061" s="12" t="s">
        <v>11428</v>
      </c>
      <c r="M2061" s="12" t="s">
        <v>11429</v>
      </c>
    </row>
    <row r="2062" spans="1:13" ht="52.8">
      <c r="A2062" s="21" t="s">
        <v>7932</v>
      </c>
      <c r="B2062" s="21" t="s">
        <v>7933</v>
      </c>
      <c r="C2062" s="21" t="s">
        <v>7934</v>
      </c>
      <c r="D2062" s="21" t="s">
        <v>71</v>
      </c>
      <c r="E2062" s="22" t="s">
        <v>7935</v>
      </c>
      <c r="F2062" s="22" t="s">
        <v>7933</v>
      </c>
      <c r="G2062" s="21" t="s">
        <v>7936</v>
      </c>
      <c r="H2062" s="21" t="s">
        <v>7937</v>
      </c>
      <c r="I2062" s="12" t="s">
        <v>8313</v>
      </c>
      <c r="J2062" s="12" t="s">
        <v>9641</v>
      </c>
      <c r="K2062" s="12"/>
      <c r="L2062" s="12" t="s">
        <v>11430</v>
      </c>
      <c r="M2062" s="12" t="s">
        <v>11431</v>
      </c>
    </row>
    <row r="2063" spans="1:13" ht="66">
      <c r="A2063" s="21" t="s">
        <v>7932</v>
      </c>
      <c r="B2063" s="21" t="s">
        <v>7933</v>
      </c>
      <c r="C2063" s="21" t="s">
        <v>7934</v>
      </c>
      <c r="D2063" s="21" t="s">
        <v>71</v>
      </c>
      <c r="E2063" s="22" t="s">
        <v>7935</v>
      </c>
      <c r="F2063" s="22" t="s">
        <v>7933</v>
      </c>
      <c r="G2063" s="21" t="s">
        <v>7936</v>
      </c>
      <c r="H2063" s="21" t="s">
        <v>7937</v>
      </c>
      <c r="I2063" s="12" t="s">
        <v>8314</v>
      </c>
      <c r="J2063" s="12" t="s">
        <v>9642</v>
      </c>
      <c r="K2063" s="12"/>
      <c r="L2063" s="12" t="s">
        <v>11432</v>
      </c>
      <c r="M2063" s="12" t="s">
        <v>11433</v>
      </c>
    </row>
    <row r="2064" spans="1:13" ht="79.2">
      <c r="A2064" s="21" t="s">
        <v>7932</v>
      </c>
      <c r="B2064" s="21" t="s">
        <v>7933</v>
      </c>
      <c r="C2064" s="21" t="s">
        <v>7934</v>
      </c>
      <c r="D2064" s="21" t="s">
        <v>71</v>
      </c>
      <c r="E2064" s="22" t="s">
        <v>7935</v>
      </c>
      <c r="F2064" s="22" t="s">
        <v>7933</v>
      </c>
      <c r="G2064" s="21" t="s">
        <v>7936</v>
      </c>
      <c r="H2064" s="21" t="s">
        <v>7937</v>
      </c>
      <c r="I2064" s="12" t="s">
        <v>8315</v>
      </c>
      <c r="J2064" s="12" t="s">
        <v>9643</v>
      </c>
      <c r="K2064" s="12" t="s">
        <v>11434</v>
      </c>
      <c r="L2064" s="12" t="s">
        <v>11435</v>
      </c>
      <c r="M2064" s="12" t="s">
        <v>11436</v>
      </c>
    </row>
    <row r="2065" spans="1:13" ht="66">
      <c r="A2065" s="21" t="s">
        <v>7932</v>
      </c>
      <c r="B2065" s="21" t="s">
        <v>7933</v>
      </c>
      <c r="C2065" s="21" t="s">
        <v>7934</v>
      </c>
      <c r="D2065" s="21" t="s">
        <v>71</v>
      </c>
      <c r="E2065" s="22" t="s">
        <v>7935</v>
      </c>
      <c r="F2065" s="22" t="s">
        <v>7933</v>
      </c>
      <c r="G2065" s="21" t="s">
        <v>7936</v>
      </c>
      <c r="H2065" s="21" t="s">
        <v>7937</v>
      </c>
      <c r="I2065" s="12" t="s">
        <v>8316</v>
      </c>
      <c r="J2065" s="12" t="s">
        <v>9644</v>
      </c>
      <c r="K2065" s="12" t="s">
        <v>11437</v>
      </c>
      <c r="L2065" s="12" t="s">
        <v>11438</v>
      </c>
      <c r="M2065" s="12" t="s">
        <v>11439</v>
      </c>
    </row>
    <row r="2066" spans="1:13" ht="66">
      <c r="A2066" s="21" t="s">
        <v>7932</v>
      </c>
      <c r="B2066" s="21" t="s">
        <v>7933</v>
      </c>
      <c r="C2066" s="21" t="s">
        <v>7934</v>
      </c>
      <c r="D2066" s="21" t="s">
        <v>71</v>
      </c>
      <c r="E2066" s="22" t="s">
        <v>7935</v>
      </c>
      <c r="F2066" s="22" t="s">
        <v>7933</v>
      </c>
      <c r="G2066" s="21" t="s">
        <v>7936</v>
      </c>
      <c r="H2066" s="21" t="s">
        <v>7937</v>
      </c>
      <c r="I2066" s="12" t="s">
        <v>8317</v>
      </c>
      <c r="J2066" s="12" t="s">
        <v>9645</v>
      </c>
      <c r="K2066" s="12" t="s">
        <v>11440</v>
      </c>
      <c r="L2066" s="12" t="s">
        <v>11441</v>
      </c>
      <c r="M2066" s="12" t="s">
        <v>11442</v>
      </c>
    </row>
    <row r="2067" spans="1:13" ht="52.8">
      <c r="A2067" s="21" t="s">
        <v>7932</v>
      </c>
      <c r="B2067" s="21" t="s">
        <v>7933</v>
      </c>
      <c r="C2067" s="21" t="s">
        <v>7934</v>
      </c>
      <c r="D2067" s="21" t="s">
        <v>71</v>
      </c>
      <c r="E2067" s="22" t="s">
        <v>7935</v>
      </c>
      <c r="F2067" s="22" t="s">
        <v>7933</v>
      </c>
      <c r="G2067" s="21" t="s">
        <v>7936</v>
      </c>
      <c r="H2067" s="21" t="s">
        <v>7937</v>
      </c>
      <c r="I2067" s="12" t="s">
        <v>8318</v>
      </c>
      <c r="J2067" s="12" t="s">
        <v>9646</v>
      </c>
      <c r="K2067" s="12"/>
      <c r="L2067" s="12" t="s">
        <v>11443</v>
      </c>
      <c r="M2067" s="12" t="s">
        <v>11444</v>
      </c>
    </row>
    <row r="2068" spans="1:13" ht="52.8">
      <c r="A2068" s="21" t="s">
        <v>7932</v>
      </c>
      <c r="B2068" s="21" t="s">
        <v>7933</v>
      </c>
      <c r="C2068" s="21" t="s">
        <v>7934</v>
      </c>
      <c r="D2068" s="21" t="s">
        <v>71</v>
      </c>
      <c r="E2068" s="22" t="s">
        <v>7935</v>
      </c>
      <c r="F2068" s="22" t="s">
        <v>7933</v>
      </c>
      <c r="G2068" s="21" t="s">
        <v>7936</v>
      </c>
      <c r="H2068" s="21" t="s">
        <v>7937</v>
      </c>
      <c r="I2068" s="12" t="s">
        <v>8319</v>
      </c>
      <c r="J2068" s="12" t="s">
        <v>9647</v>
      </c>
      <c r="K2068" s="12"/>
      <c r="L2068" s="12" t="s">
        <v>11445</v>
      </c>
      <c r="M2068" s="12" t="s">
        <v>11446</v>
      </c>
    </row>
    <row r="2069" spans="1:13" ht="52.8">
      <c r="A2069" s="21" t="s">
        <v>7932</v>
      </c>
      <c r="B2069" s="21" t="s">
        <v>7933</v>
      </c>
      <c r="C2069" s="21" t="s">
        <v>7934</v>
      </c>
      <c r="D2069" s="21" t="s">
        <v>71</v>
      </c>
      <c r="E2069" s="22" t="s">
        <v>7935</v>
      </c>
      <c r="F2069" s="22" t="s">
        <v>7933</v>
      </c>
      <c r="G2069" s="21" t="s">
        <v>7936</v>
      </c>
      <c r="H2069" s="21" t="s">
        <v>7937</v>
      </c>
      <c r="I2069" s="12" t="s">
        <v>8320</v>
      </c>
      <c r="J2069" s="12" t="s">
        <v>9648</v>
      </c>
      <c r="K2069" s="12"/>
      <c r="L2069" s="12" t="s">
        <v>11447</v>
      </c>
      <c r="M2069" s="12" t="s">
        <v>11448</v>
      </c>
    </row>
    <row r="2070" spans="1:13" ht="66">
      <c r="A2070" s="21" t="s">
        <v>7932</v>
      </c>
      <c r="B2070" s="21" t="s">
        <v>7933</v>
      </c>
      <c r="C2070" s="21" t="s">
        <v>7934</v>
      </c>
      <c r="D2070" s="21" t="s">
        <v>71</v>
      </c>
      <c r="E2070" s="22" t="s">
        <v>7935</v>
      </c>
      <c r="F2070" s="22" t="s">
        <v>7933</v>
      </c>
      <c r="G2070" s="21" t="s">
        <v>7936</v>
      </c>
      <c r="H2070" s="21" t="s">
        <v>7937</v>
      </c>
      <c r="I2070" s="12" t="s">
        <v>8321</v>
      </c>
      <c r="J2070" s="12" t="s">
        <v>9649</v>
      </c>
      <c r="K2070" s="12"/>
      <c r="L2070" s="12" t="s">
        <v>11449</v>
      </c>
      <c r="M2070" s="12" t="s">
        <v>11450</v>
      </c>
    </row>
    <row r="2071" spans="1:13" ht="52.8">
      <c r="A2071" s="21" t="s">
        <v>7932</v>
      </c>
      <c r="B2071" s="21" t="s">
        <v>7933</v>
      </c>
      <c r="C2071" s="21" t="s">
        <v>7934</v>
      </c>
      <c r="D2071" s="21" t="s">
        <v>71</v>
      </c>
      <c r="E2071" s="22" t="s">
        <v>7935</v>
      </c>
      <c r="F2071" s="22" t="s">
        <v>7933</v>
      </c>
      <c r="G2071" s="21" t="s">
        <v>7936</v>
      </c>
      <c r="H2071" s="21" t="s">
        <v>7937</v>
      </c>
      <c r="I2071" s="12" t="s">
        <v>8322</v>
      </c>
      <c r="J2071" s="12" t="s">
        <v>9650</v>
      </c>
      <c r="K2071" s="12"/>
      <c r="L2071" s="12" t="s">
        <v>11451</v>
      </c>
      <c r="M2071" s="12" t="s">
        <v>11452</v>
      </c>
    </row>
    <row r="2072" spans="1:13" ht="52.8">
      <c r="A2072" s="21" t="s">
        <v>7932</v>
      </c>
      <c r="B2072" s="21" t="s">
        <v>7933</v>
      </c>
      <c r="C2072" s="21" t="s">
        <v>7934</v>
      </c>
      <c r="D2072" s="21" t="s">
        <v>71</v>
      </c>
      <c r="E2072" s="22" t="s">
        <v>7935</v>
      </c>
      <c r="F2072" s="22" t="s">
        <v>7933</v>
      </c>
      <c r="G2072" s="21" t="s">
        <v>7936</v>
      </c>
      <c r="H2072" s="21" t="s">
        <v>7937</v>
      </c>
      <c r="I2072" s="12" t="s">
        <v>8323</v>
      </c>
      <c r="J2072" s="12" t="s">
        <v>9651</v>
      </c>
      <c r="K2072" s="12"/>
      <c r="L2072" s="12" t="s">
        <v>11453</v>
      </c>
      <c r="M2072" s="12" t="s">
        <v>11454</v>
      </c>
    </row>
    <row r="2073" spans="1:13" ht="66">
      <c r="A2073" s="21" t="s">
        <v>7932</v>
      </c>
      <c r="B2073" s="21" t="s">
        <v>7933</v>
      </c>
      <c r="C2073" s="21" t="s">
        <v>7934</v>
      </c>
      <c r="D2073" s="21" t="s">
        <v>71</v>
      </c>
      <c r="E2073" s="22" t="s">
        <v>7935</v>
      </c>
      <c r="F2073" s="22" t="s">
        <v>7933</v>
      </c>
      <c r="G2073" s="21" t="s">
        <v>7936</v>
      </c>
      <c r="H2073" s="21" t="s">
        <v>7937</v>
      </c>
      <c r="I2073" s="12" t="s">
        <v>8324</v>
      </c>
      <c r="J2073" s="12" t="s">
        <v>9652</v>
      </c>
      <c r="K2073" s="12"/>
      <c r="L2073" s="12" t="s">
        <v>11455</v>
      </c>
      <c r="M2073" s="12" t="s">
        <v>11456</v>
      </c>
    </row>
    <row r="2074" spans="1:13" ht="66">
      <c r="A2074" s="21" t="s">
        <v>7932</v>
      </c>
      <c r="B2074" s="21" t="s">
        <v>7933</v>
      </c>
      <c r="C2074" s="21" t="s">
        <v>7934</v>
      </c>
      <c r="D2074" s="21" t="s">
        <v>71</v>
      </c>
      <c r="E2074" s="22" t="s">
        <v>7935</v>
      </c>
      <c r="F2074" s="22" t="s">
        <v>7933</v>
      </c>
      <c r="G2074" s="21" t="s">
        <v>7936</v>
      </c>
      <c r="H2074" s="21" t="s">
        <v>7937</v>
      </c>
      <c r="I2074" s="12" t="s">
        <v>8325</v>
      </c>
      <c r="J2074" s="12" t="s">
        <v>9653</v>
      </c>
      <c r="K2074" s="12"/>
      <c r="L2074" s="12" t="s">
        <v>11457</v>
      </c>
      <c r="M2074" s="12" t="s">
        <v>11458</v>
      </c>
    </row>
    <row r="2075" spans="1:13" ht="52.8">
      <c r="A2075" s="21" t="s">
        <v>7932</v>
      </c>
      <c r="B2075" s="21" t="s">
        <v>7933</v>
      </c>
      <c r="C2075" s="21" t="s">
        <v>7934</v>
      </c>
      <c r="D2075" s="21" t="s">
        <v>71</v>
      </c>
      <c r="E2075" s="22" t="s">
        <v>7935</v>
      </c>
      <c r="F2075" s="22" t="s">
        <v>7933</v>
      </c>
      <c r="G2075" s="21" t="s">
        <v>7936</v>
      </c>
      <c r="H2075" s="21" t="s">
        <v>7937</v>
      </c>
      <c r="I2075" s="12" t="s">
        <v>8326</v>
      </c>
      <c r="J2075" s="12" t="s">
        <v>9654</v>
      </c>
      <c r="K2075" s="12"/>
      <c r="L2075" s="12" t="s">
        <v>11459</v>
      </c>
      <c r="M2075" s="12" t="s">
        <v>11460</v>
      </c>
    </row>
    <row r="2076" spans="1:13" ht="79.2">
      <c r="A2076" s="21" t="s">
        <v>7932</v>
      </c>
      <c r="B2076" s="21" t="s">
        <v>7933</v>
      </c>
      <c r="C2076" s="21" t="s">
        <v>7934</v>
      </c>
      <c r="D2076" s="21" t="s">
        <v>71</v>
      </c>
      <c r="E2076" s="22" t="s">
        <v>7935</v>
      </c>
      <c r="F2076" s="22" t="s">
        <v>7933</v>
      </c>
      <c r="G2076" s="21" t="s">
        <v>7936</v>
      </c>
      <c r="H2076" s="21" t="s">
        <v>7937</v>
      </c>
      <c r="I2076" s="12" t="s">
        <v>8327</v>
      </c>
      <c r="J2076" s="12" t="s">
        <v>9655</v>
      </c>
      <c r="K2076" s="12"/>
      <c r="L2076" s="12" t="s">
        <v>11461</v>
      </c>
      <c r="M2076" s="12" t="s">
        <v>11462</v>
      </c>
    </row>
    <row r="2077" spans="1:13" ht="52.8">
      <c r="A2077" s="21" t="s">
        <v>7932</v>
      </c>
      <c r="B2077" s="21" t="s">
        <v>7933</v>
      </c>
      <c r="C2077" s="21" t="s">
        <v>7934</v>
      </c>
      <c r="D2077" s="21" t="s">
        <v>71</v>
      </c>
      <c r="E2077" s="22" t="s">
        <v>7935</v>
      </c>
      <c r="F2077" s="22" t="s">
        <v>7933</v>
      </c>
      <c r="G2077" s="21" t="s">
        <v>7936</v>
      </c>
      <c r="H2077" s="21" t="s">
        <v>7937</v>
      </c>
      <c r="I2077" s="12" t="s">
        <v>8328</v>
      </c>
      <c r="J2077" s="12" t="s">
        <v>9656</v>
      </c>
      <c r="K2077" s="12"/>
      <c r="L2077" s="12" t="s">
        <v>11463</v>
      </c>
      <c r="M2077" s="12" t="s">
        <v>11464</v>
      </c>
    </row>
    <row r="2078" spans="1:13" ht="52.8">
      <c r="A2078" s="21" t="s">
        <v>7932</v>
      </c>
      <c r="B2078" s="21" t="s">
        <v>7933</v>
      </c>
      <c r="C2078" s="21" t="s">
        <v>7934</v>
      </c>
      <c r="D2078" s="21" t="s">
        <v>71</v>
      </c>
      <c r="E2078" s="22" t="s">
        <v>7935</v>
      </c>
      <c r="F2078" s="22" t="s">
        <v>7933</v>
      </c>
      <c r="G2078" s="21" t="s">
        <v>7936</v>
      </c>
      <c r="H2078" s="21" t="s">
        <v>7937</v>
      </c>
      <c r="I2078" s="12" t="s">
        <v>8329</v>
      </c>
      <c r="J2078" s="12" t="s">
        <v>9657</v>
      </c>
      <c r="K2078" s="12"/>
      <c r="L2078" s="12" t="s">
        <v>11465</v>
      </c>
      <c r="M2078" s="12" t="s">
        <v>11466</v>
      </c>
    </row>
    <row r="2079" spans="1:13" ht="52.8">
      <c r="A2079" s="21" t="s">
        <v>7932</v>
      </c>
      <c r="B2079" s="21" t="s">
        <v>7933</v>
      </c>
      <c r="C2079" s="21" t="s">
        <v>7934</v>
      </c>
      <c r="D2079" s="21" t="s">
        <v>71</v>
      </c>
      <c r="E2079" s="22" t="s">
        <v>7935</v>
      </c>
      <c r="F2079" s="22" t="s">
        <v>7933</v>
      </c>
      <c r="G2079" s="21" t="s">
        <v>7936</v>
      </c>
      <c r="H2079" s="21" t="s">
        <v>7937</v>
      </c>
      <c r="I2079" s="12" t="s">
        <v>8330</v>
      </c>
      <c r="J2079" s="12" t="s">
        <v>9658</v>
      </c>
      <c r="K2079" s="12" t="s">
        <v>11467</v>
      </c>
      <c r="L2079" s="12" t="s">
        <v>11468</v>
      </c>
      <c r="M2079" s="12" t="s">
        <v>11469</v>
      </c>
    </row>
    <row r="2080" spans="1:13" ht="52.8">
      <c r="A2080" s="21" t="s">
        <v>7932</v>
      </c>
      <c r="B2080" s="21" t="s">
        <v>7933</v>
      </c>
      <c r="C2080" s="21" t="s">
        <v>7934</v>
      </c>
      <c r="D2080" s="21" t="s">
        <v>71</v>
      </c>
      <c r="E2080" s="22" t="s">
        <v>7935</v>
      </c>
      <c r="F2080" s="22" t="s">
        <v>7933</v>
      </c>
      <c r="G2080" s="21" t="s">
        <v>7936</v>
      </c>
      <c r="H2080" s="21" t="s">
        <v>7937</v>
      </c>
      <c r="I2080" s="12" t="s">
        <v>8331</v>
      </c>
      <c r="J2080" s="12" t="s">
        <v>9659</v>
      </c>
      <c r="K2080" s="12" t="s">
        <v>11470</v>
      </c>
      <c r="L2080" s="12" t="s">
        <v>11471</v>
      </c>
      <c r="M2080" s="12" t="s">
        <v>11472</v>
      </c>
    </row>
    <row r="2081" spans="1:13" ht="52.8">
      <c r="A2081" s="21" t="s">
        <v>7932</v>
      </c>
      <c r="B2081" s="21" t="s">
        <v>7933</v>
      </c>
      <c r="C2081" s="21" t="s">
        <v>7934</v>
      </c>
      <c r="D2081" s="21" t="s">
        <v>71</v>
      </c>
      <c r="E2081" s="22" t="s">
        <v>7935</v>
      </c>
      <c r="F2081" s="22" t="s">
        <v>7933</v>
      </c>
      <c r="G2081" s="21" t="s">
        <v>7936</v>
      </c>
      <c r="H2081" s="21" t="s">
        <v>7937</v>
      </c>
      <c r="I2081" s="12" t="s">
        <v>8332</v>
      </c>
      <c r="J2081" s="12" t="s">
        <v>9660</v>
      </c>
      <c r="K2081" s="12" t="s">
        <v>11473</v>
      </c>
      <c r="L2081" s="12" t="s">
        <v>11474</v>
      </c>
      <c r="M2081" s="12" t="s">
        <v>11475</v>
      </c>
    </row>
    <row r="2082" spans="1:13" ht="52.8">
      <c r="A2082" s="21" t="s">
        <v>7932</v>
      </c>
      <c r="B2082" s="21" t="s">
        <v>7933</v>
      </c>
      <c r="C2082" s="21" t="s">
        <v>7934</v>
      </c>
      <c r="D2082" s="21" t="s">
        <v>71</v>
      </c>
      <c r="E2082" s="22" t="s">
        <v>7935</v>
      </c>
      <c r="F2082" s="22" t="s">
        <v>7933</v>
      </c>
      <c r="G2082" s="21" t="s">
        <v>7936</v>
      </c>
      <c r="H2082" s="21" t="s">
        <v>7937</v>
      </c>
      <c r="I2082" s="12" t="s">
        <v>8333</v>
      </c>
      <c r="J2082" s="12" t="s">
        <v>9661</v>
      </c>
      <c r="K2082" s="12" t="s">
        <v>11476</v>
      </c>
      <c r="L2082" s="12" t="s">
        <v>11477</v>
      </c>
      <c r="M2082" s="12" t="s">
        <v>11478</v>
      </c>
    </row>
    <row r="2083" spans="1:13" ht="52.8">
      <c r="A2083" s="21" t="s">
        <v>7932</v>
      </c>
      <c r="B2083" s="21" t="s">
        <v>7933</v>
      </c>
      <c r="C2083" s="21" t="s">
        <v>7934</v>
      </c>
      <c r="D2083" s="21" t="s">
        <v>71</v>
      </c>
      <c r="E2083" s="22" t="s">
        <v>7935</v>
      </c>
      <c r="F2083" s="22" t="s">
        <v>7933</v>
      </c>
      <c r="G2083" s="21" t="s">
        <v>7936</v>
      </c>
      <c r="H2083" s="21" t="s">
        <v>7937</v>
      </c>
      <c r="I2083" s="12" t="s">
        <v>8334</v>
      </c>
      <c r="J2083" s="12" t="s">
        <v>9662</v>
      </c>
      <c r="K2083" s="12" t="s">
        <v>11479</v>
      </c>
      <c r="L2083" s="12" t="s">
        <v>11480</v>
      </c>
      <c r="M2083" s="12" t="s">
        <v>11481</v>
      </c>
    </row>
    <row r="2084" spans="1:13" ht="52.8">
      <c r="A2084" s="21" t="s">
        <v>7932</v>
      </c>
      <c r="B2084" s="21" t="s">
        <v>7933</v>
      </c>
      <c r="C2084" s="21" t="s">
        <v>7934</v>
      </c>
      <c r="D2084" s="21" t="s">
        <v>71</v>
      </c>
      <c r="E2084" s="22" t="s">
        <v>7935</v>
      </c>
      <c r="F2084" s="22" t="s">
        <v>7933</v>
      </c>
      <c r="G2084" s="21" t="s">
        <v>7936</v>
      </c>
      <c r="H2084" s="21" t="s">
        <v>7937</v>
      </c>
      <c r="I2084" s="12" t="s">
        <v>8335</v>
      </c>
      <c r="J2084" s="12" t="s">
        <v>9663</v>
      </c>
      <c r="K2084" s="12" t="s">
        <v>11482</v>
      </c>
      <c r="L2084" s="12" t="s">
        <v>11483</v>
      </c>
      <c r="M2084" s="12" t="s">
        <v>11484</v>
      </c>
    </row>
    <row r="2085" spans="1:13" ht="52.8">
      <c r="A2085" s="21" t="s">
        <v>7932</v>
      </c>
      <c r="B2085" s="21" t="s">
        <v>7933</v>
      </c>
      <c r="C2085" s="21" t="s">
        <v>7934</v>
      </c>
      <c r="D2085" s="21" t="s">
        <v>71</v>
      </c>
      <c r="E2085" s="22" t="s">
        <v>7935</v>
      </c>
      <c r="F2085" s="22" t="s">
        <v>7933</v>
      </c>
      <c r="G2085" s="21" t="s">
        <v>7936</v>
      </c>
      <c r="H2085" s="21" t="s">
        <v>7937</v>
      </c>
      <c r="I2085" s="12" t="s">
        <v>8336</v>
      </c>
      <c r="J2085" s="12" t="s">
        <v>9664</v>
      </c>
      <c r="K2085" s="12" t="s">
        <v>11485</v>
      </c>
      <c r="L2085" s="12" t="s">
        <v>11486</v>
      </c>
      <c r="M2085" s="12" t="s">
        <v>11485</v>
      </c>
    </row>
    <row r="2086" spans="1:13" ht="52.8">
      <c r="A2086" s="21" t="s">
        <v>7932</v>
      </c>
      <c r="B2086" s="21" t="s">
        <v>7933</v>
      </c>
      <c r="C2086" s="21" t="s">
        <v>7934</v>
      </c>
      <c r="D2086" s="21" t="s">
        <v>71</v>
      </c>
      <c r="E2086" s="22" t="s">
        <v>7935</v>
      </c>
      <c r="F2086" s="22" t="s">
        <v>7933</v>
      </c>
      <c r="G2086" s="21" t="s">
        <v>7936</v>
      </c>
      <c r="H2086" s="21" t="s">
        <v>7937</v>
      </c>
      <c r="I2086" s="12" t="s">
        <v>8337</v>
      </c>
      <c r="J2086" s="12" t="s">
        <v>9665</v>
      </c>
      <c r="K2086" s="12"/>
      <c r="L2086" s="12" t="s">
        <v>11487</v>
      </c>
      <c r="M2086" s="12" t="s">
        <v>4873</v>
      </c>
    </row>
    <row r="2087" spans="1:13" ht="66">
      <c r="A2087" s="21" t="s">
        <v>7932</v>
      </c>
      <c r="B2087" s="21" t="s">
        <v>7933</v>
      </c>
      <c r="C2087" s="21" t="s">
        <v>7934</v>
      </c>
      <c r="D2087" s="21" t="s">
        <v>71</v>
      </c>
      <c r="E2087" s="22" t="s">
        <v>7935</v>
      </c>
      <c r="F2087" s="22" t="s">
        <v>7933</v>
      </c>
      <c r="G2087" s="21" t="s">
        <v>7936</v>
      </c>
      <c r="H2087" s="21" t="s">
        <v>7937</v>
      </c>
      <c r="I2087" s="12" t="s">
        <v>8338</v>
      </c>
      <c r="J2087" s="12" t="s">
        <v>9666</v>
      </c>
      <c r="K2087" s="12"/>
      <c r="L2087" s="12" t="s">
        <v>11488</v>
      </c>
      <c r="M2087" s="12" t="s">
        <v>11489</v>
      </c>
    </row>
    <row r="2088" spans="1:13" ht="52.8">
      <c r="A2088" s="21" t="s">
        <v>7932</v>
      </c>
      <c r="B2088" s="21" t="s">
        <v>7933</v>
      </c>
      <c r="C2088" s="21" t="s">
        <v>7934</v>
      </c>
      <c r="D2088" s="21" t="s">
        <v>71</v>
      </c>
      <c r="E2088" s="22" t="s">
        <v>7935</v>
      </c>
      <c r="F2088" s="22" t="s">
        <v>7933</v>
      </c>
      <c r="G2088" s="21" t="s">
        <v>7936</v>
      </c>
      <c r="H2088" s="21" t="s">
        <v>7937</v>
      </c>
      <c r="I2088" s="12" t="s">
        <v>8339</v>
      </c>
      <c r="J2088" s="12" t="s">
        <v>9667</v>
      </c>
      <c r="K2088" s="12" t="s">
        <v>11490</v>
      </c>
      <c r="L2088" s="12" t="s">
        <v>11491</v>
      </c>
      <c r="M2088" s="12" t="s">
        <v>11490</v>
      </c>
    </row>
    <row r="2089" spans="1:13" ht="52.8">
      <c r="A2089" s="21" t="s">
        <v>7932</v>
      </c>
      <c r="B2089" s="21" t="s">
        <v>7933</v>
      </c>
      <c r="C2089" s="21" t="s">
        <v>7934</v>
      </c>
      <c r="D2089" s="21" t="s">
        <v>71</v>
      </c>
      <c r="E2089" s="22" t="s">
        <v>7935</v>
      </c>
      <c r="F2089" s="22" t="s">
        <v>7933</v>
      </c>
      <c r="G2089" s="21" t="s">
        <v>7936</v>
      </c>
      <c r="H2089" s="21" t="s">
        <v>7937</v>
      </c>
      <c r="I2089" s="12" t="s">
        <v>8340</v>
      </c>
      <c r="J2089" s="12" t="s">
        <v>9668</v>
      </c>
      <c r="K2089" s="12"/>
      <c r="L2089" s="12" t="s">
        <v>11492</v>
      </c>
      <c r="M2089" s="12" t="s">
        <v>11493</v>
      </c>
    </row>
    <row r="2090" spans="1:13" ht="52.8">
      <c r="A2090" s="21" t="s">
        <v>7932</v>
      </c>
      <c r="B2090" s="21" t="s">
        <v>7933</v>
      </c>
      <c r="C2090" s="21" t="s">
        <v>7934</v>
      </c>
      <c r="D2090" s="21" t="s">
        <v>71</v>
      </c>
      <c r="E2090" s="22" t="s">
        <v>7935</v>
      </c>
      <c r="F2090" s="22" t="s">
        <v>7933</v>
      </c>
      <c r="G2090" s="21" t="s">
        <v>7936</v>
      </c>
      <c r="H2090" s="21" t="s">
        <v>7937</v>
      </c>
      <c r="I2090" s="12" t="s">
        <v>8341</v>
      </c>
      <c r="J2090" s="12" t="s">
        <v>9669</v>
      </c>
      <c r="K2090" s="12" t="s">
        <v>11494</v>
      </c>
      <c r="L2090" s="12" t="s">
        <v>11495</v>
      </c>
      <c r="M2090" s="12" t="s">
        <v>11494</v>
      </c>
    </row>
    <row r="2091" spans="1:13" ht="52.8">
      <c r="A2091" s="21" t="s">
        <v>7932</v>
      </c>
      <c r="B2091" s="21" t="s">
        <v>7933</v>
      </c>
      <c r="C2091" s="21" t="s">
        <v>7934</v>
      </c>
      <c r="D2091" s="21" t="s">
        <v>71</v>
      </c>
      <c r="E2091" s="22" t="s">
        <v>7935</v>
      </c>
      <c r="F2091" s="22" t="s">
        <v>7933</v>
      </c>
      <c r="G2091" s="21" t="s">
        <v>7936</v>
      </c>
      <c r="H2091" s="21" t="s">
        <v>7937</v>
      </c>
      <c r="I2091" s="12" t="s">
        <v>8342</v>
      </c>
      <c r="J2091" s="12" t="s">
        <v>9670</v>
      </c>
      <c r="K2091" s="12"/>
      <c r="L2091" s="12" t="s">
        <v>11496</v>
      </c>
      <c r="M2091" s="12" t="s">
        <v>11497</v>
      </c>
    </row>
    <row r="2092" spans="1:13" ht="52.8">
      <c r="A2092" s="21" t="s">
        <v>7932</v>
      </c>
      <c r="B2092" s="21" t="s">
        <v>7933</v>
      </c>
      <c r="C2092" s="21" t="s">
        <v>7934</v>
      </c>
      <c r="D2092" s="21" t="s">
        <v>71</v>
      </c>
      <c r="E2092" s="22" t="s">
        <v>7935</v>
      </c>
      <c r="F2092" s="22" t="s">
        <v>7933</v>
      </c>
      <c r="G2092" s="21" t="s">
        <v>7936</v>
      </c>
      <c r="H2092" s="21" t="s">
        <v>7937</v>
      </c>
      <c r="I2092" s="12" t="s">
        <v>8343</v>
      </c>
      <c r="J2092" s="12" t="s">
        <v>9671</v>
      </c>
      <c r="K2092" s="12" t="s">
        <v>11498</v>
      </c>
      <c r="L2092" s="12" t="s">
        <v>11499</v>
      </c>
      <c r="M2092" s="12" t="s">
        <v>11500</v>
      </c>
    </row>
    <row r="2093" spans="1:13" ht="52.8">
      <c r="A2093" s="21" t="s">
        <v>7932</v>
      </c>
      <c r="B2093" s="21" t="s">
        <v>7933</v>
      </c>
      <c r="C2093" s="21" t="s">
        <v>7934</v>
      </c>
      <c r="D2093" s="21" t="s">
        <v>71</v>
      </c>
      <c r="E2093" s="22" t="s">
        <v>7935</v>
      </c>
      <c r="F2093" s="22" t="s">
        <v>7933</v>
      </c>
      <c r="G2093" s="21" t="s">
        <v>7936</v>
      </c>
      <c r="H2093" s="21" t="s">
        <v>7937</v>
      </c>
      <c r="I2093" s="12" t="s">
        <v>8344</v>
      </c>
      <c r="J2093" s="12" t="s">
        <v>9672</v>
      </c>
      <c r="K2093" s="12" t="s">
        <v>11501</v>
      </c>
      <c r="L2093" s="12" t="s">
        <v>11502</v>
      </c>
      <c r="M2093" s="12" t="s">
        <v>11501</v>
      </c>
    </row>
    <row r="2094" spans="1:13" ht="52.8">
      <c r="A2094" s="21" t="s">
        <v>7932</v>
      </c>
      <c r="B2094" s="21" t="s">
        <v>7933</v>
      </c>
      <c r="C2094" s="21" t="s">
        <v>7934</v>
      </c>
      <c r="D2094" s="21" t="s">
        <v>71</v>
      </c>
      <c r="E2094" s="22" t="s">
        <v>7935</v>
      </c>
      <c r="F2094" s="22" t="s">
        <v>7933</v>
      </c>
      <c r="G2094" s="21" t="s">
        <v>7936</v>
      </c>
      <c r="H2094" s="21" t="s">
        <v>7937</v>
      </c>
      <c r="I2094" s="12" t="s">
        <v>8345</v>
      </c>
      <c r="J2094" s="12" t="s">
        <v>9673</v>
      </c>
      <c r="K2094" s="12" t="s">
        <v>11503</v>
      </c>
      <c r="L2094" s="12" t="s">
        <v>11504</v>
      </c>
      <c r="M2094" s="12" t="s">
        <v>11503</v>
      </c>
    </row>
    <row r="2095" spans="1:13" ht="52.8">
      <c r="A2095" s="21" t="s">
        <v>7932</v>
      </c>
      <c r="B2095" s="21" t="s">
        <v>7933</v>
      </c>
      <c r="C2095" s="21" t="s">
        <v>7934</v>
      </c>
      <c r="D2095" s="21" t="s">
        <v>71</v>
      </c>
      <c r="E2095" s="22" t="s">
        <v>7935</v>
      </c>
      <c r="F2095" s="22" t="s">
        <v>7933</v>
      </c>
      <c r="G2095" s="21" t="s">
        <v>7936</v>
      </c>
      <c r="H2095" s="21" t="s">
        <v>7937</v>
      </c>
      <c r="I2095" s="12" t="s">
        <v>8346</v>
      </c>
      <c r="J2095" s="12" t="s">
        <v>9674</v>
      </c>
      <c r="K2095" s="12"/>
      <c r="L2095" s="12" t="s">
        <v>11505</v>
      </c>
      <c r="M2095" s="12" t="s">
        <v>11506</v>
      </c>
    </row>
    <row r="2096" spans="1:13" ht="52.8">
      <c r="A2096" s="21" t="s">
        <v>7932</v>
      </c>
      <c r="B2096" s="21" t="s">
        <v>7933</v>
      </c>
      <c r="C2096" s="21" t="s">
        <v>7934</v>
      </c>
      <c r="D2096" s="21" t="s">
        <v>71</v>
      </c>
      <c r="E2096" s="22" t="s">
        <v>7935</v>
      </c>
      <c r="F2096" s="22" t="s">
        <v>7933</v>
      </c>
      <c r="G2096" s="21" t="s">
        <v>7936</v>
      </c>
      <c r="H2096" s="21" t="s">
        <v>7937</v>
      </c>
      <c r="I2096" s="12" t="s">
        <v>8347</v>
      </c>
      <c r="J2096" s="12" t="s">
        <v>9675</v>
      </c>
      <c r="K2096" s="12" t="s">
        <v>11507</v>
      </c>
      <c r="L2096" s="12" t="s">
        <v>11508</v>
      </c>
      <c r="M2096" s="12" t="s">
        <v>11507</v>
      </c>
    </row>
    <row r="2097" spans="1:13" ht="52.8">
      <c r="A2097" s="21" t="s">
        <v>7932</v>
      </c>
      <c r="B2097" s="21" t="s">
        <v>7933</v>
      </c>
      <c r="C2097" s="21" t="s">
        <v>7934</v>
      </c>
      <c r="D2097" s="21" t="s">
        <v>71</v>
      </c>
      <c r="E2097" s="22" t="s">
        <v>7935</v>
      </c>
      <c r="F2097" s="22" t="s">
        <v>7933</v>
      </c>
      <c r="G2097" s="21" t="s">
        <v>7936</v>
      </c>
      <c r="H2097" s="21" t="s">
        <v>7937</v>
      </c>
      <c r="I2097" s="12" t="s">
        <v>8348</v>
      </c>
      <c r="J2097" s="12" t="s">
        <v>9676</v>
      </c>
      <c r="K2097" s="12" t="s">
        <v>11509</v>
      </c>
      <c r="L2097" s="12" t="s">
        <v>11510</v>
      </c>
      <c r="M2097" s="12" t="s">
        <v>11509</v>
      </c>
    </row>
    <row r="2098" spans="1:13" ht="52.8">
      <c r="A2098" s="21" t="s">
        <v>7932</v>
      </c>
      <c r="B2098" s="21" t="s">
        <v>7933</v>
      </c>
      <c r="C2098" s="21" t="s">
        <v>7934</v>
      </c>
      <c r="D2098" s="21" t="s">
        <v>71</v>
      </c>
      <c r="E2098" s="22" t="s">
        <v>7935</v>
      </c>
      <c r="F2098" s="22" t="s">
        <v>7933</v>
      </c>
      <c r="G2098" s="21" t="s">
        <v>7936</v>
      </c>
      <c r="H2098" s="21" t="s">
        <v>7937</v>
      </c>
      <c r="I2098" s="12" t="s">
        <v>8349</v>
      </c>
      <c r="J2098" s="12" t="s">
        <v>9677</v>
      </c>
      <c r="K2098" s="12"/>
      <c r="L2098" s="12" t="s">
        <v>11511</v>
      </c>
      <c r="M2098" s="12" t="s">
        <v>11512</v>
      </c>
    </row>
    <row r="2099" spans="1:13" ht="52.8">
      <c r="A2099" s="21" t="s">
        <v>7932</v>
      </c>
      <c r="B2099" s="21" t="s">
        <v>7933</v>
      </c>
      <c r="C2099" s="21" t="s">
        <v>7934</v>
      </c>
      <c r="D2099" s="21" t="s">
        <v>71</v>
      </c>
      <c r="E2099" s="22" t="s">
        <v>7935</v>
      </c>
      <c r="F2099" s="22" t="s">
        <v>7933</v>
      </c>
      <c r="G2099" s="21" t="s">
        <v>7936</v>
      </c>
      <c r="H2099" s="21" t="s">
        <v>7937</v>
      </c>
      <c r="I2099" s="12" t="s">
        <v>8350</v>
      </c>
      <c r="J2099" s="12" t="s">
        <v>9678</v>
      </c>
      <c r="K2099" s="12"/>
      <c r="L2099" s="12" t="s">
        <v>11513</v>
      </c>
      <c r="M2099" s="12" t="s">
        <v>11514</v>
      </c>
    </row>
    <row r="2100" spans="1:13" ht="52.8">
      <c r="A2100" s="21" t="s">
        <v>7932</v>
      </c>
      <c r="B2100" s="21" t="s">
        <v>7933</v>
      </c>
      <c r="C2100" s="21" t="s">
        <v>7934</v>
      </c>
      <c r="D2100" s="21" t="s">
        <v>71</v>
      </c>
      <c r="E2100" s="22" t="s">
        <v>7935</v>
      </c>
      <c r="F2100" s="22" t="s">
        <v>7933</v>
      </c>
      <c r="G2100" s="21" t="s">
        <v>7936</v>
      </c>
      <c r="H2100" s="21" t="s">
        <v>7937</v>
      </c>
      <c r="I2100" s="12" t="s">
        <v>8351</v>
      </c>
      <c r="J2100" s="12" t="s">
        <v>9679</v>
      </c>
      <c r="K2100" s="12"/>
      <c r="L2100" s="12" t="s">
        <v>11515</v>
      </c>
      <c r="M2100" s="12" t="s">
        <v>11516</v>
      </c>
    </row>
    <row r="2101" spans="1:13" ht="52.8">
      <c r="A2101" s="21" t="s">
        <v>7932</v>
      </c>
      <c r="B2101" s="21" t="s">
        <v>7933</v>
      </c>
      <c r="C2101" s="21" t="s">
        <v>7934</v>
      </c>
      <c r="D2101" s="21" t="s">
        <v>71</v>
      </c>
      <c r="E2101" s="22" t="s">
        <v>7935</v>
      </c>
      <c r="F2101" s="22" t="s">
        <v>7933</v>
      </c>
      <c r="G2101" s="21" t="s">
        <v>7936</v>
      </c>
      <c r="H2101" s="21" t="s">
        <v>7937</v>
      </c>
      <c r="I2101" s="12" t="s">
        <v>8352</v>
      </c>
      <c r="J2101" s="12" t="s">
        <v>9680</v>
      </c>
      <c r="K2101" s="12"/>
      <c r="L2101" s="12" t="s">
        <v>11517</v>
      </c>
      <c r="M2101" s="12" t="s">
        <v>11518</v>
      </c>
    </row>
    <row r="2102" spans="1:13" ht="52.8">
      <c r="A2102" s="21" t="s">
        <v>7932</v>
      </c>
      <c r="B2102" s="21" t="s">
        <v>7933</v>
      </c>
      <c r="C2102" s="21" t="s">
        <v>7934</v>
      </c>
      <c r="D2102" s="21" t="s">
        <v>71</v>
      </c>
      <c r="E2102" s="22" t="s">
        <v>7935</v>
      </c>
      <c r="F2102" s="22" t="s">
        <v>7933</v>
      </c>
      <c r="G2102" s="21" t="s">
        <v>7936</v>
      </c>
      <c r="H2102" s="21" t="s">
        <v>7937</v>
      </c>
      <c r="I2102" s="12" t="s">
        <v>8353</v>
      </c>
      <c r="J2102" s="12" t="s">
        <v>9681</v>
      </c>
      <c r="K2102" s="12"/>
      <c r="L2102" s="12" t="s">
        <v>11519</v>
      </c>
      <c r="M2102" s="12" t="s">
        <v>11520</v>
      </c>
    </row>
    <row r="2103" spans="1:13" ht="52.8">
      <c r="A2103" s="21" t="s">
        <v>7932</v>
      </c>
      <c r="B2103" s="21" t="s">
        <v>7933</v>
      </c>
      <c r="C2103" s="21" t="s">
        <v>7934</v>
      </c>
      <c r="D2103" s="21" t="s">
        <v>71</v>
      </c>
      <c r="E2103" s="22" t="s">
        <v>7935</v>
      </c>
      <c r="F2103" s="22" t="s">
        <v>7933</v>
      </c>
      <c r="G2103" s="21" t="s">
        <v>7936</v>
      </c>
      <c r="H2103" s="21" t="s">
        <v>7937</v>
      </c>
      <c r="I2103" s="12" t="s">
        <v>8354</v>
      </c>
      <c r="J2103" s="12" t="s">
        <v>9682</v>
      </c>
      <c r="K2103" s="12" t="s">
        <v>11521</v>
      </c>
      <c r="L2103" s="12" t="s">
        <v>11522</v>
      </c>
      <c r="M2103" s="12" t="s">
        <v>11523</v>
      </c>
    </row>
    <row r="2104" spans="1:13" ht="52.8">
      <c r="A2104" s="21" t="s">
        <v>7932</v>
      </c>
      <c r="B2104" s="21" t="s">
        <v>7933</v>
      </c>
      <c r="C2104" s="21" t="s">
        <v>7934</v>
      </c>
      <c r="D2104" s="21" t="s">
        <v>71</v>
      </c>
      <c r="E2104" s="22" t="s">
        <v>7935</v>
      </c>
      <c r="F2104" s="22" t="s">
        <v>7933</v>
      </c>
      <c r="G2104" s="21" t="s">
        <v>7936</v>
      </c>
      <c r="H2104" s="21" t="s">
        <v>7937</v>
      </c>
      <c r="I2104" s="12" t="s">
        <v>8355</v>
      </c>
      <c r="J2104" s="12" t="s">
        <v>9683</v>
      </c>
      <c r="K2104" s="12"/>
      <c r="L2104" s="12" t="s">
        <v>11524</v>
      </c>
      <c r="M2104" s="12" t="s">
        <v>11525</v>
      </c>
    </row>
    <row r="2105" spans="1:13" ht="52.8">
      <c r="A2105" s="21" t="s">
        <v>7932</v>
      </c>
      <c r="B2105" s="21" t="s">
        <v>7933</v>
      </c>
      <c r="C2105" s="21" t="s">
        <v>7934</v>
      </c>
      <c r="D2105" s="21" t="s">
        <v>71</v>
      </c>
      <c r="E2105" s="22" t="s">
        <v>7935</v>
      </c>
      <c r="F2105" s="22" t="s">
        <v>7933</v>
      </c>
      <c r="G2105" s="21" t="s">
        <v>7936</v>
      </c>
      <c r="H2105" s="21" t="s">
        <v>7937</v>
      </c>
      <c r="I2105" s="12" t="s">
        <v>8356</v>
      </c>
      <c r="J2105" s="12" t="s">
        <v>9684</v>
      </c>
      <c r="K2105" s="12"/>
      <c r="L2105" s="12" t="s">
        <v>11526</v>
      </c>
      <c r="M2105" s="12" t="s">
        <v>11527</v>
      </c>
    </row>
    <row r="2106" spans="1:13" ht="52.8">
      <c r="A2106" s="21" t="s">
        <v>7932</v>
      </c>
      <c r="B2106" s="21" t="s">
        <v>7933</v>
      </c>
      <c r="C2106" s="21" t="s">
        <v>7934</v>
      </c>
      <c r="D2106" s="21" t="s">
        <v>71</v>
      </c>
      <c r="E2106" s="22" t="s">
        <v>7935</v>
      </c>
      <c r="F2106" s="22" t="s">
        <v>7933</v>
      </c>
      <c r="G2106" s="21" t="s">
        <v>7936</v>
      </c>
      <c r="H2106" s="21" t="s">
        <v>7937</v>
      </c>
      <c r="I2106" s="12" t="s">
        <v>8357</v>
      </c>
      <c r="J2106" s="12" t="s">
        <v>9685</v>
      </c>
      <c r="K2106" s="12" t="s">
        <v>11528</v>
      </c>
      <c r="L2106" s="12" t="s">
        <v>11529</v>
      </c>
      <c r="M2106" s="12" t="s">
        <v>11530</v>
      </c>
    </row>
    <row r="2107" spans="1:13" ht="52.8">
      <c r="A2107" s="21" t="s">
        <v>7932</v>
      </c>
      <c r="B2107" s="21" t="s">
        <v>7933</v>
      </c>
      <c r="C2107" s="21" t="s">
        <v>7934</v>
      </c>
      <c r="D2107" s="21" t="s">
        <v>71</v>
      </c>
      <c r="E2107" s="22" t="s">
        <v>7935</v>
      </c>
      <c r="F2107" s="22" t="s">
        <v>7933</v>
      </c>
      <c r="G2107" s="21" t="s">
        <v>7936</v>
      </c>
      <c r="H2107" s="21" t="s">
        <v>7937</v>
      </c>
      <c r="I2107" s="12" t="s">
        <v>8358</v>
      </c>
      <c r="J2107" s="12" t="s">
        <v>9686</v>
      </c>
      <c r="K2107" s="12"/>
      <c r="L2107" s="12" t="s">
        <v>11531</v>
      </c>
      <c r="M2107" s="12" t="s">
        <v>11532</v>
      </c>
    </row>
    <row r="2108" spans="1:13" ht="52.8">
      <c r="A2108" s="21" t="s">
        <v>7932</v>
      </c>
      <c r="B2108" s="21" t="s">
        <v>7933</v>
      </c>
      <c r="C2108" s="21" t="s">
        <v>7934</v>
      </c>
      <c r="D2108" s="21" t="s">
        <v>71</v>
      </c>
      <c r="E2108" s="22" t="s">
        <v>7935</v>
      </c>
      <c r="F2108" s="22" t="s">
        <v>7933</v>
      </c>
      <c r="G2108" s="21" t="s">
        <v>7936</v>
      </c>
      <c r="H2108" s="21" t="s">
        <v>7937</v>
      </c>
      <c r="I2108" s="12" t="s">
        <v>8359</v>
      </c>
      <c r="J2108" s="12" t="s">
        <v>9687</v>
      </c>
      <c r="K2108" s="12"/>
      <c r="L2108" s="12" t="s">
        <v>11533</v>
      </c>
      <c r="M2108" s="12" t="s">
        <v>11534</v>
      </c>
    </row>
    <row r="2109" spans="1:13" ht="52.8">
      <c r="A2109" s="21" t="s">
        <v>7932</v>
      </c>
      <c r="B2109" s="21" t="s">
        <v>7933</v>
      </c>
      <c r="C2109" s="21" t="s">
        <v>7934</v>
      </c>
      <c r="D2109" s="21" t="s">
        <v>71</v>
      </c>
      <c r="E2109" s="22" t="s">
        <v>7935</v>
      </c>
      <c r="F2109" s="22" t="s">
        <v>7933</v>
      </c>
      <c r="G2109" s="21" t="s">
        <v>7936</v>
      </c>
      <c r="H2109" s="21" t="s">
        <v>7937</v>
      </c>
      <c r="I2109" s="12" t="s">
        <v>8360</v>
      </c>
      <c r="J2109" s="12" t="s">
        <v>9688</v>
      </c>
      <c r="K2109" s="12"/>
      <c r="L2109" s="12" t="s">
        <v>11535</v>
      </c>
      <c r="M2109" s="12" t="s">
        <v>11536</v>
      </c>
    </row>
    <row r="2110" spans="1:13" ht="52.8">
      <c r="A2110" s="21" t="s">
        <v>7932</v>
      </c>
      <c r="B2110" s="21" t="s">
        <v>7933</v>
      </c>
      <c r="C2110" s="21" t="s">
        <v>7934</v>
      </c>
      <c r="D2110" s="21" t="s">
        <v>71</v>
      </c>
      <c r="E2110" s="22" t="s">
        <v>7935</v>
      </c>
      <c r="F2110" s="22" t="s">
        <v>7933</v>
      </c>
      <c r="G2110" s="21" t="s">
        <v>7936</v>
      </c>
      <c r="H2110" s="21" t="s">
        <v>7937</v>
      </c>
      <c r="I2110" s="12" t="s">
        <v>8361</v>
      </c>
      <c r="J2110" s="12" t="s">
        <v>9689</v>
      </c>
      <c r="K2110" s="12" t="s">
        <v>11537</v>
      </c>
      <c r="L2110" s="12" t="s">
        <v>11538</v>
      </c>
      <c r="M2110" s="12" t="s">
        <v>11537</v>
      </c>
    </row>
    <row r="2111" spans="1:13" ht="52.8">
      <c r="A2111" s="21" t="s">
        <v>7932</v>
      </c>
      <c r="B2111" s="21" t="s">
        <v>7933</v>
      </c>
      <c r="C2111" s="21" t="s">
        <v>7934</v>
      </c>
      <c r="D2111" s="21" t="s">
        <v>71</v>
      </c>
      <c r="E2111" s="22" t="s">
        <v>7935</v>
      </c>
      <c r="F2111" s="22" t="s">
        <v>7933</v>
      </c>
      <c r="G2111" s="21" t="s">
        <v>7936</v>
      </c>
      <c r="H2111" s="21" t="s">
        <v>7937</v>
      </c>
      <c r="I2111" s="12" t="s">
        <v>8362</v>
      </c>
      <c r="J2111" s="12" t="s">
        <v>9690</v>
      </c>
      <c r="K2111" s="12" t="s">
        <v>11539</v>
      </c>
      <c r="L2111" s="12" t="s">
        <v>11540</v>
      </c>
      <c r="M2111" s="12" t="s">
        <v>11541</v>
      </c>
    </row>
    <row r="2112" spans="1:13" ht="66">
      <c r="A2112" s="21" t="s">
        <v>7932</v>
      </c>
      <c r="B2112" s="21" t="s">
        <v>7933</v>
      </c>
      <c r="C2112" s="21" t="s">
        <v>7934</v>
      </c>
      <c r="D2112" s="21" t="s">
        <v>71</v>
      </c>
      <c r="E2112" s="22" t="s">
        <v>7935</v>
      </c>
      <c r="F2112" s="22" t="s">
        <v>7933</v>
      </c>
      <c r="G2112" s="21" t="s">
        <v>7936</v>
      </c>
      <c r="H2112" s="21" t="s">
        <v>7937</v>
      </c>
      <c r="I2112" s="12" t="s">
        <v>8363</v>
      </c>
      <c r="J2112" s="12" t="s">
        <v>9691</v>
      </c>
      <c r="K2112" s="12" t="s">
        <v>11542</v>
      </c>
      <c r="L2112" s="12" t="s">
        <v>11543</v>
      </c>
      <c r="M2112" s="12" t="s">
        <v>11542</v>
      </c>
    </row>
    <row r="2113" spans="1:13" ht="52.8">
      <c r="A2113" s="21" t="s">
        <v>7932</v>
      </c>
      <c r="B2113" s="21" t="s">
        <v>7933</v>
      </c>
      <c r="C2113" s="21" t="s">
        <v>7934</v>
      </c>
      <c r="D2113" s="21" t="s">
        <v>71</v>
      </c>
      <c r="E2113" s="22" t="s">
        <v>7935</v>
      </c>
      <c r="F2113" s="22" t="s">
        <v>7933</v>
      </c>
      <c r="G2113" s="21" t="s">
        <v>7936</v>
      </c>
      <c r="H2113" s="21" t="s">
        <v>7937</v>
      </c>
      <c r="I2113" s="12" t="s">
        <v>8364</v>
      </c>
      <c r="J2113" s="12" t="s">
        <v>9692</v>
      </c>
      <c r="K2113" s="12" t="s">
        <v>11544</v>
      </c>
      <c r="L2113" s="12" t="s">
        <v>11545</v>
      </c>
      <c r="M2113" s="12" t="s">
        <v>11544</v>
      </c>
    </row>
    <row r="2114" spans="1:13" ht="52.8">
      <c r="A2114" s="21" t="s">
        <v>7932</v>
      </c>
      <c r="B2114" s="21" t="s">
        <v>7933</v>
      </c>
      <c r="C2114" s="21" t="s">
        <v>7934</v>
      </c>
      <c r="D2114" s="21" t="s">
        <v>71</v>
      </c>
      <c r="E2114" s="22" t="s">
        <v>7935</v>
      </c>
      <c r="F2114" s="22" t="s">
        <v>7933</v>
      </c>
      <c r="G2114" s="21" t="s">
        <v>7936</v>
      </c>
      <c r="H2114" s="21" t="s">
        <v>7937</v>
      </c>
      <c r="I2114" s="12" t="s">
        <v>8365</v>
      </c>
      <c r="J2114" s="12" t="s">
        <v>9693</v>
      </c>
      <c r="K2114" s="12"/>
      <c r="L2114" s="12" t="s">
        <v>11546</v>
      </c>
      <c r="M2114" s="12" t="s">
        <v>11547</v>
      </c>
    </row>
    <row r="2115" spans="1:13" ht="52.8">
      <c r="A2115" s="21" t="s">
        <v>7932</v>
      </c>
      <c r="B2115" s="21" t="s">
        <v>7933</v>
      </c>
      <c r="C2115" s="21" t="s">
        <v>7934</v>
      </c>
      <c r="D2115" s="21" t="s">
        <v>71</v>
      </c>
      <c r="E2115" s="22" t="s">
        <v>7935</v>
      </c>
      <c r="F2115" s="22" t="s">
        <v>7933</v>
      </c>
      <c r="G2115" s="21" t="s">
        <v>7936</v>
      </c>
      <c r="H2115" s="21" t="s">
        <v>7937</v>
      </c>
      <c r="I2115" s="12" t="s">
        <v>8366</v>
      </c>
      <c r="J2115" s="12" t="s">
        <v>9694</v>
      </c>
      <c r="K2115" s="12" t="s">
        <v>11548</v>
      </c>
      <c r="L2115" s="12" t="s">
        <v>11549</v>
      </c>
      <c r="M2115" s="12" t="s">
        <v>11548</v>
      </c>
    </row>
    <row r="2116" spans="1:13" ht="52.8">
      <c r="A2116" s="21" t="s">
        <v>7932</v>
      </c>
      <c r="B2116" s="21" t="s">
        <v>7933</v>
      </c>
      <c r="C2116" s="21" t="s">
        <v>7934</v>
      </c>
      <c r="D2116" s="21" t="s">
        <v>71</v>
      </c>
      <c r="E2116" s="22" t="s">
        <v>7935</v>
      </c>
      <c r="F2116" s="22" t="s">
        <v>7933</v>
      </c>
      <c r="G2116" s="21" t="s">
        <v>7936</v>
      </c>
      <c r="H2116" s="21" t="s">
        <v>7937</v>
      </c>
      <c r="I2116" s="12" t="s">
        <v>8367</v>
      </c>
      <c r="J2116" s="12" t="s">
        <v>9695</v>
      </c>
      <c r="K2116" s="12"/>
      <c r="L2116" s="12" t="s">
        <v>11550</v>
      </c>
      <c r="M2116" s="12" t="s">
        <v>11551</v>
      </c>
    </row>
    <row r="2117" spans="1:13" ht="52.8">
      <c r="A2117" s="21" t="s">
        <v>7932</v>
      </c>
      <c r="B2117" s="21" t="s">
        <v>7933</v>
      </c>
      <c r="C2117" s="21" t="s">
        <v>7934</v>
      </c>
      <c r="D2117" s="21" t="s">
        <v>71</v>
      </c>
      <c r="E2117" s="22" t="s">
        <v>7935</v>
      </c>
      <c r="F2117" s="22" t="s">
        <v>7933</v>
      </c>
      <c r="G2117" s="21" t="s">
        <v>7936</v>
      </c>
      <c r="H2117" s="21" t="s">
        <v>7937</v>
      </c>
      <c r="I2117" s="12" t="s">
        <v>8368</v>
      </c>
      <c r="J2117" s="12" t="s">
        <v>9696</v>
      </c>
      <c r="K2117" s="12"/>
      <c r="L2117" s="12" t="s">
        <v>11552</v>
      </c>
      <c r="M2117" s="12" t="s">
        <v>11553</v>
      </c>
    </row>
    <row r="2118" spans="1:13" ht="52.8">
      <c r="A2118" s="21" t="s">
        <v>7932</v>
      </c>
      <c r="B2118" s="21" t="s">
        <v>7933</v>
      </c>
      <c r="C2118" s="21" t="s">
        <v>7934</v>
      </c>
      <c r="D2118" s="21" t="s">
        <v>71</v>
      </c>
      <c r="E2118" s="22" t="s">
        <v>7935</v>
      </c>
      <c r="F2118" s="22" t="s">
        <v>7933</v>
      </c>
      <c r="G2118" s="21" t="s">
        <v>7936</v>
      </c>
      <c r="H2118" s="21" t="s">
        <v>7937</v>
      </c>
      <c r="I2118" s="12" t="s">
        <v>8369</v>
      </c>
      <c r="J2118" s="12" t="s">
        <v>9697</v>
      </c>
      <c r="K2118" s="12"/>
      <c r="L2118" s="12" t="s">
        <v>11554</v>
      </c>
      <c r="M2118" s="12" t="s">
        <v>11555</v>
      </c>
    </row>
    <row r="2119" spans="1:13" ht="52.8">
      <c r="A2119" s="21" t="s">
        <v>7932</v>
      </c>
      <c r="B2119" s="21" t="s">
        <v>7933</v>
      </c>
      <c r="C2119" s="21" t="s">
        <v>7934</v>
      </c>
      <c r="D2119" s="21" t="s">
        <v>71</v>
      </c>
      <c r="E2119" s="22" t="s">
        <v>7935</v>
      </c>
      <c r="F2119" s="22" t="s">
        <v>7933</v>
      </c>
      <c r="G2119" s="21" t="s">
        <v>7936</v>
      </c>
      <c r="H2119" s="21" t="s">
        <v>7937</v>
      </c>
      <c r="I2119" s="12" t="s">
        <v>8370</v>
      </c>
      <c r="J2119" s="12" t="s">
        <v>9698</v>
      </c>
      <c r="K2119" s="12"/>
      <c r="L2119" s="12" t="s">
        <v>11556</v>
      </c>
      <c r="M2119" s="12" t="s">
        <v>11557</v>
      </c>
    </row>
    <row r="2120" spans="1:13" ht="52.8">
      <c r="A2120" s="21" t="s">
        <v>7932</v>
      </c>
      <c r="B2120" s="21" t="s">
        <v>7933</v>
      </c>
      <c r="C2120" s="21" t="s">
        <v>7934</v>
      </c>
      <c r="D2120" s="21" t="s">
        <v>71</v>
      </c>
      <c r="E2120" s="22" t="s">
        <v>7935</v>
      </c>
      <c r="F2120" s="22" t="s">
        <v>7933</v>
      </c>
      <c r="G2120" s="21" t="s">
        <v>7936</v>
      </c>
      <c r="H2120" s="21" t="s">
        <v>7937</v>
      </c>
      <c r="I2120" s="12" t="s">
        <v>8371</v>
      </c>
      <c r="J2120" s="12" t="s">
        <v>9699</v>
      </c>
      <c r="K2120" s="12"/>
      <c r="L2120" s="12" t="s">
        <v>11558</v>
      </c>
      <c r="M2120" s="12" t="s">
        <v>11559</v>
      </c>
    </row>
    <row r="2121" spans="1:13" ht="52.8">
      <c r="A2121" s="21" t="s">
        <v>7932</v>
      </c>
      <c r="B2121" s="21" t="s">
        <v>7933</v>
      </c>
      <c r="C2121" s="21" t="s">
        <v>7934</v>
      </c>
      <c r="D2121" s="21" t="s">
        <v>71</v>
      </c>
      <c r="E2121" s="22" t="s">
        <v>7935</v>
      </c>
      <c r="F2121" s="22" t="s">
        <v>7933</v>
      </c>
      <c r="G2121" s="21" t="s">
        <v>7936</v>
      </c>
      <c r="H2121" s="21" t="s">
        <v>7937</v>
      </c>
      <c r="I2121" s="12" t="s">
        <v>8372</v>
      </c>
      <c r="J2121" s="12" t="s">
        <v>9700</v>
      </c>
      <c r="K2121" s="12"/>
      <c r="L2121" s="12" t="s">
        <v>11560</v>
      </c>
      <c r="M2121" s="12" t="s">
        <v>11561</v>
      </c>
    </row>
    <row r="2122" spans="1:13" ht="52.8">
      <c r="A2122" s="21" t="s">
        <v>7932</v>
      </c>
      <c r="B2122" s="21" t="s">
        <v>7933</v>
      </c>
      <c r="C2122" s="21" t="s">
        <v>7934</v>
      </c>
      <c r="D2122" s="21" t="s">
        <v>71</v>
      </c>
      <c r="E2122" s="22" t="s">
        <v>7935</v>
      </c>
      <c r="F2122" s="22" t="s">
        <v>7933</v>
      </c>
      <c r="G2122" s="21" t="s">
        <v>7936</v>
      </c>
      <c r="H2122" s="21" t="s">
        <v>7937</v>
      </c>
      <c r="I2122" s="12" t="s">
        <v>8373</v>
      </c>
      <c r="J2122" s="12" t="s">
        <v>9701</v>
      </c>
      <c r="K2122" s="12" t="s">
        <v>11562</v>
      </c>
      <c r="L2122" s="12" t="s">
        <v>11563</v>
      </c>
      <c r="M2122" s="12" t="s">
        <v>11564</v>
      </c>
    </row>
    <row r="2123" spans="1:13" ht="52.8">
      <c r="A2123" s="21" t="s">
        <v>7932</v>
      </c>
      <c r="B2123" s="21" t="s">
        <v>7933</v>
      </c>
      <c r="C2123" s="21" t="s">
        <v>7934</v>
      </c>
      <c r="D2123" s="21" t="s">
        <v>71</v>
      </c>
      <c r="E2123" s="22" t="s">
        <v>7935</v>
      </c>
      <c r="F2123" s="22" t="s">
        <v>7933</v>
      </c>
      <c r="G2123" s="21" t="s">
        <v>7936</v>
      </c>
      <c r="H2123" s="21" t="s">
        <v>7937</v>
      </c>
      <c r="I2123" s="12" t="s">
        <v>8374</v>
      </c>
      <c r="J2123" s="12" t="s">
        <v>9702</v>
      </c>
      <c r="K2123" s="12"/>
      <c r="L2123" s="12" t="s">
        <v>11565</v>
      </c>
      <c r="M2123" s="12" t="s">
        <v>11566</v>
      </c>
    </row>
    <row r="2124" spans="1:13" ht="52.8">
      <c r="A2124" s="21" t="s">
        <v>7932</v>
      </c>
      <c r="B2124" s="21" t="s">
        <v>7933</v>
      </c>
      <c r="C2124" s="21" t="s">
        <v>7934</v>
      </c>
      <c r="D2124" s="21" t="s">
        <v>71</v>
      </c>
      <c r="E2124" s="22" t="s">
        <v>7935</v>
      </c>
      <c r="F2124" s="22" t="s">
        <v>7933</v>
      </c>
      <c r="G2124" s="21" t="s">
        <v>7936</v>
      </c>
      <c r="H2124" s="21" t="s">
        <v>7937</v>
      </c>
      <c r="I2124" s="12" t="s">
        <v>8375</v>
      </c>
      <c r="J2124" s="12" t="s">
        <v>9703</v>
      </c>
      <c r="K2124" s="12" t="s">
        <v>11567</v>
      </c>
      <c r="L2124" s="12" t="s">
        <v>11568</v>
      </c>
      <c r="M2124" s="12" t="s">
        <v>11567</v>
      </c>
    </row>
    <row r="2125" spans="1:13" ht="52.8">
      <c r="A2125" s="21" t="s">
        <v>7932</v>
      </c>
      <c r="B2125" s="21" t="s">
        <v>7933</v>
      </c>
      <c r="C2125" s="21" t="s">
        <v>7934</v>
      </c>
      <c r="D2125" s="21" t="s">
        <v>71</v>
      </c>
      <c r="E2125" s="22" t="s">
        <v>7935</v>
      </c>
      <c r="F2125" s="22" t="s">
        <v>7933</v>
      </c>
      <c r="G2125" s="21" t="s">
        <v>7936</v>
      </c>
      <c r="H2125" s="21" t="s">
        <v>7937</v>
      </c>
      <c r="I2125" s="12" t="s">
        <v>8376</v>
      </c>
      <c r="J2125" s="12" t="s">
        <v>9704</v>
      </c>
      <c r="K2125" s="12"/>
      <c r="L2125" s="12" t="s">
        <v>11569</v>
      </c>
      <c r="M2125" s="12" t="s">
        <v>11570</v>
      </c>
    </row>
    <row r="2126" spans="1:13" ht="52.8">
      <c r="A2126" s="21" t="s">
        <v>7932</v>
      </c>
      <c r="B2126" s="21" t="s">
        <v>7933</v>
      </c>
      <c r="C2126" s="21" t="s">
        <v>7934</v>
      </c>
      <c r="D2126" s="21" t="s">
        <v>71</v>
      </c>
      <c r="E2126" s="22" t="s">
        <v>7935</v>
      </c>
      <c r="F2126" s="22" t="s">
        <v>7933</v>
      </c>
      <c r="G2126" s="21" t="s">
        <v>7936</v>
      </c>
      <c r="H2126" s="21" t="s">
        <v>7937</v>
      </c>
      <c r="I2126" s="12" t="s">
        <v>8377</v>
      </c>
      <c r="J2126" s="12" t="s">
        <v>9705</v>
      </c>
      <c r="K2126" s="12"/>
      <c r="L2126" s="12" t="s">
        <v>11571</v>
      </c>
      <c r="M2126" s="12" t="s">
        <v>11572</v>
      </c>
    </row>
    <row r="2127" spans="1:13" ht="52.8">
      <c r="A2127" s="21" t="s">
        <v>7932</v>
      </c>
      <c r="B2127" s="21" t="s">
        <v>7933</v>
      </c>
      <c r="C2127" s="21" t="s">
        <v>7934</v>
      </c>
      <c r="D2127" s="21" t="s">
        <v>71</v>
      </c>
      <c r="E2127" s="22" t="s">
        <v>7935</v>
      </c>
      <c r="F2127" s="22" t="s">
        <v>7933</v>
      </c>
      <c r="G2127" s="21" t="s">
        <v>7936</v>
      </c>
      <c r="H2127" s="21" t="s">
        <v>7937</v>
      </c>
      <c r="I2127" s="12" t="s">
        <v>8378</v>
      </c>
      <c r="J2127" s="12" t="s">
        <v>9706</v>
      </c>
      <c r="K2127" s="12"/>
      <c r="L2127" s="12" t="s">
        <v>11573</v>
      </c>
      <c r="M2127" s="12" t="s">
        <v>11574</v>
      </c>
    </row>
    <row r="2128" spans="1:13" ht="52.8">
      <c r="A2128" s="21" t="s">
        <v>7932</v>
      </c>
      <c r="B2128" s="21" t="s">
        <v>7933</v>
      </c>
      <c r="C2128" s="21" t="s">
        <v>7934</v>
      </c>
      <c r="D2128" s="21" t="s">
        <v>71</v>
      </c>
      <c r="E2128" s="22" t="s">
        <v>7935</v>
      </c>
      <c r="F2128" s="22" t="s">
        <v>7933</v>
      </c>
      <c r="G2128" s="21" t="s">
        <v>7936</v>
      </c>
      <c r="H2128" s="21" t="s">
        <v>7937</v>
      </c>
      <c r="I2128" s="12" t="s">
        <v>8379</v>
      </c>
      <c r="J2128" s="12" t="s">
        <v>9707</v>
      </c>
      <c r="K2128" s="12" t="s">
        <v>11575</v>
      </c>
      <c r="L2128" s="12" t="s">
        <v>11576</v>
      </c>
      <c r="M2128" s="12" t="s">
        <v>11575</v>
      </c>
    </row>
    <row r="2129" spans="1:13" ht="52.8">
      <c r="A2129" s="21" t="s">
        <v>7932</v>
      </c>
      <c r="B2129" s="21" t="s">
        <v>7933</v>
      </c>
      <c r="C2129" s="21" t="s">
        <v>7934</v>
      </c>
      <c r="D2129" s="21" t="s">
        <v>71</v>
      </c>
      <c r="E2129" s="22" t="s">
        <v>7935</v>
      </c>
      <c r="F2129" s="22" t="s">
        <v>7933</v>
      </c>
      <c r="G2129" s="21" t="s">
        <v>7936</v>
      </c>
      <c r="H2129" s="21" t="s">
        <v>7937</v>
      </c>
      <c r="I2129" s="12" t="s">
        <v>8380</v>
      </c>
      <c r="J2129" s="12" t="s">
        <v>9708</v>
      </c>
      <c r="K2129" s="12" t="s">
        <v>11577</v>
      </c>
      <c r="L2129" s="12" t="s">
        <v>11578</v>
      </c>
      <c r="M2129" s="12" t="s">
        <v>11577</v>
      </c>
    </row>
    <row r="2130" spans="1:13" ht="52.8">
      <c r="A2130" s="21" t="s">
        <v>7932</v>
      </c>
      <c r="B2130" s="21" t="s">
        <v>7933</v>
      </c>
      <c r="C2130" s="21" t="s">
        <v>7934</v>
      </c>
      <c r="D2130" s="21" t="s">
        <v>71</v>
      </c>
      <c r="E2130" s="22" t="s">
        <v>7935</v>
      </c>
      <c r="F2130" s="22" t="s">
        <v>7933</v>
      </c>
      <c r="G2130" s="21" t="s">
        <v>7936</v>
      </c>
      <c r="H2130" s="21" t="s">
        <v>7937</v>
      </c>
      <c r="I2130" s="12" t="s">
        <v>8381</v>
      </c>
      <c r="J2130" s="12" t="s">
        <v>9709</v>
      </c>
      <c r="K2130" s="12" t="s">
        <v>11579</v>
      </c>
      <c r="L2130" s="12" t="s">
        <v>11580</v>
      </c>
      <c r="M2130" s="12" t="s">
        <v>11579</v>
      </c>
    </row>
    <row r="2131" spans="1:13" ht="52.8">
      <c r="A2131" s="21" t="s">
        <v>7932</v>
      </c>
      <c r="B2131" s="21" t="s">
        <v>7933</v>
      </c>
      <c r="C2131" s="21" t="s">
        <v>7934</v>
      </c>
      <c r="D2131" s="21" t="s">
        <v>71</v>
      </c>
      <c r="E2131" s="22" t="s">
        <v>7935</v>
      </c>
      <c r="F2131" s="22" t="s">
        <v>7933</v>
      </c>
      <c r="G2131" s="21" t="s">
        <v>7936</v>
      </c>
      <c r="H2131" s="21" t="s">
        <v>7937</v>
      </c>
      <c r="I2131" s="12" t="s">
        <v>8382</v>
      </c>
      <c r="J2131" s="12" t="s">
        <v>9710</v>
      </c>
      <c r="K2131" s="12"/>
      <c r="L2131" s="12" t="s">
        <v>11581</v>
      </c>
      <c r="M2131" s="12" t="s">
        <v>11582</v>
      </c>
    </row>
    <row r="2132" spans="1:13" ht="52.8">
      <c r="A2132" s="21" t="s">
        <v>7932</v>
      </c>
      <c r="B2132" s="21" t="s">
        <v>7933</v>
      </c>
      <c r="C2132" s="21" t="s">
        <v>7934</v>
      </c>
      <c r="D2132" s="21" t="s">
        <v>71</v>
      </c>
      <c r="E2132" s="22" t="s">
        <v>7935</v>
      </c>
      <c r="F2132" s="22" t="s">
        <v>7933</v>
      </c>
      <c r="G2132" s="21" t="s">
        <v>7936</v>
      </c>
      <c r="H2132" s="21" t="s">
        <v>7937</v>
      </c>
      <c r="I2132" s="12" t="s">
        <v>8383</v>
      </c>
      <c r="J2132" s="12" t="s">
        <v>9711</v>
      </c>
      <c r="K2132" s="12"/>
      <c r="L2132" s="12" t="s">
        <v>11583</v>
      </c>
      <c r="M2132" s="12" t="s">
        <v>11584</v>
      </c>
    </row>
    <row r="2133" spans="1:13" ht="52.8">
      <c r="A2133" s="21" t="s">
        <v>7932</v>
      </c>
      <c r="B2133" s="21" t="s">
        <v>7933</v>
      </c>
      <c r="C2133" s="21" t="s">
        <v>7934</v>
      </c>
      <c r="D2133" s="21" t="s">
        <v>71</v>
      </c>
      <c r="E2133" s="22" t="s">
        <v>7935</v>
      </c>
      <c r="F2133" s="22" t="s">
        <v>7933</v>
      </c>
      <c r="G2133" s="21" t="s">
        <v>7936</v>
      </c>
      <c r="H2133" s="21" t="s">
        <v>7937</v>
      </c>
      <c r="I2133" s="12" t="s">
        <v>8384</v>
      </c>
      <c r="J2133" s="12" t="s">
        <v>9712</v>
      </c>
      <c r="K2133" s="12"/>
      <c r="L2133" s="12" t="s">
        <v>11585</v>
      </c>
      <c r="M2133" s="12" t="s">
        <v>11586</v>
      </c>
    </row>
    <row r="2134" spans="1:13" ht="52.8">
      <c r="A2134" s="21" t="s">
        <v>7932</v>
      </c>
      <c r="B2134" s="21" t="s">
        <v>7933</v>
      </c>
      <c r="C2134" s="21" t="s">
        <v>7934</v>
      </c>
      <c r="D2134" s="21" t="s">
        <v>71</v>
      </c>
      <c r="E2134" s="22" t="s">
        <v>7935</v>
      </c>
      <c r="F2134" s="22" t="s">
        <v>7933</v>
      </c>
      <c r="G2134" s="21" t="s">
        <v>7936</v>
      </c>
      <c r="H2134" s="21" t="s">
        <v>7937</v>
      </c>
      <c r="I2134" s="12" t="s">
        <v>8385</v>
      </c>
      <c r="J2134" s="12" t="s">
        <v>9713</v>
      </c>
      <c r="K2134" s="12"/>
      <c r="L2134" s="12" t="s">
        <v>11587</v>
      </c>
      <c r="M2134" s="12" t="s">
        <v>11588</v>
      </c>
    </row>
    <row r="2135" spans="1:13" ht="66">
      <c r="A2135" s="21" t="s">
        <v>7932</v>
      </c>
      <c r="B2135" s="21" t="s">
        <v>7933</v>
      </c>
      <c r="C2135" s="21" t="s">
        <v>7934</v>
      </c>
      <c r="D2135" s="21" t="s">
        <v>71</v>
      </c>
      <c r="E2135" s="22" t="s">
        <v>7935</v>
      </c>
      <c r="F2135" s="22" t="s">
        <v>7933</v>
      </c>
      <c r="G2135" s="21" t="s">
        <v>7936</v>
      </c>
      <c r="H2135" s="21" t="s">
        <v>7937</v>
      </c>
      <c r="I2135" s="12" t="s">
        <v>8386</v>
      </c>
      <c r="J2135" s="12" t="s">
        <v>9714</v>
      </c>
      <c r="K2135" s="12"/>
      <c r="L2135" s="12" t="s">
        <v>11589</v>
      </c>
      <c r="M2135" s="12" t="s">
        <v>11590</v>
      </c>
    </row>
    <row r="2136" spans="1:13" ht="52.8">
      <c r="A2136" s="21" t="s">
        <v>7932</v>
      </c>
      <c r="B2136" s="21" t="s">
        <v>7933</v>
      </c>
      <c r="C2136" s="21" t="s">
        <v>7934</v>
      </c>
      <c r="D2136" s="21" t="s">
        <v>71</v>
      </c>
      <c r="E2136" s="22" t="s">
        <v>7935</v>
      </c>
      <c r="F2136" s="22" t="s">
        <v>7933</v>
      </c>
      <c r="G2136" s="21" t="s">
        <v>7936</v>
      </c>
      <c r="H2136" s="21" t="s">
        <v>7937</v>
      </c>
      <c r="I2136" s="12" t="s">
        <v>8387</v>
      </c>
      <c r="J2136" s="12" t="s">
        <v>9715</v>
      </c>
      <c r="K2136" s="12" t="s">
        <v>11591</v>
      </c>
      <c r="L2136" s="12" t="s">
        <v>11592</v>
      </c>
      <c r="M2136" s="12" t="s">
        <v>11591</v>
      </c>
    </row>
    <row r="2137" spans="1:13" ht="52.8">
      <c r="A2137" s="21" t="s">
        <v>7932</v>
      </c>
      <c r="B2137" s="21" t="s">
        <v>7933</v>
      </c>
      <c r="C2137" s="21" t="s">
        <v>7934</v>
      </c>
      <c r="D2137" s="21" t="s">
        <v>71</v>
      </c>
      <c r="E2137" s="22" t="s">
        <v>7935</v>
      </c>
      <c r="F2137" s="22" t="s">
        <v>7933</v>
      </c>
      <c r="G2137" s="21" t="s">
        <v>7936</v>
      </c>
      <c r="H2137" s="21" t="s">
        <v>7937</v>
      </c>
      <c r="I2137" s="12" t="s">
        <v>8388</v>
      </c>
      <c r="J2137" s="12" t="s">
        <v>9716</v>
      </c>
      <c r="K2137" s="12" t="s">
        <v>11593</v>
      </c>
      <c r="L2137" s="12" t="s">
        <v>11594</v>
      </c>
      <c r="M2137" s="12" t="s">
        <v>11593</v>
      </c>
    </row>
    <row r="2138" spans="1:13" ht="52.8">
      <c r="A2138" s="21" t="s">
        <v>7932</v>
      </c>
      <c r="B2138" s="21" t="s">
        <v>7933</v>
      </c>
      <c r="C2138" s="21" t="s">
        <v>7934</v>
      </c>
      <c r="D2138" s="21" t="s">
        <v>71</v>
      </c>
      <c r="E2138" s="22" t="s">
        <v>7935</v>
      </c>
      <c r="F2138" s="22" t="s">
        <v>7933</v>
      </c>
      <c r="G2138" s="21" t="s">
        <v>7936</v>
      </c>
      <c r="H2138" s="21" t="s">
        <v>7937</v>
      </c>
      <c r="I2138" s="12" t="s">
        <v>8389</v>
      </c>
      <c r="J2138" s="12" t="s">
        <v>9717</v>
      </c>
      <c r="K2138" s="12"/>
      <c r="L2138" s="12" t="s">
        <v>11595</v>
      </c>
      <c r="M2138" s="12" t="s">
        <v>11596</v>
      </c>
    </row>
    <row r="2139" spans="1:13" ht="52.8">
      <c r="A2139" s="21" t="s">
        <v>7932</v>
      </c>
      <c r="B2139" s="21" t="s">
        <v>7933</v>
      </c>
      <c r="C2139" s="21" t="s">
        <v>7934</v>
      </c>
      <c r="D2139" s="21" t="s">
        <v>71</v>
      </c>
      <c r="E2139" s="22" t="s">
        <v>7935</v>
      </c>
      <c r="F2139" s="22" t="s">
        <v>7933</v>
      </c>
      <c r="G2139" s="21" t="s">
        <v>7936</v>
      </c>
      <c r="H2139" s="21" t="s">
        <v>7937</v>
      </c>
      <c r="I2139" s="12" t="s">
        <v>8390</v>
      </c>
      <c r="J2139" s="12" t="s">
        <v>9718</v>
      </c>
      <c r="K2139" s="12" t="s">
        <v>11597</v>
      </c>
      <c r="L2139" s="12" t="s">
        <v>11598</v>
      </c>
      <c r="M2139" s="12" t="s">
        <v>11597</v>
      </c>
    </row>
    <row r="2140" spans="1:13" ht="52.8">
      <c r="A2140" s="21" t="s">
        <v>7932</v>
      </c>
      <c r="B2140" s="21" t="s">
        <v>7933</v>
      </c>
      <c r="C2140" s="21" t="s">
        <v>7934</v>
      </c>
      <c r="D2140" s="21" t="s">
        <v>71</v>
      </c>
      <c r="E2140" s="22" t="s">
        <v>7935</v>
      </c>
      <c r="F2140" s="22" t="s">
        <v>7933</v>
      </c>
      <c r="G2140" s="21" t="s">
        <v>7936</v>
      </c>
      <c r="H2140" s="21" t="s">
        <v>7937</v>
      </c>
      <c r="I2140" s="12" t="s">
        <v>8391</v>
      </c>
      <c r="J2140" s="12" t="s">
        <v>9719</v>
      </c>
      <c r="K2140" s="12" t="s">
        <v>11599</v>
      </c>
      <c r="L2140" s="12" t="s">
        <v>11600</v>
      </c>
      <c r="M2140" s="12" t="s">
        <v>11601</v>
      </c>
    </row>
    <row r="2141" spans="1:13" ht="52.8">
      <c r="A2141" s="21" t="s">
        <v>7932</v>
      </c>
      <c r="B2141" s="21" t="s">
        <v>7933</v>
      </c>
      <c r="C2141" s="21" t="s">
        <v>7934</v>
      </c>
      <c r="D2141" s="21" t="s">
        <v>71</v>
      </c>
      <c r="E2141" s="22" t="s">
        <v>7935</v>
      </c>
      <c r="F2141" s="22" t="s">
        <v>7933</v>
      </c>
      <c r="G2141" s="21" t="s">
        <v>7936</v>
      </c>
      <c r="H2141" s="21" t="s">
        <v>7937</v>
      </c>
      <c r="I2141" s="12" t="s">
        <v>8392</v>
      </c>
      <c r="J2141" s="12" t="s">
        <v>9720</v>
      </c>
      <c r="K2141" s="12"/>
      <c r="L2141" s="12" t="s">
        <v>11602</v>
      </c>
      <c r="M2141" s="12" t="s">
        <v>11603</v>
      </c>
    </row>
    <row r="2142" spans="1:13" ht="66">
      <c r="A2142" s="21" t="s">
        <v>7932</v>
      </c>
      <c r="B2142" s="21" t="s">
        <v>7933</v>
      </c>
      <c r="C2142" s="21" t="s">
        <v>7934</v>
      </c>
      <c r="D2142" s="21" t="s">
        <v>71</v>
      </c>
      <c r="E2142" s="22" t="s">
        <v>7935</v>
      </c>
      <c r="F2142" s="22" t="s">
        <v>7933</v>
      </c>
      <c r="G2142" s="21" t="s">
        <v>7936</v>
      </c>
      <c r="H2142" s="21" t="s">
        <v>7937</v>
      </c>
      <c r="I2142" s="12" t="s">
        <v>8393</v>
      </c>
      <c r="J2142" s="12" t="s">
        <v>9721</v>
      </c>
      <c r="K2142" s="12"/>
      <c r="L2142" s="12" t="s">
        <v>11604</v>
      </c>
      <c r="M2142" s="12" t="s">
        <v>11605</v>
      </c>
    </row>
    <row r="2143" spans="1:13" ht="52.8">
      <c r="A2143" s="21" t="s">
        <v>7932</v>
      </c>
      <c r="B2143" s="21" t="s">
        <v>7933</v>
      </c>
      <c r="C2143" s="21" t="s">
        <v>7934</v>
      </c>
      <c r="D2143" s="21" t="s">
        <v>71</v>
      </c>
      <c r="E2143" s="22" t="s">
        <v>7935</v>
      </c>
      <c r="F2143" s="22" t="s">
        <v>7933</v>
      </c>
      <c r="G2143" s="21" t="s">
        <v>7936</v>
      </c>
      <c r="H2143" s="21" t="s">
        <v>7937</v>
      </c>
      <c r="I2143" s="12" t="s">
        <v>8394</v>
      </c>
      <c r="J2143" s="12" t="s">
        <v>9722</v>
      </c>
      <c r="K2143" s="12"/>
      <c r="L2143" s="12" t="s">
        <v>11606</v>
      </c>
      <c r="M2143" s="12" t="s">
        <v>11607</v>
      </c>
    </row>
    <row r="2144" spans="1:13" ht="52.8">
      <c r="A2144" s="21" t="s">
        <v>7932</v>
      </c>
      <c r="B2144" s="21" t="s">
        <v>7933</v>
      </c>
      <c r="C2144" s="21" t="s">
        <v>7934</v>
      </c>
      <c r="D2144" s="21" t="s">
        <v>71</v>
      </c>
      <c r="E2144" s="22" t="s">
        <v>7935</v>
      </c>
      <c r="F2144" s="22" t="s">
        <v>7933</v>
      </c>
      <c r="G2144" s="21" t="s">
        <v>7936</v>
      </c>
      <c r="H2144" s="21" t="s">
        <v>7937</v>
      </c>
      <c r="I2144" s="12" t="s">
        <v>8395</v>
      </c>
      <c r="J2144" s="12" t="s">
        <v>9723</v>
      </c>
      <c r="K2144" s="12" t="s">
        <v>11608</v>
      </c>
      <c r="L2144" s="12" t="s">
        <v>11609</v>
      </c>
      <c r="M2144" s="12" t="s">
        <v>11608</v>
      </c>
    </row>
    <row r="2145" spans="1:13" ht="52.8">
      <c r="A2145" s="21" t="s">
        <v>7932</v>
      </c>
      <c r="B2145" s="21" t="s">
        <v>7933</v>
      </c>
      <c r="C2145" s="21" t="s">
        <v>7934</v>
      </c>
      <c r="D2145" s="21" t="s">
        <v>71</v>
      </c>
      <c r="E2145" s="22" t="s">
        <v>7935</v>
      </c>
      <c r="F2145" s="22" t="s">
        <v>7933</v>
      </c>
      <c r="G2145" s="21" t="s">
        <v>7936</v>
      </c>
      <c r="H2145" s="21" t="s">
        <v>7937</v>
      </c>
      <c r="I2145" s="12" t="s">
        <v>8396</v>
      </c>
      <c r="J2145" s="12" t="s">
        <v>9724</v>
      </c>
      <c r="K2145" s="12" t="s">
        <v>11610</v>
      </c>
      <c r="L2145" s="12" t="s">
        <v>11611</v>
      </c>
      <c r="M2145" s="12" t="s">
        <v>11610</v>
      </c>
    </row>
    <row r="2146" spans="1:13" ht="52.8">
      <c r="A2146" s="21" t="s">
        <v>7932</v>
      </c>
      <c r="B2146" s="21" t="s">
        <v>7933</v>
      </c>
      <c r="C2146" s="21" t="s">
        <v>7934</v>
      </c>
      <c r="D2146" s="21" t="s">
        <v>71</v>
      </c>
      <c r="E2146" s="22" t="s">
        <v>7935</v>
      </c>
      <c r="F2146" s="22" t="s">
        <v>7933</v>
      </c>
      <c r="G2146" s="21" t="s">
        <v>7936</v>
      </c>
      <c r="H2146" s="21" t="s">
        <v>7937</v>
      </c>
      <c r="I2146" s="12" t="s">
        <v>8397</v>
      </c>
      <c r="J2146" s="12" t="s">
        <v>9725</v>
      </c>
      <c r="K2146" s="12" t="s">
        <v>11612</v>
      </c>
      <c r="L2146" s="12" t="s">
        <v>11613</v>
      </c>
      <c r="M2146" s="12" t="s">
        <v>11612</v>
      </c>
    </row>
    <row r="2147" spans="1:13" ht="66">
      <c r="A2147" s="21" t="s">
        <v>7932</v>
      </c>
      <c r="B2147" s="21" t="s">
        <v>7933</v>
      </c>
      <c r="C2147" s="21" t="s">
        <v>7934</v>
      </c>
      <c r="D2147" s="21" t="s">
        <v>71</v>
      </c>
      <c r="E2147" s="22" t="s">
        <v>7935</v>
      </c>
      <c r="F2147" s="22" t="s">
        <v>7933</v>
      </c>
      <c r="G2147" s="21" t="s">
        <v>7936</v>
      </c>
      <c r="H2147" s="21" t="s">
        <v>7937</v>
      </c>
      <c r="I2147" s="12" t="s">
        <v>8398</v>
      </c>
      <c r="J2147" s="12" t="s">
        <v>9726</v>
      </c>
      <c r="K2147" s="12"/>
      <c r="L2147" s="12" t="s">
        <v>11614</v>
      </c>
      <c r="M2147" s="12" t="s">
        <v>11615</v>
      </c>
    </row>
    <row r="2148" spans="1:13" ht="52.8">
      <c r="A2148" s="21" t="s">
        <v>7932</v>
      </c>
      <c r="B2148" s="21" t="s">
        <v>7933</v>
      </c>
      <c r="C2148" s="21" t="s">
        <v>7934</v>
      </c>
      <c r="D2148" s="21" t="s">
        <v>71</v>
      </c>
      <c r="E2148" s="22" t="s">
        <v>7935</v>
      </c>
      <c r="F2148" s="22" t="s">
        <v>7933</v>
      </c>
      <c r="G2148" s="21" t="s">
        <v>7936</v>
      </c>
      <c r="H2148" s="21" t="s">
        <v>7937</v>
      </c>
      <c r="I2148" s="12" t="s">
        <v>8399</v>
      </c>
      <c r="J2148" s="12" t="s">
        <v>9727</v>
      </c>
      <c r="K2148" s="12" t="s">
        <v>11616</v>
      </c>
      <c r="L2148" s="12" t="s">
        <v>11617</v>
      </c>
      <c r="M2148" s="12" t="s">
        <v>11618</v>
      </c>
    </row>
    <row r="2149" spans="1:13" ht="52.8">
      <c r="A2149" s="21" t="s">
        <v>7932</v>
      </c>
      <c r="B2149" s="21" t="s">
        <v>7933</v>
      </c>
      <c r="C2149" s="21" t="s">
        <v>7934</v>
      </c>
      <c r="D2149" s="21" t="s">
        <v>71</v>
      </c>
      <c r="E2149" s="22" t="s">
        <v>7935</v>
      </c>
      <c r="F2149" s="22" t="s">
        <v>7933</v>
      </c>
      <c r="G2149" s="21" t="s">
        <v>7936</v>
      </c>
      <c r="H2149" s="21" t="s">
        <v>7937</v>
      </c>
      <c r="I2149" s="12" t="s">
        <v>8400</v>
      </c>
      <c r="J2149" s="12" t="s">
        <v>9728</v>
      </c>
      <c r="K2149" s="12" t="s">
        <v>11619</v>
      </c>
      <c r="L2149" s="12" t="s">
        <v>11620</v>
      </c>
      <c r="M2149" s="12" t="s">
        <v>11621</v>
      </c>
    </row>
    <row r="2150" spans="1:13" ht="52.8">
      <c r="A2150" s="21" t="s">
        <v>7932</v>
      </c>
      <c r="B2150" s="21" t="s">
        <v>7933</v>
      </c>
      <c r="C2150" s="21" t="s">
        <v>7934</v>
      </c>
      <c r="D2150" s="21" t="s">
        <v>71</v>
      </c>
      <c r="E2150" s="22" t="s">
        <v>7935</v>
      </c>
      <c r="F2150" s="22" t="s">
        <v>7933</v>
      </c>
      <c r="G2150" s="21" t="s">
        <v>7936</v>
      </c>
      <c r="H2150" s="21" t="s">
        <v>7937</v>
      </c>
      <c r="I2150" s="12" t="s">
        <v>8401</v>
      </c>
      <c r="J2150" s="12" t="s">
        <v>9729</v>
      </c>
      <c r="K2150" s="12" t="s">
        <v>11622</v>
      </c>
      <c r="L2150" s="12" t="s">
        <v>11623</v>
      </c>
      <c r="M2150" s="12" t="s">
        <v>11624</v>
      </c>
    </row>
    <row r="2151" spans="1:13" ht="52.8">
      <c r="A2151" s="21" t="s">
        <v>7932</v>
      </c>
      <c r="B2151" s="21" t="s">
        <v>7933</v>
      </c>
      <c r="C2151" s="21" t="s">
        <v>7934</v>
      </c>
      <c r="D2151" s="21" t="s">
        <v>71</v>
      </c>
      <c r="E2151" s="22" t="s">
        <v>7935</v>
      </c>
      <c r="F2151" s="22" t="s">
        <v>7933</v>
      </c>
      <c r="G2151" s="21" t="s">
        <v>7936</v>
      </c>
      <c r="H2151" s="21" t="s">
        <v>7937</v>
      </c>
      <c r="I2151" s="12" t="s">
        <v>8402</v>
      </c>
      <c r="J2151" s="12" t="s">
        <v>9730</v>
      </c>
      <c r="K2151" s="12" t="s">
        <v>11625</v>
      </c>
      <c r="L2151" s="12" t="s">
        <v>11626</v>
      </c>
      <c r="M2151" s="12" t="s">
        <v>11627</v>
      </c>
    </row>
    <row r="2152" spans="1:13" ht="52.8">
      <c r="A2152" s="21" t="s">
        <v>7932</v>
      </c>
      <c r="B2152" s="21" t="s">
        <v>7933</v>
      </c>
      <c r="C2152" s="21" t="s">
        <v>7934</v>
      </c>
      <c r="D2152" s="21" t="s">
        <v>71</v>
      </c>
      <c r="E2152" s="22" t="s">
        <v>7935</v>
      </c>
      <c r="F2152" s="22" t="s">
        <v>7933</v>
      </c>
      <c r="G2152" s="21" t="s">
        <v>7936</v>
      </c>
      <c r="H2152" s="21" t="s">
        <v>7937</v>
      </c>
      <c r="I2152" s="12" t="s">
        <v>8403</v>
      </c>
      <c r="J2152" s="12" t="s">
        <v>9731</v>
      </c>
      <c r="K2152" s="12" t="s">
        <v>11628</v>
      </c>
      <c r="L2152" s="12" t="s">
        <v>11629</v>
      </c>
      <c r="M2152" s="12" t="s">
        <v>11630</v>
      </c>
    </row>
    <row r="2153" spans="1:13" ht="52.8">
      <c r="A2153" s="21" t="s">
        <v>7932</v>
      </c>
      <c r="B2153" s="21" t="s">
        <v>7933</v>
      </c>
      <c r="C2153" s="21" t="s">
        <v>7934</v>
      </c>
      <c r="D2153" s="21" t="s">
        <v>71</v>
      </c>
      <c r="E2153" s="22" t="s">
        <v>7935</v>
      </c>
      <c r="F2153" s="22" t="s">
        <v>7933</v>
      </c>
      <c r="G2153" s="21" t="s">
        <v>7936</v>
      </c>
      <c r="H2153" s="21" t="s">
        <v>7937</v>
      </c>
      <c r="I2153" s="12" t="s">
        <v>8404</v>
      </c>
      <c r="J2153" s="12" t="s">
        <v>9732</v>
      </c>
      <c r="K2153" s="12" t="s">
        <v>11631</v>
      </c>
      <c r="L2153" s="12" t="s">
        <v>11632</v>
      </c>
      <c r="M2153" s="12" t="s">
        <v>11633</v>
      </c>
    </row>
    <row r="2154" spans="1:13" ht="52.8">
      <c r="A2154" s="21" t="s">
        <v>7932</v>
      </c>
      <c r="B2154" s="21" t="s">
        <v>7933</v>
      </c>
      <c r="C2154" s="21" t="s">
        <v>7934</v>
      </c>
      <c r="D2154" s="21" t="s">
        <v>71</v>
      </c>
      <c r="E2154" s="22" t="s">
        <v>7935</v>
      </c>
      <c r="F2154" s="22" t="s">
        <v>7933</v>
      </c>
      <c r="G2154" s="21" t="s">
        <v>7936</v>
      </c>
      <c r="H2154" s="21" t="s">
        <v>7937</v>
      </c>
      <c r="I2154" s="12" t="s">
        <v>8405</v>
      </c>
      <c r="J2154" s="12" t="s">
        <v>9733</v>
      </c>
      <c r="K2154" s="12" t="s">
        <v>11634</v>
      </c>
      <c r="L2154" s="12" t="s">
        <v>11635</v>
      </c>
      <c r="M2154" s="12" t="s">
        <v>11636</v>
      </c>
    </row>
    <row r="2155" spans="1:13" ht="52.8">
      <c r="A2155" s="21" t="s">
        <v>7932</v>
      </c>
      <c r="B2155" s="21" t="s">
        <v>7933</v>
      </c>
      <c r="C2155" s="21" t="s">
        <v>7934</v>
      </c>
      <c r="D2155" s="21" t="s">
        <v>71</v>
      </c>
      <c r="E2155" s="22" t="s">
        <v>7935</v>
      </c>
      <c r="F2155" s="22" t="s">
        <v>7933</v>
      </c>
      <c r="G2155" s="21" t="s">
        <v>7936</v>
      </c>
      <c r="H2155" s="21" t="s">
        <v>7937</v>
      </c>
      <c r="I2155" s="12" t="s">
        <v>8406</v>
      </c>
      <c r="J2155" s="12" t="s">
        <v>9734</v>
      </c>
      <c r="K2155" s="12" t="s">
        <v>11637</v>
      </c>
      <c r="L2155" s="12" t="s">
        <v>11638</v>
      </c>
      <c r="M2155" s="12" t="s">
        <v>11639</v>
      </c>
    </row>
    <row r="2156" spans="1:13" ht="52.8">
      <c r="A2156" s="21" t="s">
        <v>7932</v>
      </c>
      <c r="B2156" s="21" t="s">
        <v>7933</v>
      </c>
      <c r="C2156" s="21" t="s">
        <v>7934</v>
      </c>
      <c r="D2156" s="21" t="s">
        <v>71</v>
      </c>
      <c r="E2156" s="22" t="s">
        <v>7935</v>
      </c>
      <c r="F2156" s="22" t="s">
        <v>7933</v>
      </c>
      <c r="G2156" s="21" t="s">
        <v>7936</v>
      </c>
      <c r="H2156" s="21" t="s">
        <v>7937</v>
      </c>
      <c r="I2156" s="12" t="s">
        <v>8407</v>
      </c>
      <c r="J2156" s="12" t="s">
        <v>9735</v>
      </c>
      <c r="K2156" s="12" t="s">
        <v>11640</v>
      </c>
      <c r="L2156" s="12" t="s">
        <v>11641</v>
      </c>
      <c r="M2156" s="12" t="s">
        <v>11642</v>
      </c>
    </row>
    <row r="2157" spans="1:13" ht="52.8">
      <c r="A2157" s="21" t="s">
        <v>7932</v>
      </c>
      <c r="B2157" s="21" t="s">
        <v>7933</v>
      </c>
      <c r="C2157" s="21" t="s">
        <v>7934</v>
      </c>
      <c r="D2157" s="21" t="s">
        <v>71</v>
      </c>
      <c r="E2157" s="22" t="s">
        <v>7935</v>
      </c>
      <c r="F2157" s="22" t="s">
        <v>7933</v>
      </c>
      <c r="G2157" s="21" t="s">
        <v>7936</v>
      </c>
      <c r="H2157" s="21" t="s">
        <v>7937</v>
      </c>
      <c r="I2157" s="12" t="s">
        <v>8408</v>
      </c>
      <c r="J2157" s="12" t="s">
        <v>9736</v>
      </c>
      <c r="K2157" s="12" t="s">
        <v>11643</v>
      </c>
      <c r="L2157" s="12" t="s">
        <v>11644</v>
      </c>
      <c r="M2157" s="12" t="s">
        <v>11645</v>
      </c>
    </row>
    <row r="2158" spans="1:13" ht="52.8">
      <c r="A2158" s="21" t="s">
        <v>7932</v>
      </c>
      <c r="B2158" s="21" t="s">
        <v>7933</v>
      </c>
      <c r="C2158" s="21" t="s">
        <v>7934</v>
      </c>
      <c r="D2158" s="21" t="s">
        <v>71</v>
      </c>
      <c r="E2158" s="22" t="s">
        <v>7935</v>
      </c>
      <c r="F2158" s="22" t="s">
        <v>7933</v>
      </c>
      <c r="G2158" s="21" t="s">
        <v>7936</v>
      </c>
      <c r="H2158" s="21" t="s">
        <v>7937</v>
      </c>
      <c r="I2158" s="12" t="s">
        <v>8409</v>
      </c>
      <c r="J2158" s="12" t="s">
        <v>9737</v>
      </c>
      <c r="K2158" s="12" t="s">
        <v>11646</v>
      </c>
      <c r="L2158" s="12" t="s">
        <v>11647</v>
      </c>
      <c r="M2158" s="12" t="s">
        <v>11646</v>
      </c>
    </row>
    <row r="2159" spans="1:13" ht="52.8">
      <c r="A2159" s="21" t="s">
        <v>7932</v>
      </c>
      <c r="B2159" s="21" t="s">
        <v>7933</v>
      </c>
      <c r="C2159" s="21" t="s">
        <v>7934</v>
      </c>
      <c r="D2159" s="21" t="s">
        <v>71</v>
      </c>
      <c r="E2159" s="22" t="s">
        <v>7935</v>
      </c>
      <c r="F2159" s="22" t="s">
        <v>7933</v>
      </c>
      <c r="G2159" s="21" t="s">
        <v>7936</v>
      </c>
      <c r="H2159" s="21" t="s">
        <v>7937</v>
      </c>
      <c r="I2159" s="12" t="s">
        <v>8410</v>
      </c>
      <c r="J2159" s="12" t="s">
        <v>9738</v>
      </c>
      <c r="K2159" s="12" t="s">
        <v>11648</v>
      </c>
      <c r="L2159" s="12" t="s">
        <v>11649</v>
      </c>
      <c r="M2159" s="12" t="s">
        <v>11648</v>
      </c>
    </row>
    <row r="2160" spans="1:13" ht="52.8">
      <c r="A2160" s="21" t="s">
        <v>7932</v>
      </c>
      <c r="B2160" s="21" t="s">
        <v>7933</v>
      </c>
      <c r="C2160" s="21" t="s">
        <v>7934</v>
      </c>
      <c r="D2160" s="21" t="s">
        <v>71</v>
      </c>
      <c r="E2160" s="22" t="s">
        <v>7935</v>
      </c>
      <c r="F2160" s="22" t="s">
        <v>7933</v>
      </c>
      <c r="G2160" s="21" t="s">
        <v>7936</v>
      </c>
      <c r="H2160" s="21" t="s">
        <v>7937</v>
      </c>
      <c r="I2160" s="12" t="s">
        <v>8411</v>
      </c>
      <c r="J2160" s="12" t="s">
        <v>9739</v>
      </c>
      <c r="K2160" s="12"/>
      <c r="L2160" s="12" t="s">
        <v>11650</v>
      </c>
      <c r="M2160" s="12" t="s">
        <v>11651</v>
      </c>
    </row>
    <row r="2161" spans="1:13" ht="66">
      <c r="A2161" s="21" t="s">
        <v>7932</v>
      </c>
      <c r="B2161" s="21" t="s">
        <v>7933</v>
      </c>
      <c r="C2161" s="21" t="s">
        <v>7934</v>
      </c>
      <c r="D2161" s="21" t="s">
        <v>71</v>
      </c>
      <c r="E2161" s="22" t="s">
        <v>7935</v>
      </c>
      <c r="F2161" s="22" t="s">
        <v>7933</v>
      </c>
      <c r="G2161" s="21" t="s">
        <v>7936</v>
      </c>
      <c r="H2161" s="21" t="s">
        <v>7937</v>
      </c>
      <c r="I2161" s="12" t="s">
        <v>8412</v>
      </c>
      <c r="J2161" s="12" t="s">
        <v>9740</v>
      </c>
      <c r="K2161" s="12"/>
      <c r="L2161" s="12" t="s">
        <v>11652</v>
      </c>
      <c r="M2161" s="12" t="s">
        <v>11653</v>
      </c>
    </row>
    <row r="2162" spans="1:13" ht="52.8">
      <c r="A2162" s="21" t="s">
        <v>7932</v>
      </c>
      <c r="B2162" s="21" t="s">
        <v>7933</v>
      </c>
      <c r="C2162" s="21" t="s">
        <v>7934</v>
      </c>
      <c r="D2162" s="21" t="s">
        <v>71</v>
      </c>
      <c r="E2162" s="22" t="s">
        <v>7935</v>
      </c>
      <c r="F2162" s="22" t="s">
        <v>7933</v>
      </c>
      <c r="G2162" s="21" t="s">
        <v>7936</v>
      </c>
      <c r="H2162" s="21" t="s">
        <v>7937</v>
      </c>
      <c r="I2162" s="12" t="s">
        <v>8413</v>
      </c>
      <c r="J2162" s="12" t="s">
        <v>9741</v>
      </c>
      <c r="K2162" s="12" t="s">
        <v>11654</v>
      </c>
      <c r="L2162" s="12" t="s">
        <v>11655</v>
      </c>
      <c r="M2162" s="12" t="s">
        <v>11656</v>
      </c>
    </row>
    <row r="2163" spans="1:13" ht="52.8">
      <c r="A2163" s="21" t="s">
        <v>7932</v>
      </c>
      <c r="B2163" s="21" t="s">
        <v>7933</v>
      </c>
      <c r="C2163" s="21" t="s">
        <v>7934</v>
      </c>
      <c r="D2163" s="21" t="s">
        <v>71</v>
      </c>
      <c r="E2163" s="22" t="s">
        <v>7935</v>
      </c>
      <c r="F2163" s="22" t="s">
        <v>7933</v>
      </c>
      <c r="G2163" s="21" t="s">
        <v>7936</v>
      </c>
      <c r="H2163" s="21" t="s">
        <v>7937</v>
      </c>
      <c r="I2163" s="12" t="s">
        <v>8414</v>
      </c>
      <c r="J2163" s="12" t="s">
        <v>9742</v>
      </c>
      <c r="K2163" s="12" t="s">
        <v>11657</v>
      </c>
      <c r="L2163" s="12" t="s">
        <v>11658</v>
      </c>
      <c r="M2163" s="12" t="s">
        <v>11657</v>
      </c>
    </row>
    <row r="2164" spans="1:13" ht="52.8">
      <c r="A2164" s="21" t="s">
        <v>7932</v>
      </c>
      <c r="B2164" s="21" t="s">
        <v>7933</v>
      </c>
      <c r="C2164" s="21" t="s">
        <v>7934</v>
      </c>
      <c r="D2164" s="21" t="s">
        <v>71</v>
      </c>
      <c r="E2164" s="22" t="s">
        <v>7935</v>
      </c>
      <c r="F2164" s="22" t="s">
        <v>7933</v>
      </c>
      <c r="G2164" s="21" t="s">
        <v>7936</v>
      </c>
      <c r="H2164" s="21" t="s">
        <v>7937</v>
      </c>
      <c r="I2164" s="12" t="s">
        <v>8415</v>
      </c>
      <c r="J2164" s="12" t="s">
        <v>9743</v>
      </c>
      <c r="K2164" s="12"/>
      <c r="L2164" s="12" t="s">
        <v>11659</v>
      </c>
      <c r="M2164" s="12" t="s">
        <v>11660</v>
      </c>
    </row>
    <row r="2165" spans="1:13" ht="52.8">
      <c r="A2165" s="21" t="s">
        <v>7932</v>
      </c>
      <c r="B2165" s="21" t="s">
        <v>7933</v>
      </c>
      <c r="C2165" s="21" t="s">
        <v>7934</v>
      </c>
      <c r="D2165" s="21" t="s">
        <v>71</v>
      </c>
      <c r="E2165" s="22" t="s">
        <v>7935</v>
      </c>
      <c r="F2165" s="22" t="s">
        <v>7933</v>
      </c>
      <c r="G2165" s="21" t="s">
        <v>7936</v>
      </c>
      <c r="H2165" s="21" t="s">
        <v>7937</v>
      </c>
      <c r="I2165" s="12" t="s">
        <v>8416</v>
      </c>
      <c r="J2165" s="12" t="s">
        <v>9744</v>
      </c>
      <c r="K2165" s="12"/>
      <c r="L2165" s="12" t="s">
        <v>11661</v>
      </c>
      <c r="M2165" s="12" t="s">
        <v>11662</v>
      </c>
    </row>
    <row r="2166" spans="1:13" ht="52.8">
      <c r="A2166" s="21" t="s">
        <v>7932</v>
      </c>
      <c r="B2166" s="21" t="s">
        <v>7933</v>
      </c>
      <c r="C2166" s="21" t="s">
        <v>7934</v>
      </c>
      <c r="D2166" s="21" t="s">
        <v>71</v>
      </c>
      <c r="E2166" s="22" t="s">
        <v>7935</v>
      </c>
      <c r="F2166" s="22" t="s">
        <v>7933</v>
      </c>
      <c r="G2166" s="21" t="s">
        <v>7936</v>
      </c>
      <c r="H2166" s="21" t="s">
        <v>7937</v>
      </c>
      <c r="I2166" s="12" t="s">
        <v>8417</v>
      </c>
      <c r="J2166" s="12" t="s">
        <v>9745</v>
      </c>
      <c r="K2166" s="12" t="s">
        <v>11663</v>
      </c>
      <c r="L2166" s="12" t="s">
        <v>11664</v>
      </c>
      <c r="M2166" s="12" t="s">
        <v>11663</v>
      </c>
    </row>
    <row r="2167" spans="1:13" ht="52.8">
      <c r="A2167" s="21" t="s">
        <v>7932</v>
      </c>
      <c r="B2167" s="21" t="s">
        <v>7933</v>
      </c>
      <c r="C2167" s="21" t="s">
        <v>7934</v>
      </c>
      <c r="D2167" s="21" t="s">
        <v>71</v>
      </c>
      <c r="E2167" s="22" t="s">
        <v>7935</v>
      </c>
      <c r="F2167" s="22" t="s">
        <v>7933</v>
      </c>
      <c r="G2167" s="21" t="s">
        <v>7936</v>
      </c>
      <c r="H2167" s="21" t="s">
        <v>7937</v>
      </c>
      <c r="I2167" s="12" t="s">
        <v>8418</v>
      </c>
      <c r="J2167" s="12" t="s">
        <v>9746</v>
      </c>
      <c r="K2167" s="12" t="s">
        <v>11665</v>
      </c>
      <c r="L2167" s="12" t="s">
        <v>11666</v>
      </c>
      <c r="M2167" s="12" t="s">
        <v>11665</v>
      </c>
    </row>
    <row r="2168" spans="1:13" ht="52.8">
      <c r="A2168" s="21" t="s">
        <v>7932</v>
      </c>
      <c r="B2168" s="21" t="s">
        <v>7933</v>
      </c>
      <c r="C2168" s="21" t="s">
        <v>7934</v>
      </c>
      <c r="D2168" s="21" t="s">
        <v>71</v>
      </c>
      <c r="E2168" s="22" t="s">
        <v>7935</v>
      </c>
      <c r="F2168" s="22" t="s">
        <v>7933</v>
      </c>
      <c r="G2168" s="21" t="s">
        <v>7936</v>
      </c>
      <c r="H2168" s="21" t="s">
        <v>7937</v>
      </c>
      <c r="I2168" s="12" t="s">
        <v>8419</v>
      </c>
      <c r="J2168" s="12" t="s">
        <v>9747</v>
      </c>
      <c r="K2168" s="12" t="s">
        <v>11667</v>
      </c>
      <c r="L2168" s="12" t="s">
        <v>11668</v>
      </c>
      <c r="M2168" s="12" t="s">
        <v>11667</v>
      </c>
    </row>
    <row r="2169" spans="1:13" ht="52.8">
      <c r="A2169" s="21" t="s">
        <v>7932</v>
      </c>
      <c r="B2169" s="21" t="s">
        <v>7933</v>
      </c>
      <c r="C2169" s="21" t="s">
        <v>7934</v>
      </c>
      <c r="D2169" s="21" t="s">
        <v>71</v>
      </c>
      <c r="E2169" s="22" t="s">
        <v>7935</v>
      </c>
      <c r="F2169" s="22" t="s">
        <v>7933</v>
      </c>
      <c r="G2169" s="21" t="s">
        <v>7936</v>
      </c>
      <c r="H2169" s="21" t="s">
        <v>7937</v>
      </c>
      <c r="I2169" s="12" t="s">
        <v>8420</v>
      </c>
      <c r="J2169" s="12" t="s">
        <v>9748</v>
      </c>
      <c r="K2169" s="12"/>
      <c r="L2169" s="12" t="s">
        <v>11669</v>
      </c>
      <c r="M2169" s="12" t="s">
        <v>11670</v>
      </c>
    </row>
    <row r="2170" spans="1:13" ht="52.8">
      <c r="A2170" s="21" t="s">
        <v>7932</v>
      </c>
      <c r="B2170" s="21" t="s">
        <v>7933</v>
      </c>
      <c r="C2170" s="21" t="s">
        <v>7934</v>
      </c>
      <c r="D2170" s="21" t="s">
        <v>71</v>
      </c>
      <c r="E2170" s="22" t="s">
        <v>7935</v>
      </c>
      <c r="F2170" s="22" t="s">
        <v>7933</v>
      </c>
      <c r="G2170" s="21" t="s">
        <v>7936</v>
      </c>
      <c r="H2170" s="21" t="s">
        <v>7937</v>
      </c>
      <c r="I2170" s="12" t="s">
        <v>8421</v>
      </c>
      <c r="J2170" s="12" t="s">
        <v>9749</v>
      </c>
      <c r="K2170" s="12"/>
      <c r="L2170" s="12" t="s">
        <v>11671</v>
      </c>
      <c r="M2170" s="12" t="s">
        <v>11672</v>
      </c>
    </row>
    <row r="2171" spans="1:13" ht="52.8">
      <c r="A2171" s="21" t="s">
        <v>7932</v>
      </c>
      <c r="B2171" s="21" t="s">
        <v>7933</v>
      </c>
      <c r="C2171" s="21" t="s">
        <v>7934</v>
      </c>
      <c r="D2171" s="21" t="s">
        <v>71</v>
      </c>
      <c r="E2171" s="22" t="s">
        <v>7935</v>
      </c>
      <c r="F2171" s="22" t="s">
        <v>7933</v>
      </c>
      <c r="G2171" s="21" t="s">
        <v>7936</v>
      </c>
      <c r="H2171" s="21" t="s">
        <v>7937</v>
      </c>
      <c r="I2171" s="12" t="s">
        <v>8422</v>
      </c>
      <c r="J2171" s="12" t="s">
        <v>9750</v>
      </c>
      <c r="K2171" s="12"/>
      <c r="L2171" s="12" t="s">
        <v>11673</v>
      </c>
      <c r="M2171" s="12" t="s">
        <v>11674</v>
      </c>
    </row>
    <row r="2172" spans="1:13" ht="52.8">
      <c r="A2172" s="21" t="s">
        <v>7932</v>
      </c>
      <c r="B2172" s="21" t="s">
        <v>7933</v>
      </c>
      <c r="C2172" s="21" t="s">
        <v>7934</v>
      </c>
      <c r="D2172" s="21" t="s">
        <v>71</v>
      </c>
      <c r="E2172" s="22" t="s">
        <v>7935</v>
      </c>
      <c r="F2172" s="22" t="s">
        <v>7933</v>
      </c>
      <c r="G2172" s="21" t="s">
        <v>7936</v>
      </c>
      <c r="H2172" s="21" t="s">
        <v>7937</v>
      </c>
      <c r="I2172" s="12" t="s">
        <v>8423</v>
      </c>
      <c r="J2172" s="12" t="s">
        <v>9751</v>
      </c>
      <c r="K2172" s="12" t="s">
        <v>11675</v>
      </c>
      <c r="L2172" s="12" t="s">
        <v>11676</v>
      </c>
      <c r="M2172" s="12" t="s">
        <v>11675</v>
      </c>
    </row>
    <row r="2173" spans="1:13" ht="52.8">
      <c r="A2173" s="21" t="s">
        <v>7932</v>
      </c>
      <c r="B2173" s="21" t="s">
        <v>7933</v>
      </c>
      <c r="C2173" s="21" t="s">
        <v>7934</v>
      </c>
      <c r="D2173" s="21" t="s">
        <v>71</v>
      </c>
      <c r="E2173" s="22" t="s">
        <v>7935</v>
      </c>
      <c r="F2173" s="22" t="s">
        <v>7933</v>
      </c>
      <c r="G2173" s="21" t="s">
        <v>7936</v>
      </c>
      <c r="H2173" s="21" t="s">
        <v>7937</v>
      </c>
      <c r="I2173" s="12" t="s">
        <v>8424</v>
      </c>
      <c r="J2173" s="12" t="s">
        <v>9752</v>
      </c>
      <c r="K2173" s="12"/>
      <c r="L2173" s="12" t="s">
        <v>11677</v>
      </c>
      <c r="M2173" s="12" t="s">
        <v>11678</v>
      </c>
    </row>
    <row r="2174" spans="1:13" ht="52.8">
      <c r="A2174" s="21" t="s">
        <v>7932</v>
      </c>
      <c r="B2174" s="21" t="s">
        <v>7933</v>
      </c>
      <c r="C2174" s="21" t="s">
        <v>7934</v>
      </c>
      <c r="D2174" s="21" t="s">
        <v>71</v>
      </c>
      <c r="E2174" s="22" t="s">
        <v>7935</v>
      </c>
      <c r="F2174" s="22" t="s">
        <v>7933</v>
      </c>
      <c r="G2174" s="21" t="s">
        <v>7936</v>
      </c>
      <c r="H2174" s="21" t="s">
        <v>7937</v>
      </c>
      <c r="I2174" s="12" t="s">
        <v>8425</v>
      </c>
      <c r="J2174" s="12" t="s">
        <v>9753</v>
      </c>
      <c r="K2174" s="12"/>
      <c r="L2174" s="12" t="s">
        <v>11679</v>
      </c>
      <c r="M2174" s="12" t="s">
        <v>11680</v>
      </c>
    </row>
    <row r="2175" spans="1:13" ht="52.8">
      <c r="A2175" s="21" t="s">
        <v>7932</v>
      </c>
      <c r="B2175" s="21" t="s">
        <v>7933</v>
      </c>
      <c r="C2175" s="21" t="s">
        <v>7934</v>
      </c>
      <c r="D2175" s="21" t="s">
        <v>71</v>
      </c>
      <c r="E2175" s="22" t="s">
        <v>7935</v>
      </c>
      <c r="F2175" s="22" t="s">
        <v>7933</v>
      </c>
      <c r="G2175" s="21" t="s">
        <v>7936</v>
      </c>
      <c r="H2175" s="21" t="s">
        <v>7937</v>
      </c>
      <c r="I2175" s="12" t="s">
        <v>8426</v>
      </c>
      <c r="J2175" s="12" t="s">
        <v>9754</v>
      </c>
      <c r="K2175" s="12"/>
      <c r="L2175" s="12" t="s">
        <v>11681</v>
      </c>
      <c r="M2175" s="12" t="s">
        <v>11682</v>
      </c>
    </row>
    <row r="2176" spans="1:13" ht="52.8">
      <c r="A2176" s="21" t="s">
        <v>7932</v>
      </c>
      <c r="B2176" s="21" t="s">
        <v>7933</v>
      </c>
      <c r="C2176" s="21" t="s">
        <v>7934</v>
      </c>
      <c r="D2176" s="21" t="s">
        <v>71</v>
      </c>
      <c r="E2176" s="22" t="s">
        <v>7935</v>
      </c>
      <c r="F2176" s="22" t="s">
        <v>7933</v>
      </c>
      <c r="G2176" s="21" t="s">
        <v>7936</v>
      </c>
      <c r="H2176" s="21" t="s">
        <v>7937</v>
      </c>
      <c r="I2176" s="12" t="s">
        <v>8427</v>
      </c>
      <c r="J2176" s="12" t="s">
        <v>9755</v>
      </c>
      <c r="K2176" s="12"/>
      <c r="L2176" s="12" t="s">
        <v>11683</v>
      </c>
      <c r="M2176" s="12" t="s">
        <v>11684</v>
      </c>
    </row>
    <row r="2177" spans="1:13" ht="52.8">
      <c r="A2177" s="21" t="s">
        <v>7932</v>
      </c>
      <c r="B2177" s="21" t="s">
        <v>7933</v>
      </c>
      <c r="C2177" s="21" t="s">
        <v>7934</v>
      </c>
      <c r="D2177" s="21" t="s">
        <v>71</v>
      </c>
      <c r="E2177" s="22" t="s">
        <v>7935</v>
      </c>
      <c r="F2177" s="22" t="s">
        <v>7933</v>
      </c>
      <c r="G2177" s="21" t="s">
        <v>7936</v>
      </c>
      <c r="H2177" s="21" t="s">
        <v>7937</v>
      </c>
      <c r="I2177" s="12" t="s">
        <v>8428</v>
      </c>
      <c r="J2177" s="12" t="s">
        <v>9756</v>
      </c>
      <c r="K2177" s="12" t="s">
        <v>11685</v>
      </c>
      <c r="L2177" s="12" t="s">
        <v>11686</v>
      </c>
      <c r="M2177" s="12" t="s">
        <v>11685</v>
      </c>
    </row>
    <row r="2178" spans="1:13" ht="52.8">
      <c r="A2178" s="21" t="s">
        <v>7932</v>
      </c>
      <c r="B2178" s="21" t="s">
        <v>7933</v>
      </c>
      <c r="C2178" s="21" t="s">
        <v>7934</v>
      </c>
      <c r="D2178" s="21" t="s">
        <v>71</v>
      </c>
      <c r="E2178" s="22" t="s">
        <v>7935</v>
      </c>
      <c r="F2178" s="22" t="s">
        <v>7933</v>
      </c>
      <c r="G2178" s="21" t="s">
        <v>7936</v>
      </c>
      <c r="H2178" s="21" t="s">
        <v>7937</v>
      </c>
      <c r="I2178" s="12" t="s">
        <v>8429</v>
      </c>
      <c r="J2178" s="12" t="s">
        <v>9757</v>
      </c>
      <c r="K2178" s="12"/>
      <c r="L2178" s="12" t="s">
        <v>11687</v>
      </c>
      <c r="M2178" s="12" t="s">
        <v>11688</v>
      </c>
    </row>
    <row r="2179" spans="1:13" ht="52.8">
      <c r="A2179" s="21" t="s">
        <v>7932</v>
      </c>
      <c r="B2179" s="21" t="s">
        <v>7933</v>
      </c>
      <c r="C2179" s="21" t="s">
        <v>7934</v>
      </c>
      <c r="D2179" s="21" t="s">
        <v>71</v>
      </c>
      <c r="E2179" s="22" t="s">
        <v>7935</v>
      </c>
      <c r="F2179" s="22" t="s">
        <v>7933</v>
      </c>
      <c r="G2179" s="21" t="s">
        <v>7936</v>
      </c>
      <c r="H2179" s="21" t="s">
        <v>7937</v>
      </c>
      <c r="I2179" s="12" t="s">
        <v>8430</v>
      </c>
      <c r="J2179" s="12" t="s">
        <v>9758</v>
      </c>
      <c r="K2179" s="12"/>
      <c r="L2179" s="12" t="s">
        <v>11689</v>
      </c>
      <c r="M2179" s="12" t="s">
        <v>11690</v>
      </c>
    </row>
    <row r="2180" spans="1:13" ht="52.8">
      <c r="A2180" s="21" t="s">
        <v>7932</v>
      </c>
      <c r="B2180" s="21" t="s">
        <v>7933</v>
      </c>
      <c r="C2180" s="21" t="s">
        <v>7934</v>
      </c>
      <c r="D2180" s="21" t="s">
        <v>71</v>
      </c>
      <c r="E2180" s="22" t="s">
        <v>7935</v>
      </c>
      <c r="F2180" s="22" t="s">
        <v>7933</v>
      </c>
      <c r="G2180" s="21" t="s">
        <v>7936</v>
      </c>
      <c r="H2180" s="21" t="s">
        <v>7937</v>
      </c>
      <c r="I2180" s="12" t="s">
        <v>8431</v>
      </c>
      <c r="J2180" s="12" t="s">
        <v>9759</v>
      </c>
      <c r="K2180" s="12"/>
      <c r="L2180" s="12" t="s">
        <v>11691</v>
      </c>
      <c r="M2180" s="12" t="s">
        <v>11692</v>
      </c>
    </row>
    <row r="2181" spans="1:13" ht="52.8">
      <c r="A2181" s="21" t="s">
        <v>7932</v>
      </c>
      <c r="B2181" s="21" t="s">
        <v>7933</v>
      </c>
      <c r="C2181" s="21" t="s">
        <v>7934</v>
      </c>
      <c r="D2181" s="21" t="s">
        <v>71</v>
      </c>
      <c r="E2181" s="22" t="s">
        <v>7935</v>
      </c>
      <c r="F2181" s="22" t="s">
        <v>7933</v>
      </c>
      <c r="G2181" s="21" t="s">
        <v>7936</v>
      </c>
      <c r="H2181" s="21" t="s">
        <v>7937</v>
      </c>
      <c r="I2181" s="12" t="s">
        <v>8432</v>
      </c>
      <c r="J2181" s="12" t="s">
        <v>9760</v>
      </c>
      <c r="K2181" s="12" t="s">
        <v>11693</v>
      </c>
      <c r="L2181" s="12" t="s">
        <v>11694</v>
      </c>
      <c r="M2181" s="12" t="s">
        <v>11695</v>
      </c>
    </row>
    <row r="2182" spans="1:13" ht="52.8">
      <c r="A2182" s="21" t="s">
        <v>7932</v>
      </c>
      <c r="B2182" s="21" t="s">
        <v>7933</v>
      </c>
      <c r="C2182" s="21" t="s">
        <v>7934</v>
      </c>
      <c r="D2182" s="21" t="s">
        <v>71</v>
      </c>
      <c r="E2182" s="22" t="s">
        <v>7935</v>
      </c>
      <c r="F2182" s="22" t="s">
        <v>7933</v>
      </c>
      <c r="G2182" s="21" t="s">
        <v>7936</v>
      </c>
      <c r="H2182" s="21" t="s">
        <v>7937</v>
      </c>
      <c r="I2182" s="12" t="s">
        <v>8433</v>
      </c>
      <c r="J2182" s="12" t="s">
        <v>9761</v>
      </c>
      <c r="K2182" s="12" t="s">
        <v>11696</v>
      </c>
      <c r="L2182" s="12" t="s">
        <v>11697</v>
      </c>
      <c r="M2182" s="12" t="s">
        <v>11696</v>
      </c>
    </row>
    <row r="2183" spans="1:13" ht="52.8">
      <c r="A2183" s="21" t="s">
        <v>7932</v>
      </c>
      <c r="B2183" s="21" t="s">
        <v>7933</v>
      </c>
      <c r="C2183" s="21" t="s">
        <v>7934</v>
      </c>
      <c r="D2183" s="21" t="s">
        <v>71</v>
      </c>
      <c r="E2183" s="22" t="s">
        <v>7935</v>
      </c>
      <c r="F2183" s="22" t="s">
        <v>7933</v>
      </c>
      <c r="G2183" s="21" t="s">
        <v>7936</v>
      </c>
      <c r="H2183" s="21" t="s">
        <v>7937</v>
      </c>
      <c r="I2183" s="12" t="s">
        <v>8434</v>
      </c>
      <c r="J2183" s="12" t="s">
        <v>9762</v>
      </c>
      <c r="K2183" s="12"/>
      <c r="L2183" s="12" t="s">
        <v>11698</v>
      </c>
      <c r="M2183" s="12" t="s">
        <v>11699</v>
      </c>
    </row>
    <row r="2184" spans="1:13" ht="52.8">
      <c r="A2184" s="21" t="s">
        <v>7932</v>
      </c>
      <c r="B2184" s="21" t="s">
        <v>7933</v>
      </c>
      <c r="C2184" s="21" t="s">
        <v>7934</v>
      </c>
      <c r="D2184" s="21" t="s">
        <v>71</v>
      </c>
      <c r="E2184" s="22" t="s">
        <v>7935</v>
      </c>
      <c r="F2184" s="22" t="s">
        <v>7933</v>
      </c>
      <c r="G2184" s="21" t="s">
        <v>7936</v>
      </c>
      <c r="H2184" s="21" t="s">
        <v>7937</v>
      </c>
      <c r="I2184" s="12" t="s">
        <v>8435</v>
      </c>
      <c r="J2184" s="12" t="s">
        <v>9763</v>
      </c>
      <c r="K2184" s="12"/>
      <c r="L2184" s="12" t="s">
        <v>11700</v>
      </c>
      <c r="M2184" s="12" t="s">
        <v>11701</v>
      </c>
    </row>
    <row r="2185" spans="1:13" ht="52.8">
      <c r="A2185" s="21" t="s">
        <v>7932</v>
      </c>
      <c r="B2185" s="21" t="s">
        <v>7933</v>
      </c>
      <c r="C2185" s="21" t="s">
        <v>7934</v>
      </c>
      <c r="D2185" s="21" t="s">
        <v>71</v>
      </c>
      <c r="E2185" s="22" t="s">
        <v>7935</v>
      </c>
      <c r="F2185" s="22" t="s">
        <v>7933</v>
      </c>
      <c r="G2185" s="21" t="s">
        <v>7936</v>
      </c>
      <c r="H2185" s="21" t="s">
        <v>7937</v>
      </c>
      <c r="I2185" s="12" t="s">
        <v>8436</v>
      </c>
      <c r="J2185" s="12" t="s">
        <v>9764</v>
      </c>
      <c r="K2185" s="12"/>
      <c r="L2185" s="12" t="s">
        <v>11702</v>
      </c>
      <c r="M2185" s="12" t="s">
        <v>11703</v>
      </c>
    </row>
    <row r="2186" spans="1:13" ht="52.8">
      <c r="A2186" s="21" t="s">
        <v>7932</v>
      </c>
      <c r="B2186" s="21" t="s">
        <v>7933</v>
      </c>
      <c r="C2186" s="21" t="s">
        <v>7934</v>
      </c>
      <c r="D2186" s="21" t="s">
        <v>71</v>
      </c>
      <c r="E2186" s="22" t="s">
        <v>7935</v>
      </c>
      <c r="F2186" s="22" t="s">
        <v>7933</v>
      </c>
      <c r="G2186" s="21" t="s">
        <v>7936</v>
      </c>
      <c r="H2186" s="21" t="s">
        <v>7937</v>
      </c>
      <c r="I2186" s="12" t="s">
        <v>8437</v>
      </c>
      <c r="J2186" s="12" t="s">
        <v>9765</v>
      </c>
      <c r="K2186" s="12" t="s">
        <v>11704</v>
      </c>
      <c r="L2186" s="12" t="s">
        <v>11705</v>
      </c>
      <c r="M2186" s="12" t="s">
        <v>11706</v>
      </c>
    </row>
    <row r="2187" spans="1:13" ht="52.8">
      <c r="A2187" s="21" t="s">
        <v>7932</v>
      </c>
      <c r="B2187" s="21" t="s">
        <v>7933</v>
      </c>
      <c r="C2187" s="21" t="s">
        <v>7934</v>
      </c>
      <c r="D2187" s="21" t="s">
        <v>71</v>
      </c>
      <c r="E2187" s="22" t="s">
        <v>7935</v>
      </c>
      <c r="F2187" s="22" t="s">
        <v>7933</v>
      </c>
      <c r="G2187" s="21" t="s">
        <v>7936</v>
      </c>
      <c r="H2187" s="21" t="s">
        <v>7937</v>
      </c>
      <c r="I2187" s="12" t="s">
        <v>8438</v>
      </c>
      <c r="J2187" s="12" t="s">
        <v>9766</v>
      </c>
      <c r="K2187" s="12"/>
      <c r="L2187" s="12" t="s">
        <v>11707</v>
      </c>
      <c r="M2187" s="12" t="s">
        <v>11708</v>
      </c>
    </row>
    <row r="2188" spans="1:13" ht="52.8">
      <c r="A2188" s="21" t="s">
        <v>7932</v>
      </c>
      <c r="B2188" s="21" t="s">
        <v>7933</v>
      </c>
      <c r="C2188" s="21" t="s">
        <v>7934</v>
      </c>
      <c r="D2188" s="21" t="s">
        <v>71</v>
      </c>
      <c r="E2188" s="22" t="s">
        <v>7935</v>
      </c>
      <c r="F2188" s="22" t="s">
        <v>7933</v>
      </c>
      <c r="G2188" s="21" t="s">
        <v>7936</v>
      </c>
      <c r="H2188" s="21" t="s">
        <v>7937</v>
      </c>
      <c r="I2188" s="12" t="s">
        <v>8439</v>
      </c>
      <c r="J2188" s="12" t="s">
        <v>9767</v>
      </c>
      <c r="K2188" s="12"/>
      <c r="L2188" s="12" t="s">
        <v>11709</v>
      </c>
      <c r="M2188" s="12" t="s">
        <v>11710</v>
      </c>
    </row>
    <row r="2189" spans="1:13" ht="52.8">
      <c r="A2189" s="21" t="s">
        <v>7932</v>
      </c>
      <c r="B2189" s="21" t="s">
        <v>7933</v>
      </c>
      <c r="C2189" s="21" t="s">
        <v>7934</v>
      </c>
      <c r="D2189" s="21" t="s">
        <v>71</v>
      </c>
      <c r="E2189" s="22" t="s">
        <v>7935</v>
      </c>
      <c r="F2189" s="22" t="s">
        <v>7933</v>
      </c>
      <c r="G2189" s="21" t="s">
        <v>7936</v>
      </c>
      <c r="H2189" s="21" t="s">
        <v>7937</v>
      </c>
      <c r="I2189" s="12" t="s">
        <v>8440</v>
      </c>
      <c r="J2189" s="12" t="s">
        <v>9768</v>
      </c>
      <c r="K2189" s="12"/>
      <c r="L2189" s="12" t="s">
        <v>11711</v>
      </c>
      <c r="M2189" s="12" t="s">
        <v>11712</v>
      </c>
    </row>
    <row r="2190" spans="1:13" ht="52.8">
      <c r="A2190" s="21" t="s">
        <v>7932</v>
      </c>
      <c r="B2190" s="21" t="s">
        <v>7933</v>
      </c>
      <c r="C2190" s="21" t="s">
        <v>7934</v>
      </c>
      <c r="D2190" s="21" t="s">
        <v>71</v>
      </c>
      <c r="E2190" s="22" t="s">
        <v>7935</v>
      </c>
      <c r="F2190" s="22" t="s">
        <v>7933</v>
      </c>
      <c r="G2190" s="21" t="s">
        <v>7936</v>
      </c>
      <c r="H2190" s="21" t="s">
        <v>7937</v>
      </c>
      <c r="I2190" s="12" t="s">
        <v>8441</v>
      </c>
      <c r="J2190" s="12" t="s">
        <v>9769</v>
      </c>
      <c r="K2190" s="12"/>
      <c r="L2190" s="12" t="s">
        <v>11713</v>
      </c>
      <c r="M2190" s="12" t="s">
        <v>11714</v>
      </c>
    </row>
    <row r="2191" spans="1:13" ht="52.8">
      <c r="A2191" s="21" t="s">
        <v>7932</v>
      </c>
      <c r="B2191" s="21" t="s">
        <v>7933</v>
      </c>
      <c r="C2191" s="21" t="s">
        <v>7934</v>
      </c>
      <c r="D2191" s="21" t="s">
        <v>71</v>
      </c>
      <c r="E2191" s="22" t="s">
        <v>7935</v>
      </c>
      <c r="F2191" s="22" t="s">
        <v>7933</v>
      </c>
      <c r="G2191" s="21" t="s">
        <v>7936</v>
      </c>
      <c r="H2191" s="21" t="s">
        <v>7937</v>
      </c>
      <c r="I2191" s="12" t="s">
        <v>8442</v>
      </c>
      <c r="J2191" s="12" t="s">
        <v>9770</v>
      </c>
      <c r="K2191" s="12"/>
      <c r="L2191" s="12" t="s">
        <v>11715</v>
      </c>
      <c r="M2191" s="12" t="s">
        <v>11716</v>
      </c>
    </row>
    <row r="2192" spans="1:13" ht="52.8">
      <c r="A2192" s="21" t="s">
        <v>7932</v>
      </c>
      <c r="B2192" s="21" t="s">
        <v>7933</v>
      </c>
      <c r="C2192" s="21" t="s">
        <v>7934</v>
      </c>
      <c r="D2192" s="21" t="s">
        <v>71</v>
      </c>
      <c r="E2192" s="22" t="s">
        <v>7935</v>
      </c>
      <c r="F2192" s="22" t="s">
        <v>7933</v>
      </c>
      <c r="G2192" s="21" t="s">
        <v>7936</v>
      </c>
      <c r="H2192" s="21" t="s">
        <v>7937</v>
      </c>
      <c r="I2192" s="12" t="s">
        <v>8443</v>
      </c>
      <c r="J2192" s="12" t="s">
        <v>9771</v>
      </c>
      <c r="K2192" s="12" t="s">
        <v>11717</v>
      </c>
      <c r="L2192" s="12" t="s">
        <v>11718</v>
      </c>
      <c r="M2192" s="12" t="s">
        <v>11717</v>
      </c>
    </row>
    <row r="2193" spans="1:13" ht="52.8">
      <c r="A2193" s="21" t="s">
        <v>7932</v>
      </c>
      <c r="B2193" s="21" t="s">
        <v>7933</v>
      </c>
      <c r="C2193" s="21" t="s">
        <v>7934</v>
      </c>
      <c r="D2193" s="21" t="s">
        <v>71</v>
      </c>
      <c r="E2193" s="22" t="s">
        <v>7935</v>
      </c>
      <c r="F2193" s="22" t="s">
        <v>7933</v>
      </c>
      <c r="G2193" s="21" t="s">
        <v>7936</v>
      </c>
      <c r="H2193" s="21" t="s">
        <v>7937</v>
      </c>
      <c r="I2193" s="12" t="s">
        <v>8444</v>
      </c>
      <c r="J2193" s="12" t="s">
        <v>9772</v>
      </c>
      <c r="K2193" s="12"/>
      <c r="L2193" s="12" t="s">
        <v>11719</v>
      </c>
      <c r="M2193" s="12" t="s">
        <v>11720</v>
      </c>
    </row>
    <row r="2194" spans="1:13" ht="52.8">
      <c r="A2194" s="21" t="s">
        <v>7932</v>
      </c>
      <c r="B2194" s="21" t="s">
        <v>7933</v>
      </c>
      <c r="C2194" s="21" t="s">
        <v>7934</v>
      </c>
      <c r="D2194" s="21" t="s">
        <v>71</v>
      </c>
      <c r="E2194" s="22" t="s">
        <v>7935</v>
      </c>
      <c r="F2194" s="22" t="s">
        <v>7933</v>
      </c>
      <c r="G2194" s="21" t="s">
        <v>7936</v>
      </c>
      <c r="H2194" s="21" t="s">
        <v>7937</v>
      </c>
      <c r="I2194" s="12" t="s">
        <v>8445</v>
      </c>
      <c r="J2194" s="12" t="s">
        <v>9773</v>
      </c>
      <c r="K2194" s="12" t="s">
        <v>11721</v>
      </c>
      <c r="L2194" s="12" t="s">
        <v>11722</v>
      </c>
      <c r="M2194" s="12" t="s">
        <v>11723</v>
      </c>
    </row>
    <row r="2195" spans="1:13" ht="52.8">
      <c r="A2195" s="21" t="s">
        <v>7932</v>
      </c>
      <c r="B2195" s="21" t="s">
        <v>7933</v>
      </c>
      <c r="C2195" s="21" t="s">
        <v>7934</v>
      </c>
      <c r="D2195" s="21" t="s">
        <v>71</v>
      </c>
      <c r="E2195" s="22" t="s">
        <v>7935</v>
      </c>
      <c r="F2195" s="22" t="s">
        <v>7933</v>
      </c>
      <c r="G2195" s="21" t="s">
        <v>7936</v>
      </c>
      <c r="H2195" s="21" t="s">
        <v>7937</v>
      </c>
      <c r="I2195" s="12" t="s">
        <v>8446</v>
      </c>
      <c r="J2195" s="12" t="s">
        <v>9774</v>
      </c>
      <c r="K2195" s="12"/>
      <c r="L2195" s="12" t="s">
        <v>11724</v>
      </c>
      <c r="M2195" s="12" t="s">
        <v>11725</v>
      </c>
    </row>
    <row r="2196" spans="1:13" ht="52.8">
      <c r="A2196" s="21" t="s">
        <v>7932</v>
      </c>
      <c r="B2196" s="21" t="s">
        <v>7933</v>
      </c>
      <c r="C2196" s="21" t="s">
        <v>7934</v>
      </c>
      <c r="D2196" s="21" t="s">
        <v>71</v>
      </c>
      <c r="E2196" s="22" t="s">
        <v>7935</v>
      </c>
      <c r="F2196" s="22" t="s">
        <v>7933</v>
      </c>
      <c r="G2196" s="21" t="s">
        <v>7936</v>
      </c>
      <c r="H2196" s="21" t="s">
        <v>7937</v>
      </c>
      <c r="I2196" s="12" t="s">
        <v>8447</v>
      </c>
      <c r="J2196" s="12" t="s">
        <v>9775</v>
      </c>
      <c r="K2196" s="12"/>
      <c r="L2196" s="12" t="s">
        <v>11726</v>
      </c>
      <c r="M2196" s="12" t="s">
        <v>11727</v>
      </c>
    </row>
    <row r="2197" spans="1:13" ht="52.8">
      <c r="A2197" s="21" t="s">
        <v>7932</v>
      </c>
      <c r="B2197" s="21" t="s">
        <v>7933</v>
      </c>
      <c r="C2197" s="21" t="s">
        <v>7934</v>
      </c>
      <c r="D2197" s="21" t="s">
        <v>71</v>
      </c>
      <c r="E2197" s="22" t="s">
        <v>7935</v>
      </c>
      <c r="F2197" s="22" t="s">
        <v>7933</v>
      </c>
      <c r="G2197" s="21" t="s">
        <v>7936</v>
      </c>
      <c r="H2197" s="21" t="s">
        <v>7937</v>
      </c>
      <c r="I2197" s="12" t="s">
        <v>8448</v>
      </c>
      <c r="J2197" s="12" t="s">
        <v>9776</v>
      </c>
      <c r="K2197" s="12" t="s">
        <v>11728</v>
      </c>
      <c r="L2197" s="12" t="s">
        <v>11729</v>
      </c>
      <c r="M2197" s="12" t="s">
        <v>11730</v>
      </c>
    </row>
    <row r="2198" spans="1:13" ht="52.8">
      <c r="A2198" s="21" t="s">
        <v>7932</v>
      </c>
      <c r="B2198" s="21" t="s">
        <v>7933</v>
      </c>
      <c r="C2198" s="21" t="s">
        <v>7934</v>
      </c>
      <c r="D2198" s="21" t="s">
        <v>71</v>
      </c>
      <c r="E2198" s="22" t="s">
        <v>7935</v>
      </c>
      <c r="F2198" s="22" t="s">
        <v>7933</v>
      </c>
      <c r="G2198" s="21" t="s">
        <v>7936</v>
      </c>
      <c r="H2198" s="21" t="s">
        <v>7937</v>
      </c>
      <c r="I2198" s="12" t="s">
        <v>8449</v>
      </c>
      <c r="J2198" s="12" t="s">
        <v>9777</v>
      </c>
      <c r="K2198" s="12" t="s">
        <v>11731</v>
      </c>
      <c r="L2198" s="12" t="s">
        <v>11732</v>
      </c>
      <c r="M2198" s="12" t="s">
        <v>11731</v>
      </c>
    </row>
    <row r="2199" spans="1:13" ht="52.8">
      <c r="A2199" s="21" t="s">
        <v>7932</v>
      </c>
      <c r="B2199" s="21" t="s">
        <v>7933</v>
      </c>
      <c r="C2199" s="21" t="s">
        <v>7934</v>
      </c>
      <c r="D2199" s="21" t="s">
        <v>71</v>
      </c>
      <c r="E2199" s="22" t="s">
        <v>7935</v>
      </c>
      <c r="F2199" s="22" t="s">
        <v>7933</v>
      </c>
      <c r="G2199" s="21" t="s">
        <v>7936</v>
      </c>
      <c r="H2199" s="21" t="s">
        <v>7937</v>
      </c>
      <c r="I2199" s="12" t="s">
        <v>8450</v>
      </c>
      <c r="J2199" s="12" t="s">
        <v>9778</v>
      </c>
      <c r="K2199" s="12"/>
      <c r="L2199" s="12" t="s">
        <v>11733</v>
      </c>
      <c r="M2199" s="12" t="s">
        <v>11734</v>
      </c>
    </row>
    <row r="2200" spans="1:13" ht="52.8">
      <c r="A2200" s="21" t="s">
        <v>7932</v>
      </c>
      <c r="B2200" s="21" t="s">
        <v>7933</v>
      </c>
      <c r="C2200" s="21" t="s">
        <v>7934</v>
      </c>
      <c r="D2200" s="21" t="s">
        <v>71</v>
      </c>
      <c r="E2200" s="22" t="s">
        <v>7935</v>
      </c>
      <c r="F2200" s="22" t="s">
        <v>7933</v>
      </c>
      <c r="G2200" s="21" t="s">
        <v>7936</v>
      </c>
      <c r="H2200" s="21" t="s">
        <v>7937</v>
      </c>
      <c r="I2200" s="12" t="s">
        <v>8451</v>
      </c>
      <c r="J2200" s="12" t="s">
        <v>9779</v>
      </c>
      <c r="K2200" s="12"/>
      <c r="L2200" s="12" t="s">
        <v>11735</v>
      </c>
      <c r="M2200" s="12" t="s">
        <v>11736</v>
      </c>
    </row>
    <row r="2201" spans="1:13" ht="52.8">
      <c r="A2201" s="21" t="s">
        <v>7932</v>
      </c>
      <c r="B2201" s="21" t="s">
        <v>7933</v>
      </c>
      <c r="C2201" s="21" t="s">
        <v>7934</v>
      </c>
      <c r="D2201" s="21" t="s">
        <v>71</v>
      </c>
      <c r="E2201" s="22" t="s">
        <v>7935</v>
      </c>
      <c r="F2201" s="22" t="s">
        <v>7933</v>
      </c>
      <c r="G2201" s="21" t="s">
        <v>7936</v>
      </c>
      <c r="H2201" s="21" t="s">
        <v>7937</v>
      </c>
      <c r="I2201" s="12" t="s">
        <v>8452</v>
      </c>
      <c r="J2201" s="12" t="s">
        <v>9780</v>
      </c>
      <c r="K2201" s="12"/>
      <c r="L2201" s="12" t="s">
        <v>11737</v>
      </c>
      <c r="M2201" s="12" t="s">
        <v>11738</v>
      </c>
    </row>
    <row r="2202" spans="1:13" ht="52.8">
      <c r="A2202" s="21" t="s">
        <v>7932</v>
      </c>
      <c r="B2202" s="21" t="s">
        <v>7933</v>
      </c>
      <c r="C2202" s="21" t="s">
        <v>7934</v>
      </c>
      <c r="D2202" s="21" t="s">
        <v>71</v>
      </c>
      <c r="E2202" s="22" t="s">
        <v>7935</v>
      </c>
      <c r="F2202" s="22" t="s">
        <v>7933</v>
      </c>
      <c r="G2202" s="21" t="s">
        <v>7936</v>
      </c>
      <c r="H2202" s="21" t="s">
        <v>7937</v>
      </c>
      <c r="I2202" s="12" t="s">
        <v>8453</v>
      </c>
      <c r="J2202" s="12" t="s">
        <v>9781</v>
      </c>
      <c r="K2202" s="12" t="s">
        <v>11739</v>
      </c>
      <c r="L2202" s="12" t="s">
        <v>11740</v>
      </c>
      <c r="M2202" s="12" t="s">
        <v>11741</v>
      </c>
    </row>
    <row r="2203" spans="1:13" ht="52.8">
      <c r="A2203" s="21" t="s">
        <v>7932</v>
      </c>
      <c r="B2203" s="21" t="s">
        <v>7933</v>
      </c>
      <c r="C2203" s="21" t="s">
        <v>7934</v>
      </c>
      <c r="D2203" s="21" t="s">
        <v>71</v>
      </c>
      <c r="E2203" s="22" t="s">
        <v>7935</v>
      </c>
      <c r="F2203" s="22" t="s">
        <v>7933</v>
      </c>
      <c r="G2203" s="21" t="s">
        <v>7936</v>
      </c>
      <c r="H2203" s="21" t="s">
        <v>7937</v>
      </c>
      <c r="I2203" s="12" t="s">
        <v>8454</v>
      </c>
      <c r="J2203" s="12" t="s">
        <v>9782</v>
      </c>
      <c r="K2203" s="12"/>
      <c r="L2203" s="12" t="s">
        <v>11742</v>
      </c>
      <c r="M2203" s="12" t="s">
        <v>11743</v>
      </c>
    </row>
    <row r="2204" spans="1:13" ht="52.8">
      <c r="A2204" s="21" t="s">
        <v>7932</v>
      </c>
      <c r="B2204" s="21" t="s">
        <v>7933</v>
      </c>
      <c r="C2204" s="21" t="s">
        <v>7934</v>
      </c>
      <c r="D2204" s="21" t="s">
        <v>71</v>
      </c>
      <c r="E2204" s="22" t="s">
        <v>7935</v>
      </c>
      <c r="F2204" s="22" t="s">
        <v>7933</v>
      </c>
      <c r="G2204" s="21" t="s">
        <v>7936</v>
      </c>
      <c r="H2204" s="21" t="s">
        <v>7937</v>
      </c>
      <c r="I2204" s="12" t="s">
        <v>8455</v>
      </c>
      <c r="J2204" s="12" t="s">
        <v>9783</v>
      </c>
      <c r="K2204" s="12" t="s">
        <v>11744</v>
      </c>
      <c r="L2204" s="12" t="s">
        <v>11745</v>
      </c>
      <c r="M2204" s="12" t="s">
        <v>11744</v>
      </c>
    </row>
    <row r="2205" spans="1:13" ht="52.8">
      <c r="A2205" s="21" t="s">
        <v>7932</v>
      </c>
      <c r="B2205" s="21" t="s">
        <v>7933</v>
      </c>
      <c r="C2205" s="21" t="s">
        <v>7934</v>
      </c>
      <c r="D2205" s="21" t="s">
        <v>71</v>
      </c>
      <c r="E2205" s="22" t="s">
        <v>7935</v>
      </c>
      <c r="F2205" s="22" t="s">
        <v>7933</v>
      </c>
      <c r="G2205" s="21" t="s">
        <v>7936</v>
      </c>
      <c r="H2205" s="21" t="s">
        <v>7937</v>
      </c>
      <c r="I2205" s="12" t="s">
        <v>8456</v>
      </c>
      <c r="J2205" s="12" t="s">
        <v>9784</v>
      </c>
      <c r="K2205" s="12"/>
      <c r="L2205" s="12" t="s">
        <v>11746</v>
      </c>
      <c r="M2205" s="12" t="s">
        <v>11747</v>
      </c>
    </row>
    <row r="2206" spans="1:13" ht="52.8">
      <c r="A2206" s="21" t="s">
        <v>7932</v>
      </c>
      <c r="B2206" s="21" t="s">
        <v>7933</v>
      </c>
      <c r="C2206" s="21" t="s">
        <v>7934</v>
      </c>
      <c r="D2206" s="21" t="s">
        <v>71</v>
      </c>
      <c r="E2206" s="22" t="s">
        <v>7935</v>
      </c>
      <c r="F2206" s="22" t="s">
        <v>7933</v>
      </c>
      <c r="G2206" s="21" t="s">
        <v>7936</v>
      </c>
      <c r="H2206" s="21" t="s">
        <v>7937</v>
      </c>
      <c r="I2206" s="12" t="s">
        <v>8457</v>
      </c>
      <c r="J2206" s="12" t="s">
        <v>9785</v>
      </c>
      <c r="K2206" s="12" t="s">
        <v>11748</v>
      </c>
      <c r="L2206" s="12" t="s">
        <v>11749</v>
      </c>
      <c r="M2206" s="12" t="s">
        <v>11748</v>
      </c>
    </row>
    <row r="2207" spans="1:13" ht="52.8">
      <c r="A2207" s="21" t="s">
        <v>7932</v>
      </c>
      <c r="B2207" s="21" t="s">
        <v>7933</v>
      </c>
      <c r="C2207" s="21" t="s">
        <v>7934</v>
      </c>
      <c r="D2207" s="21" t="s">
        <v>71</v>
      </c>
      <c r="E2207" s="22" t="s">
        <v>7935</v>
      </c>
      <c r="F2207" s="22" t="s">
        <v>7933</v>
      </c>
      <c r="G2207" s="21" t="s">
        <v>7936</v>
      </c>
      <c r="H2207" s="21" t="s">
        <v>7937</v>
      </c>
      <c r="I2207" s="12" t="s">
        <v>8458</v>
      </c>
      <c r="J2207" s="12" t="s">
        <v>9786</v>
      </c>
      <c r="K2207" s="12"/>
      <c r="L2207" s="12" t="s">
        <v>11750</v>
      </c>
      <c r="M2207" s="12" t="s">
        <v>11751</v>
      </c>
    </row>
    <row r="2208" spans="1:13" ht="52.8">
      <c r="A2208" s="21" t="s">
        <v>7932</v>
      </c>
      <c r="B2208" s="21" t="s">
        <v>7933</v>
      </c>
      <c r="C2208" s="21" t="s">
        <v>7934</v>
      </c>
      <c r="D2208" s="21" t="s">
        <v>71</v>
      </c>
      <c r="E2208" s="22" t="s">
        <v>7935</v>
      </c>
      <c r="F2208" s="22" t="s">
        <v>7933</v>
      </c>
      <c r="G2208" s="21" t="s">
        <v>7936</v>
      </c>
      <c r="H2208" s="21" t="s">
        <v>7937</v>
      </c>
      <c r="I2208" s="12" t="s">
        <v>8459</v>
      </c>
      <c r="J2208" s="12" t="s">
        <v>9787</v>
      </c>
      <c r="K2208" s="12" t="s">
        <v>11752</v>
      </c>
      <c r="L2208" s="12" t="s">
        <v>11753</v>
      </c>
      <c r="M2208" s="12" t="s">
        <v>11754</v>
      </c>
    </row>
    <row r="2209" spans="1:13" ht="52.8">
      <c r="A2209" s="21" t="s">
        <v>7932</v>
      </c>
      <c r="B2209" s="21" t="s">
        <v>7933</v>
      </c>
      <c r="C2209" s="21" t="s">
        <v>7934</v>
      </c>
      <c r="D2209" s="21" t="s">
        <v>71</v>
      </c>
      <c r="E2209" s="22" t="s">
        <v>7935</v>
      </c>
      <c r="F2209" s="22" t="s">
        <v>7933</v>
      </c>
      <c r="G2209" s="21" t="s">
        <v>7936</v>
      </c>
      <c r="H2209" s="21" t="s">
        <v>7937</v>
      </c>
      <c r="I2209" s="12" t="s">
        <v>8460</v>
      </c>
      <c r="J2209" s="12" t="s">
        <v>9788</v>
      </c>
      <c r="K2209" s="12"/>
      <c r="L2209" s="12" t="s">
        <v>11755</v>
      </c>
      <c r="M2209" s="12" t="s">
        <v>11756</v>
      </c>
    </row>
    <row r="2210" spans="1:13" ht="52.8">
      <c r="A2210" s="21" t="s">
        <v>7932</v>
      </c>
      <c r="B2210" s="21" t="s">
        <v>7933</v>
      </c>
      <c r="C2210" s="21" t="s">
        <v>7934</v>
      </c>
      <c r="D2210" s="21" t="s">
        <v>71</v>
      </c>
      <c r="E2210" s="22" t="s">
        <v>7935</v>
      </c>
      <c r="F2210" s="22" t="s">
        <v>7933</v>
      </c>
      <c r="G2210" s="21" t="s">
        <v>7936</v>
      </c>
      <c r="H2210" s="21" t="s">
        <v>7937</v>
      </c>
      <c r="I2210" s="12" t="s">
        <v>8461</v>
      </c>
      <c r="J2210" s="12" t="s">
        <v>9789</v>
      </c>
      <c r="K2210" s="12"/>
      <c r="L2210" s="12" t="s">
        <v>11757</v>
      </c>
      <c r="M2210" s="12" t="s">
        <v>11758</v>
      </c>
    </row>
    <row r="2211" spans="1:13" ht="52.8">
      <c r="A2211" s="21" t="s">
        <v>7932</v>
      </c>
      <c r="B2211" s="21" t="s">
        <v>7933</v>
      </c>
      <c r="C2211" s="21" t="s">
        <v>7934</v>
      </c>
      <c r="D2211" s="21" t="s">
        <v>71</v>
      </c>
      <c r="E2211" s="22" t="s">
        <v>7935</v>
      </c>
      <c r="F2211" s="22" t="s">
        <v>7933</v>
      </c>
      <c r="G2211" s="21" t="s">
        <v>7936</v>
      </c>
      <c r="H2211" s="21" t="s">
        <v>7937</v>
      </c>
      <c r="I2211" s="12" t="s">
        <v>8462</v>
      </c>
      <c r="J2211" s="12" t="s">
        <v>9790</v>
      </c>
      <c r="K2211" s="12"/>
      <c r="L2211" s="12" t="s">
        <v>11759</v>
      </c>
      <c r="M2211" s="12" t="s">
        <v>11760</v>
      </c>
    </row>
    <row r="2212" spans="1:13" ht="52.8">
      <c r="A2212" s="21" t="s">
        <v>7932</v>
      </c>
      <c r="B2212" s="21" t="s">
        <v>7933</v>
      </c>
      <c r="C2212" s="21" t="s">
        <v>7934</v>
      </c>
      <c r="D2212" s="21" t="s">
        <v>71</v>
      </c>
      <c r="E2212" s="22" t="s">
        <v>7935</v>
      </c>
      <c r="F2212" s="22" t="s">
        <v>7933</v>
      </c>
      <c r="G2212" s="21" t="s">
        <v>7936</v>
      </c>
      <c r="H2212" s="21" t="s">
        <v>7937</v>
      </c>
      <c r="I2212" s="12" t="s">
        <v>8463</v>
      </c>
      <c r="J2212" s="12" t="s">
        <v>9791</v>
      </c>
      <c r="K2212" s="12" t="s">
        <v>11761</v>
      </c>
      <c r="L2212" s="12" t="s">
        <v>11762</v>
      </c>
      <c r="M2212" s="12" t="s">
        <v>11761</v>
      </c>
    </row>
    <row r="2213" spans="1:13" ht="52.8">
      <c r="A2213" s="21" t="s">
        <v>7932</v>
      </c>
      <c r="B2213" s="21" t="s">
        <v>7933</v>
      </c>
      <c r="C2213" s="21" t="s">
        <v>7934</v>
      </c>
      <c r="D2213" s="21" t="s">
        <v>71</v>
      </c>
      <c r="E2213" s="22" t="s">
        <v>7935</v>
      </c>
      <c r="F2213" s="22" t="s">
        <v>7933</v>
      </c>
      <c r="G2213" s="21" t="s">
        <v>7936</v>
      </c>
      <c r="H2213" s="21" t="s">
        <v>7937</v>
      </c>
      <c r="I2213" s="12" t="s">
        <v>8464</v>
      </c>
      <c r="J2213" s="12" t="s">
        <v>9792</v>
      </c>
      <c r="K2213" s="12"/>
      <c r="L2213" s="12" t="s">
        <v>11763</v>
      </c>
      <c r="M2213" s="12" t="s">
        <v>11764</v>
      </c>
    </row>
    <row r="2214" spans="1:13" ht="52.8">
      <c r="A2214" s="21" t="s">
        <v>7932</v>
      </c>
      <c r="B2214" s="21" t="s">
        <v>7933</v>
      </c>
      <c r="C2214" s="21" t="s">
        <v>7934</v>
      </c>
      <c r="D2214" s="21" t="s">
        <v>71</v>
      </c>
      <c r="E2214" s="22" t="s">
        <v>7935</v>
      </c>
      <c r="F2214" s="22" t="s">
        <v>7933</v>
      </c>
      <c r="G2214" s="21" t="s">
        <v>7936</v>
      </c>
      <c r="H2214" s="21" t="s">
        <v>7937</v>
      </c>
      <c r="I2214" s="12" t="s">
        <v>8465</v>
      </c>
      <c r="J2214" s="12" t="s">
        <v>9793</v>
      </c>
      <c r="K2214" s="12"/>
      <c r="L2214" s="12" t="s">
        <v>11765</v>
      </c>
      <c r="M2214" s="12" t="s">
        <v>11766</v>
      </c>
    </row>
    <row r="2215" spans="1:13" ht="52.8">
      <c r="A2215" s="21" t="s">
        <v>7932</v>
      </c>
      <c r="B2215" s="21" t="s">
        <v>7933</v>
      </c>
      <c r="C2215" s="21" t="s">
        <v>7934</v>
      </c>
      <c r="D2215" s="21" t="s">
        <v>71</v>
      </c>
      <c r="E2215" s="22" t="s">
        <v>7935</v>
      </c>
      <c r="F2215" s="22" t="s">
        <v>7933</v>
      </c>
      <c r="G2215" s="21" t="s">
        <v>7936</v>
      </c>
      <c r="H2215" s="21" t="s">
        <v>7937</v>
      </c>
      <c r="I2215" s="12" t="s">
        <v>8466</v>
      </c>
      <c r="J2215" s="12" t="s">
        <v>9794</v>
      </c>
      <c r="K2215" s="12"/>
      <c r="L2215" s="12" t="s">
        <v>11767</v>
      </c>
      <c r="M2215" s="12" t="s">
        <v>11768</v>
      </c>
    </row>
    <row r="2216" spans="1:13" ht="52.8">
      <c r="A2216" s="21" t="s">
        <v>7932</v>
      </c>
      <c r="B2216" s="21" t="s">
        <v>7933</v>
      </c>
      <c r="C2216" s="21" t="s">
        <v>7934</v>
      </c>
      <c r="D2216" s="21" t="s">
        <v>71</v>
      </c>
      <c r="E2216" s="22" t="s">
        <v>7935</v>
      </c>
      <c r="F2216" s="22" t="s">
        <v>7933</v>
      </c>
      <c r="G2216" s="21" t="s">
        <v>7936</v>
      </c>
      <c r="H2216" s="21" t="s">
        <v>7937</v>
      </c>
      <c r="I2216" s="12" t="s">
        <v>8467</v>
      </c>
      <c r="J2216" s="12" t="s">
        <v>9795</v>
      </c>
      <c r="K2216" s="12"/>
      <c r="L2216" s="12" t="s">
        <v>11769</v>
      </c>
      <c r="M2216" s="12" t="s">
        <v>11770</v>
      </c>
    </row>
    <row r="2217" spans="1:13" ht="52.8">
      <c r="A2217" s="21" t="s">
        <v>7932</v>
      </c>
      <c r="B2217" s="21" t="s">
        <v>7933</v>
      </c>
      <c r="C2217" s="21" t="s">
        <v>7934</v>
      </c>
      <c r="D2217" s="21" t="s">
        <v>71</v>
      </c>
      <c r="E2217" s="22" t="s">
        <v>7935</v>
      </c>
      <c r="F2217" s="22" t="s">
        <v>7933</v>
      </c>
      <c r="G2217" s="21" t="s">
        <v>7936</v>
      </c>
      <c r="H2217" s="21" t="s">
        <v>7937</v>
      </c>
      <c r="I2217" s="12" t="s">
        <v>8468</v>
      </c>
      <c r="J2217" s="12" t="s">
        <v>9796</v>
      </c>
      <c r="K2217" s="12"/>
      <c r="L2217" s="12" t="s">
        <v>11771</v>
      </c>
      <c r="M2217" s="12" t="s">
        <v>11772</v>
      </c>
    </row>
    <row r="2218" spans="1:13" ht="132">
      <c r="A2218" s="21" t="s">
        <v>7932</v>
      </c>
      <c r="B2218" s="21" t="s">
        <v>7933</v>
      </c>
      <c r="C2218" s="21" t="s">
        <v>7934</v>
      </c>
      <c r="D2218" s="21" t="s">
        <v>71</v>
      </c>
      <c r="E2218" s="22" t="s">
        <v>7935</v>
      </c>
      <c r="F2218" s="22" t="s">
        <v>7933</v>
      </c>
      <c r="G2218" s="21" t="s">
        <v>7936</v>
      </c>
      <c r="H2218" s="21" t="s">
        <v>7937</v>
      </c>
      <c r="I2218" s="12" t="s">
        <v>8469</v>
      </c>
      <c r="J2218" s="12" t="s">
        <v>9797</v>
      </c>
      <c r="K2218" s="12"/>
      <c r="L2218" s="12" t="s">
        <v>11773</v>
      </c>
      <c r="M2218" s="12" t="s">
        <v>11774</v>
      </c>
    </row>
    <row r="2219" spans="1:13" ht="52.8">
      <c r="A2219" s="21" t="s">
        <v>7932</v>
      </c>
      <c r="B2219" s="21" t="s">
        <v>7933</v>
      </c>
      <c r="C2219" s="21" t="s">
        <v>7934</v>
      </c>
      <c r="D2219" s="21" t="s">
        <v>71</v>
      </c>
      <c r="E2219" s="22" t="s">
        <v>7935</v>
      </c>
      <c r="F2219" s="22" t="s">
        <v>7933</v>
      </c>
      <c r="G2219" s="21" t="s">
        <v>7936</v>
      </c>
      <c r="H2219" s="21" t="s">
        <v>7937</v>
      </c>
      <c r="I2219" s="12" t="s">
        <v>8470</v>
      </c>
      <c r="J2219" s="12" t="s">
        <v>9798</v>
      </c>
      <c r="K2219" s="12" t="s">
        <v>11775</v>
      </c>
      <c r="L2219" s="12" t="s">
        <v>11776</v>
      </c>
      <c r="M2219" s="12" t="s">
        <v>11775</v>
      </c>
    </row>
    <row r="2220" spans="1:13" ht="52.8">
      <c r="A2220" s="21" t="s">
        <v>7932</v>
      </c>
      <c r="B2220" s="21" t="s">
        <v>7933</v>
      </c>
      <c r="C2220" s="21" t="s">
        <v>7934</v>
      </c>
      <c r="D2220" s="21" t="s">
        <v>71</v>
      </c>
      <c r="E2220" s="22" t="s">
        <v>7935</v>
      </c>
      <c r="F2220" s="22" t="s">
        <v>7933</v>
      </c>
      <c r="G2220" s="21" t="s">
        <v>7936</v>
      </c>
      <c r="H2220" s="21" t="s">
        <v>7937</v>
      </c>
      <c r="I2220" s="12" t="s">
        <v>8471</v>
      </c>
      <c r="J2220" s="12" t="s">
        <v>9799</v>
      </c>
      <c r="K2220" s="12"/>
      <c r="L2220" s="12" t="s">
        <v>11777</v>
      </c>
      <c r="M2220" s="12" t="s">
        <v>11778</v>
      </c>
    </row>
    <row r="2221" spans="1:13" ht="52.8">
      <c r="A2221" s="21" t="s">
        <v>7932</v>
      </c>
      <c r="B2221" s="21" t="s">
        <v>7933</v>
      </c>
      <c r="C2221" s="21" t="s">
        <v>7934</v>
      </c>
      <c r="D2221" s="21" t="s">
        <v>71</v>
      </c>
      <c r="E2221" s="22" t="s">
        <v>7935</v>
      </c>
      <c r="F2221" s="22" t="s">
        <v>7933</v>
      </c>
      <c r="G2221" s="21" t="s">
        <v>7936</v>
      </c>
      <c r="H2221" s="21" t="s">
        <v>7937</v>
      </c>
      <c r="I2221" s="12" t="s">
        <v>8472</v>
      </c>
      <c r="J2221" s="12" t="s">
        <v>9800</v>
      </c>
      <c r="K2221" s="12" t="s">
        <v>11779</v>
      </c>
      <c r="L2221" s="12" t="s">
        <v>11780</v>
      </c>
      <c r="M2221" s="12" t="s">
        <v>11779</v>
      </c>
    </row>
    <row r="2222" spans="1:13" ht="52.8">
      <c r="A2222" s="21" t="s">
        <v>7932</v>
      </c>
      <c r="B2222" s="21" t="s">
        <v>7933</v>
      </c>
      <c r="C2222" s="21" t="s">
        <v>7934</v>
      </c>
      <c r="D2222" s="21" t="s">
        <v>71</v>
      </c>
      <c r="E2222" s="22" t="s">
        <v>7935</v>
      </c>
      <c r="F2222" s="22" t="s">
        <v>7933</v>
      </c>
      <c r="G2222" s="21" t="s">
        <v>7936</v>
      </c>
      <c r="H2222" s="21" t="s">
        <v>7937</v>
      </c>
      <c r="I2222" s="12" t="s">
        <v>8473</v>
      </c>
      <c r="J2222" s="12" t="s">
        <v>9801</v>
      </c>
      <c r="K2222" s="12"/>
      <c r="L2222" s="12" t="s">
        <v>11781</v>
      </c>
      <c r="M2222" s="12" t="s">
        <v>11782</v>
      </c>
    </row>
    <row r="2223" spans="1:13" ht="52.8">
      <c r="A2223" s="21" t="s">
        <v>7932</v>
      </c>
      <c r="B2223" s="21" t="s">
        <v>7933</v>
      </c>
      <c r="C2223" s="21" t="s">
        <v>7934</v>
      </c>
      <c r="D2223" s="21" t="s">
        <v>71</v>
      </c>
      <c r="E2223" s="22" t="s">
        <v>7935</v>
      </c>
      <c r="F2223" s="22" t="s">
        <v>7933</v>
      </c>
      <c r="G2223" s="21" t="s">
        <v>7936</v>
      </c>
      <c r="H2223" s="21" t="s">
        <v>7937</v>
      </c>
      <c r="I2223" s="12" t="s">
        <v>8474</v>
      </c>
      <c r="J2223" s="12" t="s">
        <v>9802</v>
      </c>
      <c r="K2223" s="12"/>
      <c r="L2223" s="12" t="s">
        <v>11783</v>
      </c>
      <c r="M2223" s="12" t="s">
        <v>11784</v>
      </c>
    </row>
    <row r="2224" spans="1:13" ht="52.8">
      <c r="A2224" s="21" t="s">
        <v>7932</v>
      </c>
      <c r="B2224" s="21" t="s">
        <v>7933</v>
      </c>
      <c r="C2224" s="21" t="s">
        <v>7934</v>
      </c>
      <c r="D2224" s="21" t="s">
        <v>71</v>
      </c>
      <c r="E2224" s="22" t="s">
        <v>7935</v>
      </c>
      <c r="F2224" s="22" t="s">
        <v>7933</v>
      </c>
      <c r="G2224" s="21" t="s">
        <v>7936</v>
      </c>
      <c r="H2224" s="21" t="s">
        <v>7937</v>
      </c>
      <c r="I2224" s="12" t="s">
        <v>8475</v>
      </c>
      <c r="J2224" s="12" t="s">
        <v>9803</v>
      </c>
      <c r="K2224" s="12"/>
      <c r="L2224" s="12" t="s">
        <v>11785</v>
      </c>
      <c r="M2224" s="12" t="s">
        <v>11786</v>
      </c>
    </row>
    <row r="2225" spans="1:13" ht="52.8">
      <c r="A2225" s="21" t="s">
        <v>7932</v>
      </c>
      <c r="B2225" s="21" t="s">
        <v>7933</v>
      </c>
      <c r="C2225" s="21" t="s">
        <v>7934</v>
      </c>
      <c r="D2225" s="21" t="s">
        <v>71</v>
      </c>
      <c r="E2225" s="22" t="s">
        <v>7935</v>
      </c>
      <c r="F2225" s="22" t="s">
        <v>7933</v>
      </c>
      <c r="G2225" s="21" t="s">
        <v>7936</v>
      </c>
      <c r="H2225" s="21" t="s">
        <v>7937</v>
      </c>
      <c r="I2225" s="12" t="s">
        <v>8476</v>
      </c>
      <c r="J2225" s="12" t="s">
        <v>9804</v>
      </c>
      <c r="K2225" s="12" t="s">
        <v>11787</v>
      </c>
      <c r="L2225" s="12" t="s">
        <v>11788</v>
      </c>
      <c r="M2225" s="12" t="s">
        <v>11789</v>
      </c>
    </row>
    <row r="2226" spans="1:13" ht="52.8">
      <c r="A2226" s="21" t="s">
        <v>7932</v>
      </c>
      <c r="B2226" s="21" t="s">
        <v>7933</v>
      </c>
      <c r="C2226" s="21" t="s">
        <v>7934</v>
      </c>
      <c r="D2226" s="21" t="s">
        <v>71</v>
      </c>
      <c r="E2226" s="22" t="s">
        <v>7935</v>
      </c>
      <c r="F2226" s="22" t="s">
        <v>7933</v>
      </c>
      <c r="G2226" s="21" t="s">
        <v>7936</v>
      </c>
      <c r="H2226" s="21" t="s">
        <v>7937</v>
      </c>
      <c r="I2226" s="12" t="s">
        <v>8477</v>
      </c>
      <c r="J2226" s="12" t="s">
        <v>9805</v>
      </c>
      <c r="K2226" s="12" t="s">
        <v>11790</v>
      </c>
      <c r="L2226" s="12" t="s">
        <v>11791</v>
      </c>
      <c r="M2226" s="12" t="s">
        <v>11792</v>
      </c>
    </row>
    <row r="2227" spans="1:13" ht="52.8">
      <c r="A2227" s="21" t="s">
        <v>7932</v>
      </c>
      <c r="B2227" s="21" t="s">
        <v>7933</v>
      </c>
      <c r="C2227" s="21" t="s">
        <v>7934</v>
      </c>
      <c r="D2227" s="21" t="s">
        <v>71</v>
      </c>
      <c r="E2227" s="22" t="s">
        <v>7935</v>
      </c>
      <c r="F2227" s="22" t="s">
        <v>7933</v>
      </c>
      <c r="G2227" s="21" t="s">
        <v>7936</v>
      </c>
      <c r="H2227" s="21" t="s">
        <v>7937</v>
      </c>
      <c r="I2227" s="12" t="s">
        <v>8478</v>
      </c>
      <c r="J2227" s="12" t="s">
        <v>9806</v>
      </c>
      <c r="K2227" s="12"/>
      <c r="L2227" s="12" t="s">
        <v>11793</v>
      </c>
      <c r="M2227" s="12" t="s">
        <v>11794</v>
      </c>
    </row>
    <row r="2228" spans="1:13" ht="52.8">
      <c r="A2228" s="21" t="s">
        <v>7932</v>
      </c>
      <c r="B2228" s="21" t="s">
        <v>7933</v>
      </c>
      <c r="C2228" s="21" t="s">
        <v>7934</v>
      </c>
      <c r="D2228" s="21" t="s">
        <v>71</v>
      </c>
      <c r="E2228" s="22" t="s">
        <v>7935</v>
      </c>
      <c r="F2228" s="22" t="s">
        <v>7933</v>
      </c>
      <c r="G2228" s="21" t="s">
        <v>7936</v>
      </c>
      <c r="H2228" s="21" t="s">
        <v>7937</v>
      </c>
      <c r="I2228" s="12" t="s">
        <v>8479</v>
      </c>
      <c r="J2228" s="12" t="s">
        <v>9807</v>
      </c>
      <c r="K2228" s="12"/>
      <c r="L2228" s="12" t="s">
        <v>11795</v>
      </c>
      <c r="M2228" s="12" t="s">
        <v>11796</v>
      </c>
    </row>
    <row r="2229" spans="1:13" ht="52.8">
      <c r="A2229" s="21" t="s">
        <v>7932</v>
      </c>
      <c r="B2229" s="21" t="s">
        <v>7933</v>
      </c>
      <c r="C2229" s="21" t="s">
        <v>7934</v>
      </c>
      <c r="D2229" s="21" t="s">
        <v>71</v>
      </c>
      <c r="E2229" s="22" t="s">
        <v>7935</v>
      </c>
      <c r="F2229" s="22" t="s">
        <v>7933</v>
      </c>
      <c r="G2229" s="21" t="s">
        <v>7936</v>
      </c>
      <c r="H2229" s="21" t="s">
        <v>7937</v>
      </c>
      <c r="I2229" s="12" t="s">
        <v>8480</v>
      </c>
      <c r="J2229" s="12" t="s">
        <v>9808</v>
      </c>
      <c r="K2229" s="12"/>
      <c r="L2229" s="12" t="s">
        <v>11797</v>
      </c>
      <c r="M2229" s="12" t="s">
        <v>11798</v>
      </c>
    </row>
    <row r="2230" spans="1:13" ht="52.8">
      <c r="A2230" s="21" t="s">
        <v>7932</v>
      </c>
      <c r="B2230" s="21" t="s">
        <v>7933</v>
      </c>
      <c r="C2230" s="21" t="s">
        <v>7934</v>
      </c>
      <c r="D2230" s="21" t="s">
        <v>71</v>
      </c>
      <c r="E2230" s="22" t="s">
        <v>7935</v>
      </c>
      <c r="F2230" s="22" t="s">
        <v>7933</v>
      </c>
      <c r="G2230" s="21" t="s">
        <v>7936</v>
      </c>
      <c r="H2230" s="21" t="s">
        <v>7937</v>
      </c>
      <c r="I2230" s="12" t="s">
        <v>8481</v>
      </c>
      <c r="J2230" s="12" t="s">
        <v>9809</v>
      </c>
      <c r="K2230" s="12"/>
      <c r="L2230" s="12" t="s">
        <v>11799</v>
      </c>
      <c r="M2230" s="12" t="s">
        <v>11800</v>
      </c>
    </row>
    <row r="2231" spans="1:13" ht="52.8">
      <c r="A2231" s="21" t="s">
        <v>7932</v>
      </c>
      <c r="B2231" s="21" t="s">
        <v>7933</v>
      </c>
      <c r="C2231" s="21" t="s">
        <v>7934</v>
      </c>
      <c r="D2231" s="21" t="s">
        <v>71</v>
      </c>
      <c r="E2231" s="22" t="s">
        <v>7935</v>
      </c>
      <c r="F2231" s="22" t="s">
        <v>7933</v>
      </c>
      <c r="G2231" s="21" t="s">
        <v>7936</v>
      </c>
      <c r="H2231" s="21" t="s">
        <v>7937</v>
      </c>
      <c r="I2231" s="12" t="s">
        <v>8482</v>
      </c>
      <c r="J2231" s="12" t="s">
        <v>9810</v>
      </c>
      <c r="K2231" s="12" t="s">
        <v>11801</v>
      </c>
      <c r="L2231" s="12" t="s">
        <v>11802</v>
      </c>
      <c r="M2231" s="12" t="s">
        <v>11803</v>
      </c>
    </row>
    <row r="2232" spans="1:13" ht="52.8">
      <c r="A2232" s="21" t="s">
        <v>7932</v>
      </c>
      <c r="B2232" s="21" t="s">
        <v>7933</v>
      </c>
      <c r="C2232" s="21" t="s">
        <v>7934</v>
      </c>
      <c r="D2232" s="21" t="s">
        <v>71</v>
      </c>
      <c r="E2232" s="22" t="s">
        <v>7935</v>
      </c>
      <c r="F2232" s="22" t="s">
        <v>7933</v>
      </c>
      <c r="G2232" s="21" t="s">
        <v>7936</v>
      </c>
      <c r="H2232" s="21" t="s">
        <v>7937</v>
      </c>
      <c r="I2232" s="12" t="s">
        <v>8483</v>
      </c>
      <c r="J2232" s="12" t="s">
        <v>9811</v>
      </c>
      <c r="K2232" s="12" t="s">
        <v>11804</v>
      </c>
      <c r="L2232" s="12" t="s">
        <v>11805</v>
      </c>
      <c r="M2232" s="12" t="s">
        <v>11804</v>
      </c>
    </row>
    <row r="2233" spans="1:13" ht="52.8">
      <c r="A2233" s="21" t="s">
        <v>7932</v>
      </c>
      <c r="B2233" s="21" t="s">
        <v>7933</v>
      </c>
      <c r="C2233" s="21" t="s">
        <v>7934</v>
      </c>
      <c r="D2233" s="21" t="s">
        <v>71</v>
      </c>
      <c r="E2233" s="22" t="s">
        <v>7935</v>
      </c>
      <c r="F2233" s="22" t="s">
        <v>7933</v>
      </c>
      <c r="G2233" s="21" t="s">
        <v>7936</v>
      </c>
      <c r="H2233" s="21" t="s">
        <v>7937</v>
      </c>
      <c r="I2233" s="12" t="s">
        <v>8484</v>
      </c>
      <c r="J2233" s="12" t="s">
        <v>9812</v>
      </c>
      <c r="K2233" s="12" t="s">
        <v>11806</v>
      </c>
      <c r="L2233" s="12" t="s">
        <v>11807</v>
      </c>
      <c r="M2233" s="12" t="s">
        <v>11808</v>
      </c>
    </row>
    <row r="2234" spans="1:13" ht="52.8">
      <c r="A2234" s="21" t="s">
        <v>7932</v>
      </c>
      <c r="B2234" s="21" t="s">
        <v>7933</v>
      </c>
      <c r="C2234" s="21" t="s">
        <v>7934</v>
      </c>
      <c r="D2234" s="21" t="s">
        <v>71</v>
      </c>
      <c r="E2234" s="22" t="s">
        <v>7935</v>
      </c>
      <c r="F2234" s="22" t="s">
        <v>7933</v>
      </c>
      <c r="G2234" s="21" t="s">
        <v>7936</v>
      </c>
      <c r="H2234" s="21" t="s">
        <v>7937</v>
      </c>
      <c r="I2234" s="12" t="s">
        <v>8485</v>
      </c>
      <c r="J2234" s="12" t="s">
        <v>9813</v>
      </c>
      <c r="K2234" s="12"/>
      <c r="L2234" s="12" t="s">
        <v>11809</v>
      </c>
      <c r="M2234" s="12" t="s">
        <v>11810</v>
      </c>
    </row>
    <row r="2235" spans="1:13" ht="52.8">
      <c r="A2235" s="21" t="s">
        <v>7932</v>
      </c>
      <c r="B2235" s="21" t="s">
        <v>7933</v>
      </c>
      <c r="C2235" s="21" t="s">
        <v>7934</v>
      </c>
      <c r="D2235" s="21" t="s">
        <v>71</v>
      </c>
      <c r="E2235" s="22" t="s">
        <v>7935</v>
      </c>
      <c r="F2235" s="22" t="s">
        <v>7933</v>
      </c>
      <c r="G2235" s="21" t="s">
        <v>7936</v>
      </c>
      <c r="H2235" s="21" t="s">
        <v>7937</v>
      </c>
      <c r="I2235" s="12" t="s">
        <v>8486</v>
      </c>
      <c r="J2235" s="12" t="s">
        <v>9814</v>
      </c>
      <c r="K2235" s="12"/>
      <c r="L2235" s="12" t="s">
        <v>11811</v>
      </c>
      <c r="M2235" s="12" t="s">
        <v>11812</v>
      </c>
    </row>
    <row r="2236" spans="1:13" ht="52.8">
      <c r="A2236" s="21" t="s">
        <v>7932</v>
      </c>
      <c r="B2236" s="21" t="s">
        <v>7933</v>
      </c>
      <c r="C2236" s="21" t="s">
        <v>7934</v>
      </c>
      <c r="D2236" s="21" t="s">
        <v>71</v>
      </c>
      <c r="E2236" s="22" t="s">
        <v>7935</v>
      </c>
      <c r="F2236" s="22" t="s">
        <v>7933</v>
      </c>
      <c r="G2236" s="21" t="s">
        <v>7936</v>
      </c>
      <c r="H2236" s="21" t="s">
        <v>7937</v>
      </c>
      <c r="I2236" s="12" t="s">
        <v>8487</v>
      </c>
      <c r="J2236" s="12" t="s">
        <v>9815</v>
      </c>
      <c r="K2236" s="12"/>
      <c r="L2236" s="12" t="s">
        <v>11813</v>
      </c>
      <c r="M2236" s="12" t="s">
        <v>11814</v>
      </c>
    </row>
    <row r="2237" spans="1:13" ht="52.8">
      <c r="A2237" s="21" t="s">
        <v>7932</v>
      </c>
      <c r="B2237" s="21" t="s">
        <v>7933</v>
      </c>
      <c r="C2237" s="21" t="s">
        <v>7934</v>
      </c>
      <c r="D2237" s="21" t="s">
        <v>71</v>
      </c>
      <c r="E2237" s="22" t="s">
        <v>7935</v>
      </c>
      <c r="F2237" s="22" t="s">
        <v>7933</v>
      </c>
      <c r="G2237" s="21" t="s">
        <v>7936</v>
      </c>
      <c r="H2237" s="21" t="s">
        <v>7937</v>
      </c>
      <c r="I2237" s="12" t="s">
        <v>8488</v>
      </c>
      <c r="J2237" s="12" t="s">
        <v>9816</v>
      </c>
      <c r="K2237" s="12"/>
      <c r="L2237" s="12" t="s">
        <v>11815</v>
      </c>
      <c r="M2237" s="12" t="s">
        <v>11816</v>
      </c>
    </row>
    <row r="2238" spans="1:13" ht="52.8">
      <c r="A2238" s="21" t="s">
        <v>7932</v>
      </c>
      <c r="B2238" s="21" t="s">
        <v>7933</v>
      </c>
      <c r="C2238" s="21" t="s">
        <v>7934</v>
      </c>
      <c r="D2238" s="21" t="s">
        <v>71</v>
      </c>
      <c r="E2238" s="22" t="s">
        <v>7935</v>
      </c>
      <c r="F2238" s="22" t="s">
        <v>7933</v>
      </c>
      <c r="G2238" s="21" t="s">
        <v>7936</v>
      </c>
      <c r="H2238" s="21" t="s">
        <v>7937</v>
      </c>
      <c r="I2238" s="12" t="s">
        <v>8489</v>
      </c>
      <c r="J2238" s="12" t="s">
        <v>9817</v>
      </c>
      <c r="K2238" s="12"/>
      <c r="L2238" s="12" t="s">
        <v>11817</v>
      </c>
      <c r="M2238" s="12" t="s">
        <v>11818</v>
      </c>
    </row>
    <row r="2239" spans="1:13" ht="52.8">
      <c r="A2239" s="21" t="s">
        <v>7932</v>
      </c>
      <c r="B2239" s="21" t="s">
        <v>7933</v>
      </c>
      <c r="C2239" s="21" t="s">
        <v>7934</v>
      </c>
      <c r="D2239" s="21" t="s">
        <v>71</v>
      </c>
      <c r="E2239" s="22" t="s">
        <v>7935</v>
      </c>
      <c r="F2239" s="22" t="s">
        <v>7933</v>
      </c>
      <c r="G2239" s="21" t="s">
        <v>7936</v>
      </c>
      <c r="H2239" s="21" t="s">
        <v>7937</v>
      </c>
      <c r="I2239" s="12" t="s">
        <v>8490</v>
      </c>
      <c r="J2239" s="12" t="s">
        <v>9818</v>
      </c>
      <c r="K2239" s="12" t="s">
        <v>11819</v>
      </c>
      <c r="L2239" s="12" t="s">
        <v>11820</v>
      </c>
      <c r="M2239" s="12" t="s">
        <v>11821</v>
      </c>
    </row>
    <row r="2240" spans="1:13" ht="52.8">
      <c r="A2240" s="21" t="s">
        <v>7932</v>
      </c>
      <c r="B2240" s="21" t="s">
        <v>7933</v>
      </c>
      <c r="C2240" s="21" t="s">
        <v>7934</v>
      </c>
      <c r="D2240" s="21" t="s">
        <v>71</v>
      </c>
      <c r="E2240" s="22" t="s">
        <v>7935</v>
      </c>
      <c r="F2240" s="22" t="s">
        <v>7933</v>
      </c>
      <c r="G2240" s="21" t="s">
        <v>7936</v>
      </c>
      <c r="H2240" s="21" t="s">
        <v>7937</v>
      </c>
      <c r="I2240" s="12" t="s">
        <v>8491</v>
      </c>
      <c r="J2240" s="12" t="s">
        <v>9819</v>
      </c>
      <c r="K2240" s="12" t="s">
        <v>11822</v>
      </c>
      <c r="L2240" s="12" t="s">
        <v>11823</v>
      </c>
      <c r="M2240" s="12" t="s">
        <v>11824</v>
      </c>
    </row>
    <row r="2241" spans="1:13" ht="52.8">
      <c r="A2241" s="21" t="s">
        <v>7932</v>
      </c>
      <c r="B2241" s="21" t="s">
        <v>7933</v>
      </c>
      <c r="C2241" s="21" t="s">
        <v>7934</v>
      </c>
      <c r="D2241" s="21" t="s">
        <v>71</v>
      </c>
      <c r="E2241" s="22" t="s">
        <v>7935</v>
      </c>
      <c r="F2241" s="22" t="s">
        <v>7933</v>
      </c>
      <c r="G2241" s="21" t="s">
        <v>7936</v>
      </c>
      <c r="H2241" s="21" t="s">
        <v>7937</v>
      </c>
      <c r="I2241" s="12" t="s">
        <v>8492</v>
      </c>
      <c r="J2241" s="12" t="s">
        <v>9820</v>
      </c>
      <c r="K2241" s="12" t="s">
        <v>11825</v>
      </c>
      <c r="L2241" s="12" t="s">
        <v>11826</v>
      </c>
      <c r="M2241" s="12" t="s">
        <v>11827</v>
      </c>
    </row>
    <row r="2242" spans="1:13" ht="52.8">
      <c r="A2242" s="21" t="s">
        <v>7932</v>
      </c>
      <c r="B2242" s="21" t="s">
        <v>7933</v>
      </c>
      <c r="C2242" s="21" t="s">
        <v>7934</v>
      </c>
      <c r="D2242" s="21" t="s">
        <v>71</v>
      </c>
      <c r="E2242" s="22" t="s">
        <v>7935</v>
      </c>
      <c r="F2242" s="22" t="s">
        <v>7933</v>
      </c>
      <c r="G2242" s="21" t="s">
        <v>7936</v>
      </c>
      <c r="H2242" s="21" t="s">
        <v>7937</v>
      </c>
      <c r="I2242" s="12" t="s">
        <v>8493</v>
      </c>
      <c r="J2242" s="12" t="s">
        <v>9821</v>
      </c>
      <c r="K2242" s="12" t="s">
        <v>11828</v>
      </c>
      <c r="L2242" s="12" t="s">
        <v>11829</v>
      </c>
      <c r="M2242" s="12" t="s">
        <v>11830</v>
      </c>
    </row>
    <row r="2243" spans="1:13" ht="52.8">
      <c r="A2243" s="21" t="s">
        <v>7932</v>
      </c>
      <c r="B2243" s="21" t="s">
        <v>7933</v>
      </c>
      <c r="C2243" s="21" t="s">
        <v>7934</v>
      </c>
      <c r="D2243" s="21" t="s">
        <v>71</v>
      </c>
      <c r="E2243" s="22" t="s">
        <v>7935</v>
      </c>
      <c r="F2243" s="22" t="s">
        <v>7933</v>
      </c>
      <c r="G2243" s="21" t="s">
        <v>7936</v>
      </c>
      <c r="H2243" s="21" t="s">
        <v>7937</v>
      </c>
      <c r="I2243" s="12" t="s">
        <v>8494</v>
      </c>
      <c r="J2243" s="12" t="s">
        <v>9822</v>
      </c>
      <c r="K2243" s="12" t="s">
        <v>11831</v>
      </c>
      <c r="L2243" s="12" t="s">
        <v>11832</v>
      </c>
      <c r="M2243" s="12" t="s">
        <v>11833</v>
      </c>
    </row>
    <row r="2244" spans="1:13" ht="52.8">
      <c r="A2244" s="21" t="s">
        <v>7932</v>
      </c>
      <c r="B2244" s="21" t="s">
        <v>7933</v>
      </c>
      <c r="C2244" s="21" t="s">
        <v>7934</v>
      </c>
      <c r="D2244" s="21" t="s">
        <v>71</v>
      </c>
      <c r="E2244" s="22" t="s">
        <v>7935</v>
      </c>
      <c r="F2244" s="22" t="s">
        <v>7933</v>
      </c>
      <c r="G2244" s="21" t="s">
        <v>7936</v>
      </c>
      <c r="H2244" s="21" t="s">
        <v>7937</v>
      </c>
      <c r="I2244" s="12" t="s">
        <v>8495</v>
      </c>
      <c r="J2244" s="12" t="s">
        <v>9823</v>
      </c>
      <c r="K2244" s="12" t="s">
        <v>11834</v>
      </c>
      <c r="L2244" s="12" t="s">
        <v>11835</v>
      </c>
      <c r="M2244" s="12" t="s">
        <v>11836</v>
      </c>
    </row>
    <row r="2245" spans="1:13" ht="52.8">
      <c r="A2245" s="21" t="s">
        <v>7932</v>
      </c>
      <c r="B2245" s="21" t="s">
        <v>7933</v>
      </c>
      <c r="C2245" s="21" t="s">
        <v>7934</v>
      </c>
      <c r="D2245" s="21" t="s">
        <v>71</v>
      </c>
      <c r="E2245" s="22" t="s">
        <v>7935</v>
      </c>
      <c r="F2245" s="22" t="s">
        <v>7933</v>
      </c>
      <c r="G2245" s="21" t="s">
        <v>7936</v>
      </c>
      <c r="H2245" s="21" t="s">
        <v>7937</v>
      </c>
      <c r="I2245" s="12" t="s">
        <v>8496</v>
      </c>
      <c r="J2245" s="12" t="s">
        <v>9824</v>
      </c>
      <c r="K2245" s="12" t="s">
        <v>11837</v>
      </c>
      <c r="L2245" s="12" t="s">
        <v>11838</v>
      </c>
      <c r="M2245" s="12" t="s">
        <v>11839</v>
      </c>
    </row>
    <row r="2246" spans="1:13" ht="52.8">
      <c r="A2246" s="21" t="s">
        <v>7932</v>
      </c>
      <c r="B2246" s="21" t="s">
        <v>7933</v>
      </c>
      <c r="C2246" s="21" t="s">
        <v>7934</v>
      </c>
      <c r="D2246" s="21" t="s">
        <v>71</v>
      </c>
      <c r="E2246" s="22" t="s">
        <v>7935</v>
      </c>
      <c r="F2246" s="22" t="s">
        <v>7933</v>
      </c>
      <c r="G2246" s="21" t="s">
        <v>7936</v>
      </c>
      <c r="H2246" s="21" t="s">
        <v>7937</v>
      </c>
      <c r="I2246" s="12" t="s">
        <v>8497</v>
      </c>
      <c r="J2246" s="12" t="s">
        <v>9825</v>
      </c>
      <c r="K2246" s="12" t="s">
        <v>11840</v>
      </c>
      <c r="L2246" s="12" t="s">
        <v>11841</v>
      </c>
      <c r="M2246" s="12" t="s">
        <v>11842</v>
      </c>
    </row>
    <row r="2247" spans="1:13" ht="52.8">
      <c r="A2247" s="21" t="s">
        <v>7932</v>
      </c>
      <c r="B2247" s="21" t="s">
        <v>7933</v>
      </c>
      <c r="C2247" s="21" t="s">
        <v>7934</v>
      </c>
      <c r="D2247" s="21" t="s">
        <v>71</v>
      </c>
      <c r="E2247" s="22" t="s">
        <v>7935</v>
      </c>
      <c r="F2247" s="22" t="s">
        <v>7933</v>
      </c>
      <c r="G2247" s="21" t="s">
        <v>7936</v>
      </c>
      <c r="H2247" s="21" t="s">
        <v>7937</v>
      </c>
      <c r="I2247" s="12" t="s">
        <v>8498</v>
      </c>
      <c r="J2247" s="12" t="s">
        <v>9826</v>
      </c>
      <c r="K2247" s="12" t="s">
        <v>11843</v>
      </c>
      <c r="L2247" s="12" t="s">
        <v>11844</v>
      </c>
      <c r="M2247" s="12" t="s">
        <v>11845</v>
      </c>
    </row>
    <row r="2248" spans="1:13" ht="52.8">
      <c r="A2248" s="21" t="s">
        <v>7932</v>
      </c>
      <c r="B2248" s="21" t="s">
        <v>7933</v>
      </c>
      <c r="C2248" s="21" t="s">
        <v>7934</v>
      </c>
      <c r="D2248" s="21" t="s">
        <v>71</v>
      </c>
      <c r="E2248" s="22" t="s">
        <v>7935</v>
      </c>
      <c r="F2248" s="22" t="s">
        <v>7933</v>
      </c>
      <c r="G2248" s="21" t="s">
        <v>7936</v>
      </c>
      <c r="H2248" s="21" t="s">
        <v>7937</v>
      </c>
      <c r="I2248" s="12" t="s">
        <v>8499</v>
      </c>
      <c r="J2248" s="12" t="s">
        <v>9827</v>
      </c>
      <c r="K2248" s="12" t="s">
        <v>11846</v>
      </c>
      <c r="L2248" s="12" t="s">
        <v>11847</v>
      </c>
      <c r="M2248" s="12" t="s">
        <v>11848</v>
      </c>
    </row>
    <row r="2249" spans="1:13" ht="52.8">
      <c r="A2249" s="21" t="s">
        <v>7932</v>
      </c>
      <c r="B2249" s="21" t="s">
        <v>7933</v>
      </c>
      <c r="C2249" s="21" t="s">
        <v>7934</v>
      </c>
      <c r="D2249" s="21" t="s">
        <v>71</v>
      </c>
      <c r="E2249" s="22" t="s">
        <v>7935</v>
      </c>
      <c r="F2249" s="22" t="s">
        <v>7933</v>
      </c>
      <c r="G2249" s="21" t="s">
        <v>7936</v>
      </c>
      <c r="H2249" s="21" t="s">
        <v>7937</v>
      </c>
      <c r="I2249" s="12" t="s">
        <v>8500</v>
      </c>
      <c r="J2249" s="12" t="s">
        <v>9828</v>
      </c>
      <c r="K2249" s="12" t="s">
        <v>11849</v>
      </c>
      <c r="L2249" s="12" t="s">
        <v>11850</v>
      </c>
      <c r="M2249" s="12" t="s">
        <v>11851</v>
      </c>
    </row>
    <row r="2250" spans="1:13" ht="52.8">
      <c r="A2250" s="21" t="s">
        <v>7932</v>
      </c>
      <c r="B2250" s="21" t="s">
        <v>7933</v>
      </c>
      <c r="C2250" s="21" t="s">
        <v>7934</v>
      </c>
      <c r="D2250" s="21" t="s">
        <v>71</v>
      </c>
      <c r="E2250" s="22" t="s">
        <v>7935</v>
      </c>
      <c r="F2250" s="22" t="s">
        <v>7933</v>
      </c>
      <c r="G2250" s="21" t="s">
        <v>7936</v>
      </c>
      <c r="H2250" s="21" t="s">
        <v>7937</v>
      </c>
      <c r="I2250" s="12" t="s">
        <v>8501</v>
      </c>
      <c r="J2250" s="12" t="s">
        <v>9829</v>
      </c>
      <c r="K2250" s="12" t="s">
        <v>11852</v>
      </c>
      <c r="L2250" s="12" t="s">
        <v>11853</v>
      </c>
      <c r="M2250" s="12" t="s">
        <v>11854</v>
      </c>
    </row>
    <row r="2251" spans="1:13" ht="52.8">
      <c r="A2251" s="21" t="s">
        <v>7932</v>
      </c>
      <c r="B2251" s="21" t="s">
        <v>7933</v>
      </c>
      <c r="C2251" s="21" t="s">
        <v>7934</v>
      </c>
      <c r="D2251" s="21" t="s">
        <v>71</v>
      </c>
      <c r="E2251" s="22" t="s">
        <v>7935</v>
      </c>
      <c r="F2251" s="22" t="s">
        <v>7933</v>
      </c>
      <c r="G2251" s="21" t="s">
        <v>7936</v>
      </c>
      <c r="H2251" s="21" t="s">
        <v>7937</v>
      </c>
      <c r="I2251" s="12" t="s">
        <v>8502</v>
      </c>
      <c r="J2251" s="12" t="s">
        <v>9830</v>
      </c>
      <c r="K2251" s="12" t="s">
        <v>11855</v>
      </c>
      <c r="L2251" s="12" t="s">
        <v>11856</v>
      </c>
      <c r="M2251" s="12" t="s">
        <v>11857</v>
      </c>
    </row>
    <row r="2252" spans="1:13" ht="52.8">
      <c r="A2252" s="21" t="s">
        <v>7932</v>
      </c>
      <c r="B2252" s="21" t="s">
        <v>7933</v>
      </c>
      <c r="C2252" s="21" t="s">
        <v>7934</v>
      </c>
      <c r="D2252" s="21" t="s">
        <v>71</v>
      </c>
      <c r="E2252" s="22" t="s">
        <v>7935</v>
      </c>
      <c r="F2252" s="22" t="s">
        <v>7933</v>
      </c>
      <c r="G2252" s="21" t="s">
        <v>7936</v>
      </c>
      <c r="H2252" s="21" t="s">
        <v>7937</v>
      </c>
      <c r="I2252" s="12" t="s">
        <v>8503</v>
      </c>
      <c r="J2252" s="12" t="s">
        <v>9831</v>
      </c>
      <c r="K2252" s="12" t="s">
        <v>11858</v>
      </c>
      <c r="L2252" s="12" t="s">
        <v>11859</v>
      </c>
      <c r="M2252" s="12" t="s">
        <v>11860</v>
      </c>
    </row>
    <row r="2253" spans="1:13" ht="52.8">
      <c r="A2253" s="21" t="s">
        <v>7932</v>
      </c>
      <c r="B2253" s="21" t="s">
        <v>7933</v>
      </c>
      <c r="C2253" s="21" t="s">
        <v>7934</v>
      </c>
      <c r="D2253" s="21" t="s">
        <v>71</v>
      </c>
      <c r="E2253" s="22" t="s">
        <v>7935</v>
      </c>
      <c r="F2253" s="22" t="s">
        <v>7933</v>
      </c>
      <c r="G2253" s="21" t="s">
        <v>7936</v>
      </c>
      <c r="H2253" s="21" t="s">
        <v>7937</v>
      </c>
      <c r="I2253" s="12" t="s">
        <v>8504</v>
      </c>
      <c r="J2253" s="12" t="s">
        <v>9832</v>
      </c>
      <c r="K2253" s="12" t="s">
        <v>11861</v>
      </c>
      <c r="L2253" s="12" t="s">
        <v>11862</v>
      </c>
      <c r="M2253" s="12" t="s">
        <v>11861</v>
      </c>
    </row>
    <row r="2254" spans="1:13" ht="52.8">
      <c r="A2254" s="21" t="s">
        <v>7932</v>
      </c>
      <c r="B2254" s="21" t="s">
        <v>7933</v>
      </c>
      <c r="C2254" s="21" t="s">
        <v>7934</v>
      </c>
      <c r="D2254" s="21" t="s">
        <v>71</v>
      </c>
      <c r="E2254" s="22" t="s">
        <v>7935</v>
      </c>
      <c r="F2254" s="22" t="s">
        <v>7933</v>
      </c>
      <c r="G2254" s="21" t="s">
        <v>7936</v>
      </c>
      <c r="H2254" s="21" t="s">
        <v>7937</v>
      </c>
      <c r="I2254" s="12" t="s">
        <v>8505</v>
      </c>
      <c r="J2254" s="12" t="s">
        <v>9833</v>
      </c>
      <c r="K2254" s="12" t="s">
        <v>11863</v>
      </c>
      <c r="L2254" s="12" t="s">
        <v>11864</v>
      </c>
      <c r="M2254" s="12" t="s">
        <v>11865</v>
      </c>
    </row>
    <row r="2255" spans="1:13" ht="52.8">
      <c r="A2255" s="21" t="s">
        <v>7932</v>
      </c>
      <c r="B2255" s="21" t="s">
        <v>7933</v>
      </c>
      <c r="C2255" s="21" t="s">
        <v>7934</v>
      </c>
      <c r="D2255" s="21" t="s">
        <v>71</v>
      </c>
      <c r="E2255" s="22" t="s">
        <v>7935</v>
      </c>
      <c r="F2255" s="22" t="s">
        <v>7933</v>
      </c>
      <c r="G2255" s="21" t="s">
        <v>7936</v>
      </c>
      <c r="H2255" s="21" t="s">
        <v>7937</v>
      </c>
      <c r="I2255" s="12" t="s">
        <v>8506</v>
      </c>
      <c r="J2255" s="12" t="s">
        <v>9834</v>
      </c>
      <c r="K2255" s="12" t="s">
        <v>11866</v>
      </c>
      <c r="L2255" s="12" t="s">
        <v>11867</v>
      </c>
      <c r="M2255" s="12" t="s">
        <v>11868</v>
      </c>
    </row>
    <row r="2256" spans="1:13" ht="52.8">
      <c r="A2256" s="21" t="s">
        <v>7932</v>
      </c>
      <c r="B2256" s="21" t="s">
        <v>7933</v>
      </c>
      <c r="C2256" s="21" t="s">
        <v>7934</v>
      </c>
      <c r="D2256" s="21" t="s">
        <v>71</v>
      </c>
      <c r="E2256" s="22" t="s">
        <v>7935</v>
      </c>
      <c r="F2256" s="22" t="s">
        <v>7933</v>
      </c>
      <c r="G2256" s="21" t="s">
        <v>7936</v>
      </c>
      <c r="H2256" s="21" t="s">
        <v>7937</v>
      </c>
      <c r="I2256" s="12" t="s">
        <v>8507</v>
      </c>
      <c r="J2256" s="12" t="s">
        <v>9835</v>
      </c>
      <c r="K2256" s="12"/>
      <c r="L2256" s="12" t="s">
        <v>11869</v>
      </c>
      <c r="M2256" s="12" t="s">
        <v>11870</v>
      </c>
    </row>
    <row r="2257" spans="1:13" ht="66">
      <c r="A2257" s="21" t="s">
        <v>7932</v>
      </c>
      <c r="B2257" s="21" t="s">
        <v>7933</v>
      </c>
      <c r="C2257" s="21" t="s">
        <v>7934</v>
      </c>
      <c r="D2257" s="21" t="s">
        <v>71</v>
      </c>
      <c r="E2257" s="22" t="s">
        <v>7935</v>
      </c>
      <c r="F2257" s="22" t="s">
        <v>7933</v>
      </c>
      <c r="G2257" s="21" t="s">
        <v>7936</v>
      </c>
      <c r="H2257" s="21" t="s">
        <v>7937</v>
      </c>
      <c r="I2257" s="12" t="s">
        <v>8508</v>
      </c>
      <c r="J2257" s="12" t="s">
        <v>9836</v>
      </c>
      <c r="K2257" s="12" t="s">
        <v>11871</v>
      </c>
      <c r="L2257" s="12" t="s">
        <v>11872</v>
      </c>
      <c r="M2257" s="12" t="s">
        <v>11873</v>
      </c>
    </row>
    <row r="2258" spans="1:13" ht="52.8">
      <c r="A2258" s="21" t="s">
        <v>7932</v>
      </c>
      <c r="B2258" s="21" t="s">
        <v>7933</v>
      </c>
      <c r="C2258" s="21" t="s">
        <v>7934</v>
      </c>
      <c r="D2258" s="21" t="s">
        <v>71</v>
      </c>
      <c r="E2258" s="22" t="s">
        <v>7935</v>
      </c>
      <c r="F2258" s="22" t="s">
        <v>7933</v>
      </c>
      <c r="G2258" s="21" t="s">
        <v>7936</v>
      </c>
      <c r="H2258" s="21" t="s">
        <v>7937</v>
      </c>
      <c r="I2258" s="12" t="s">
        <v>8509</v>
      </c>
      <c r="J2258" s="12" t="s">
        <v>9837</v>
      </c>
      <c r="K2258" s="12"/>
      <c r="L2258" s="12" t="s">
        <v>11874</v>
      </c>
      <c r="M2258" s="12" t="s">
        <v>11875</v>
      </c>
    </row>
    <row r="2259" spans="1:13" ht="52.8">
      <c r="A2259" s="21" t="s">
        <v>7932</v>
      </c>
      <c r="B2259" s="21" t="s">
        <v>7933</v>
      </c>
      <c r="C2259" s="21" t="s">
        <v>7934</v>
      </c>
      <c r="D2259" s="21" t="s">
        <v>71</v>
      </c>
      <c r="E2259" s="22" t="s">
        <v>7935</v>
      </c>
      <c r="F2259" s="22" t="s">
        <v>7933</v>
      </c>
      <c r="G2259" s="21" t="s">
        <v>7936</v>
      </c>
      <c r="H2259" s="21" t="s">
        <v>7937</v>
      </c>
      <c r="I2259" s="12" t="s">
        <v>8510</v>
      </c>
      <c r="J2259" s="12" t="s">
        <v>9838</v>
      </c>
      <c r="K2259" s="12"/>
      <c r="L2259" s="12" t="s">
        <v>11876</v>
      </c>
      <c r="M2259" s="12" t="s">
        <v>11877</v>
      </c>
    </row>
    <row r="2260" spans="1:13" ht="52.8">
      <c r="A2260" s="21" t="s">
        <v>7932</v>
      </c>
      <c r="B2260" s="21" t="s">
        <v>7933</v>
      </c>
      <c r="C2260" s="21" t="s">
        <v>7934</v>
      </c>
      <c r="D2260" s="21" t="s">
        <v>71</v>
      </c>
      <c r="E2260" s="22" t="s">
        <v>7935</v>
      </c>
      <c r="F2260" s="22" t="s">
        <v>7933</v>
      </c>
      <c r="G2260" s="21" t="s">
        <v>7936</v>
      </c>
      <c r="H2260" s="21" t="s">
        <v>7937</v>
      </c>
      <c r="I2260" s="12" t="s">
        <v>8511</v>
      </c>
      <c r="J2260" s="12" t="s">
        <v>9839</v>
      </c>
      <c r="K2260" s="12"/>
      <c r="L2260" s="12" t="s">
        <v>11878</v>
      </c>
      <c r="M2260" s="12" t="s">
        <v>11879</v>
      </c>
    </row>
    <row r="2261" spans="1:13" ht="52.8">
      <c r="A2261" s="21" t="s">
        <v>7932</v>
      </c>
      <c r="B2261" s="21" t="s">
        <v>7933</v>
      </c>
      <c r="C2261" s="21" t="s">
        <v>7934</v>
      </c>
      <c r="D2261" s="21" t="s">
        <v>71</v>
      </c>
      <c r="E2261" s="22" t="s">
        <v>7935</v>
      </c>
      <c r="F2261" s="22" t="s">
        <v>7933</v>
      </c>
      <c r="G2261" s="21" t="s">
        <v>7936</v>
      </c>
      <c r="H2261" s="21" t="s">
        <v>7937</v>
      </c>
      <c r="I2261" s="12" t="s">
        <v>8512</v>
      </c>
      <c r="J2261" s="12" t="s">
        <v>9840</v>
      </c>
      <c r="K2261" s="12" t="s">
        <v>11880</v>
      </c>
      <c r="L2261" s="12" t="s">
        <v>11881</v>
      </c>
      <c r="M2261" s="12" t="s">
        <v>11882</v>
      </c>
    </row>
    <row r="2262" spans="1:13" ht="52.8">
      <c r="A2262" s="21" t="s">
        <v>7932</v>
      </c>
      <c r="B2262" s="21" t="s">
        <v>7933</v>
      </c>
      <c r="C2262" s="21" t="s">
        <v>7934</v>
      </c>
      <c r="D2262" s="21" t="s">
        <v>71</v>
      </c>
      <c r="E2262" s="22" t="s">
        <v>7935</v>
      </c>
      <c r="F2262" s="22" t="s">
        <v>7933</v>
      </c>
      <c r="G2262" s="21" t="s">
        <v>7936</v>
      </c>
      <c r="H2262" s="21" t="s">
        <v>7937</v>
      </c>
      <c r="I2262" s="12" t="s">
        <v>8513</v>
      </c>
      <c r="J2262" s="12" t="s">
        <v>9841</v>
      </c>
      <c r="K2262" s="12"/>
      <c r="L2262" s="12" t="s">
        <v>11883</v>
      </c>
      <c r="M2262" s="12" t="s">
        <v>11884</v>
      </c>
    </row>
    <row r="2263" spans="1:13" ht="52.8">
      <c r="A2263" s="21" t="s">
        <v>7932</v>
      </c>
      <c r="B2263" s="21" t="s">
        <v>7933</v>
      </c>
      <c r="C2263" s="21" t="s">
        <v>7934</v>
      </c>
      <c r="D2263" s="21" t="s">
        <v>71</v>
      </c>
      <c r="E2263" s="22" t="s">
        <v>7935</v>
      </c>
      <c r="F2263" s="22" t="s">
        <v>7933</v>
      </c>
      <c r="G2263" s="21" t="s">
        <v>7936</v>
      </c>
      <c r="H2263" s="21" t="s">
        <v>7937</v>
      </c>
      <c r="I2263" s="12" t="s">
        <v>8514</v>
      </c>
      <c r="J2263" s="12" t="s">
        <v>9842</v>
      </c>
      <c r="K2263" s="12"/>
      <c r="L2263" s="12" t="s">
        <v>11885</v>
      </c>
      <c r="M2263" s="12" t="s">
        <v>11886</v>
      </c>
    </row>
    <row r="2264" spans="1:13" ht="52.8">
      <c r="A2264" s="21" t="s">
        <v>7932</v>
      </c>
      <c r="B2264" s="21" t="s">
        <v>7933</v>
      </c>
      <c r="C2264" s="21" t="s">
        <v>7934</v>
      </c>
      <c r="D2264" s="21" t="s">
        <v>71</v>
      </c>
      <c r="E2264" s="22" t="s">
        <v>7935</v>
      </c>
      <c r="F2264" s="22" t="s">
        <v>7933</v>
      </c>
      <c r="G2264" s="21" t="s">
        <v>7936</v>
      </c>
      <c r="H2264" s="21" t="s">
        <v>7937</v>
      </c>
      <c r="I2264" s="12" t="s">
        <v>8515</v>
      </c>
      <c r="J2264" s="12" t="s">
        <v>9843</v>
      </c>
      <c r="K2264" s="12"/>
      <c r="L2264" s="12" t="s">
        <v>11887</v>
      </c>
      <c r="M2264" s="12" t="s">
        <v>11888</v>
      </c>
    </row>
    <row r="2265" spans="1:13" ht="66">
      <c r="A2265" s="21" t="s">
        <v>7932</v>
      </c>
      <c r="B2265" s="21" t="s">
        <v>7933</v>
      </c>
      <c r="C2265" s="21" t="s">
        <v>7934</v>
      </c>
      <c r="D2265" s="21" t="s">
        <v>71</v>
      </c>
      <c r="E2265" s="22" t="s">
        <v>7935</v>
      </c>
      <c r="F2265" s="22" t="s">
        <v>7933</v>
      </c>
      <c r="G2265" s="21" t="s">
        <v>7936</v>
      </c>
      <c r="H2265" s="21" t="s">
        <v>7937</v>
      </c>
      <c r="I2265" s="12" t="s">
        <v>8516</v>
      </c>
      <c r="J2265" s="12" t="s">
        <v>9844</v>
      </c>
      <c r="K2265" s="12"/>
      <c r="L2265" s="12" t="s">
        <v>11889</v>
      </c>
      <c r="M2265" s="12" t="s">
        <v>11890</v>
      </c>
    </row>
    <row r="2266" spans="1:13" ht="52.8">
      <c r="A2266" s="21" t="s">
        <v>7932</v>
      </c>
      <c r="B2266" s="21" t="s">
        <v>7933</v>
      </c>
      <c r="C2266" s="21" t="s">
        <v>7934</v>
      </c>
      <c r="D2266" s="21" t="s">
        <v>71</v>
      </c>
      <c r="E2266" s="22" t="s">
        <v>7935</v>
      </c>
      <c r="F2266" s="22" t="s">
        <v>7933</v>
      </c>
      <c r="G2266" s="21" t="s">
        <v>7936</v>
      </c>
      <c r="H2266" s="21" t="s">
        <v>7937</v>
      </c>
      <c r="I2266" s="12" t="s">
        <v>8517</v>
      </c>
      <c r="J2266" s="12" t="s">
        <v>9845</v>
      </c>
      <c r="K2266" s="12" t="s">
        <v>11891</v>
      </c>
      <c r="L2266" s="12" t="s">
        <v>11892</v>
      </c>
      <c r="M2266" s="12" t="s">
        <v>11891</v>
      </c>
    </row>
    <row r="2267" spans="1:13" ht="52.8">
      <c r="A2267" s="21" t="s">
        <v>7932</v>
      </c>
      <c r="B2267" s="21" t="s">
        <v>7933</v>
      </c>
      <c r="C2267" s="21" t="s">
        <v>7934</v>
      </c>
      <c r="D2267" s="21" t="s">
        <v>71</v>
      </c>
      <c r="E2267" s="22" t="s">
        <v>7935</v>
      </c>
      <c r="F2267" s="22" t="s">
        <v>7933</v>
      </c>
      <c r="G2267" s="21" t="s">
        <v>7936</v>
      </c>
      <c r="H2267" s="21" t="s">
        <v>7937</v>
      </c>
      <c r="I2267" s="12" t="s">
        <v>8518</v>
      </c>
      <c r="J2267" s="12" t="s">
        <v>9846</v>
      </c>
      <c r="K2267" s="12"/>
      <c r="L2267" s="12" t="s">
        <v>11893</v>
      </c>
      <c r="M2267" s="12" t="s">
        <v>11894</v>
      </c>
    </row>
    <row r="2268" spans="1:13" ht="52.8">
      <c r="A2268" s="21" t="s">
        <v>7932</v>
      </c>
      <c r="B2268" s="21" t="s">
        <v>7933</v>
      </c>
      <c r="C2268" s="21" t="s">
        <v>7934</v>
      </c>
      <c r="D2268" s="21" t="s">
        <v>71</v>
      </c>
      <c r="E2268" s="22" t="s">
        <v>7935</v>
      </c>
      <c r="F2268" s="22" t="s">
        <v>7933</v>
      </c>
      <c r="G2268" s="21" t="s">
        <v>7936</v>
      </c>
      <c r="H2268" s="21" t="s">
        <v>7937</v>
      </c>
      <c r="I2268" s="12" t="s">
        <v>8519</v>
      </c>
      <c r="J2268" s="12" t="s">
        <v>9847</v>
      </c>
      <c r="K2268" s="12"/>
      <c r="L2268" s="12" t="s">
        <v>11895</v>
      </c>
      <c r="M2268" s="12" t="s">
        <v>11896</v>
      </c>
    </row>
    <row r="2269" spans="1:13" ht="52.8">
      <c r="A2269" s="21" t="s">
        <v>7932</v>
      </c>
      <c r="B2269" s="21" t="s">
        <v>7933</v>
      </c>
      <c r="C2269" s="21" t="s">
        <v>7934</v>
      </c>
      <c r="D2269" s="21" t="s">
        <v>71</v>
      </c>
      <c r="E2269" s="22" t="s">
        <v>7935</v>
      </c>
      <c r="F2269" s="22" t="s">
        <v>7933</v>
      </c>
      <c r="G2269" s="21" t="s">
        <v>7936</v>
      </c>
      <c r="H2269" s="21" t="s">
        <v>7937</v>
      </c>
      <c r="I2269" s="12" t="s">
        <v>8520</v>
      </c>
      <c r="J2269" s="12" t="s">
        <v>9848</v>
      </c>
      <c r="K2269" s="12" t="s">
        <v>11897</v>
      </c>
      <c r="L2269" s="12" t="s">
        <v>11898</v>
      </c>
      <c r="M2269" s="12" t="s">
        <v>11899</v>
      </c>
    </row>
    <row r="2270" spans="1:13" ht="52.8">
      <c r="A2270" s="21" t="s">
        <v>7932</v>
      </c>
      <c r="B2270" s="21" t="s">
        <v>7933</v>
      </c>
      <c r="C2270" s="21" t="s">
        <v>7934</v>
      </c>
      <c r="D2270" s="21" t="s">
        <v>71</v>
      </c>
      <c r="E2270" s="22" t="s">
        <v>7935</v>
      </c>
      <c r="F2270" s="22" t="s">
        <v>7933</v>
      </c>
      <c r="G2270" s="21" t="s">
        <v>7936</v>
      </c>
      <c r="H2270" s="21" t="s">
        <v>7937</v>
      </c>
      <c r="I2270" s="12" t="s">
        <v>8521</v>
      </c>
      <c r="J2270" s="12" t="s">
        <v>9849</v>
      </c>
      <c r="K2270" s="12" t="s">
        <v>11900</v>
      </c>
      <c r="L2270" s="12" t="s">
        <v>11901</v>
      </c>
      <c r="M2270" s="12" t="s">
        <v>11902</v>
      </c>
    </row>
    <row r="2271" spans="1:13" ht="52.8">
      <c r="A2271" s="21" t="s">
        <v>7932</v>
      </c>
      <c r="B2271" s="21" t="s">
        <v>7933</v>
      </c>
      <c r="C2271" s="21" t="s">
        <v>7934</v>
      </c>
      <c r="D2271" s="21" t="s">
        <v>71</v>
      </c>
      <c r="E2271" s="22" t="s">
        <v>7935</v>
      </c>
      <c r="F2271" s="22" t="s">
        <v>7933</v>
      </c>
      <c r="G2271" s="21" t="s">
        <v>7936</v>
      </c>
      <c r="H2271" s="21" t="s">
        <v>7937</v>
      </c>
      <c r="I2271" s="12" t="s">
        <v>8522</v>
      </c>
      <c r="J2271" s="12" t="s">
        <v>9850</v>
      </c>
      <c r="K2271" s="12"/>
      <c r="L2271" s="12" t="s">
        <v>11903</v>
      </c>
      <c r="M2271" s="12" t="s">
        <v>11904</v>
      </c>
    </row>
    <row r="2272" spans="1:13" ht="52.8">
      <c r="A2272" s="21" t="s">
        <v>7932</v>
      </c>
      <c r="B2272" s="21" t="s">
        <v>7933</v>
      </c>
      <c r="C2272" s="21" t="s">
        <v>7934</v>
      </c>
      <c r="D2272" s="21" t="s">
        <v>71</v>
      </c>
      <c r="E2272" s="22" t="s">
        <v>7935</v>
      </c>
      <c r="F2272" s="22" t="s">
        <v>7933</v>
      </c>
      <c r="G2272" s="21" t="s">
        <v>7936</v>
      </c>
      <c r="H2272" s="21" t="s">
        <v>7937</v>
      </c>
      <c r="I2272" s="12" t="s">
        <v>8523</v>
      </c>
      <c r="J2272" s="12" t="s">
        <v>9851</v>
      </c>
      <c r="K2272" s="12"/>
      <c r="L2272" s="12" t="s">
        <v>11905</v>
      </c>
      <c r="M2272" s="12" t="s">
        <v>11906</v>
      </c>
    </row>
    <row r="2273" spans="1:13" ht="52.8">
      <c r="A2273" s="21" t="s">
        <v>7932</v>
      </c>
      <c r="B2273" s="21" t="s">
        <v>7933</v>
      </c>
      <c r="C2273" s="21" t="s">
        <v>7934</v>
      </c>
      <c r="D2273" s="21" t="s">
        <v>71</v>
      </c>
      <c r="E2273" s="22" t="s">
        <v>7935</v>
      </c>
      <c r="F2273" s="22" t="s">
        <v>7933</v>
      </c>
      <c r="G2273" s="21" t="s">
        <v>7936</v>
      </c>
      <c r="H2273" s="21" t="s">
        <v>7937</v>
      </c>
      <c r="I2273" s="12" t="s">
        <v>8524</v>
      </c>
      <c r="J2273" s="12" t="s">
        <v>9852</v>
      </c>
      <c r="K2273" s="12" t="s">
        <v>11907</v>
      </c>
      <c r="L2273" s="12" t="s">
        <v>11908</v>
      </c>
      <c r="M2273" s="12" t="s">
        <v>11907</v>
      </c>
    </row>
    <row r="2274" spans="1:13" ht="52.8">
      <c r="A2274" s="21" t="s">
        <v>7932</v>
      </c>
      <c r="B2274" s="21" t="s">
        <v>7933</v>
      </c>
      <c r="C2274" s="21" t="s">
        <v>7934</v>
      </c>
      <c r="D2274" s="21" t="s">
        <v>71</v>
      </c>
      <c r="E2274" s="22" t="s">
        <v>7935</v>
      </c>
      <c r="F2274" s="22" t="s">
        <v>7933</v>
      </c>
      <c r="G2274" s="21" t="s">
        <v>7936</v>
      </c>
      <c r="H2274" s="21" t="s">
        <v>7937</v>
      </c>
      <c r="I2274" s="12" t="s">
        <v>8525</v>
      </c>
      <c r="J2274" s="12" t="s">
        <v>9853</v>
      </c>
      <c r="K2274" s="12" t="s">
        <v>11909</v>
      </c>
      <c r="L2274" s="12" t="s">
        <v>11910</v>
      </c>
      <c r="M2274" s="12" t="s">
        <v>11909</v>
      </c>
    </row>
    <row r="2275" spans="1:13" ht="52.8">
      <c r="A2275" s="21" t="s">
        <v>7932</v>
      </c>
      <c r="B2275" s="21" t="s">
        <v>7933</v>
      </c>
      <c r="C2275" s="21" t="s">
        <v>7934</v>
      </c>
      <c r="D2275" s="21" t="s">
        <v>71</v>
      </c>
      <c r="E2275" s="22" t="s">
        <v>7935</v>
      </c>
      <c r="F2275" s="22" t="s">
        <v>7933</v>
      </c>
      <c r="G2275" s="21" t="s">
        <v>7936</v>
      </c>
      <c r="H2275" s="21" t="s">
        <v>7937</v>
      </c>
      <c r="I2275" s="12" t="s">
        <v>8526</v>
      </c>
      <c r="J2275" s="12" t="s">
        <v>9854</v>
      </c>
      <c r="K2275" s="12" t="s">
        <v>11911</v>
      </c>
      <c r="L2275" s="12" t="s">
        <v>11912</v>
      </c>
      <c r="M2275" s="12" t="s">
        <v>11913</v>
      </c>
    </row>
    <row r="2276" spans="1:13" ht="52.8">
      <c r="A2276" s="21" t="s">
        <v>7932</v>
      </c>
      <c r="B2276" s="21" t="s">
        <v>7933</v>
      </c>
      <c r="C2276" s="21" t="s">
        <v>7934</v>
      </c>
      <c r="D2276" s="21" t="s">
        <v>71</v>
      </c>
      <c r="E2276" s="22" t="s">
        <v>7935</v>
      </c>
      <c r="F2276" s="22" t="s">
        <v>7933</v>
      </c>
      <c r="G2276" s="21" t="s">
        <v>7936</v>
      </c>
      <c r="H2276" s="21" t="s">
        <v>7937</v>
      </c>
      <c r="I2276" s="12" t="s">
        <v>8527</v>
      </c>
      <c r="J2276" s="12" t="s">
        <v>9855</v>
      </c>
      <c r="K2276" s="12" t="s">
        <v>11914</v>
      </c>
      <c r="L2276" s="12" t="s">
        <v>11915</v>
      </c>
      <c r="M2276" s="12" t="s">
        <v>11914</v>
      </c>
    </row>
    <row r="2277" spans="1:13" ht="52.8">
      <c r="A2277" s="21" t="s">
        <v>7932</v>
      </c>
      <c r="B2277" s="21" t="s">
        <v>7933</v>
      </c>
      <c r="C2277" s="21" t="s">
        <v>7934</v>
      </c>
      <c r="D2277" s="21" t="s">
        <v>71</v>
      </c>
      <c r="E2277" s="22" t="s">
        <v>7935</v>
      </c>
      <c r="F2277" s="22" t="s">
        <v>7933</v>
      </c>
      <c r="G2277" s="21" t="s">
        <v>7936</v>
      </c>
      <c r="H2277" s="21" t="s">
        <v>7937</v>
      </c>
      <c r="I2277" s="12" t="s">
        <v>8528</v>
      </c>
      <c r="J2277" s="12" t="s">
        <v>9856</v>
      </c>
      <c r="K2277" s="12" t="s">
        <v>11916</v>
      </c>
      <c r="L2277" s="12" t="s">
        <v>11917</v>
      </c>
      <c r="M2277" s="12" t="s">
        <v>11918</v>
      </c>
    </row>
    <row r="2278" spans="1:13" ht="52.8">
      <c r="A2278" s="21" t="s">
        <v>7932</v>
      </c>
      <c r="B2278" s="21" t="s">
        <v>7933</v>
      </c>
      <c r="C2278" s="21" t="s">
        <v>7934</v>
      </c>
      <c r="D2278" s="21" t="s">
        <v>71</v>
      </c>
      <c r="E2278" s="22" t="s">
        <v>7935</v>
      </c>
      <c r="F2278" s="22" t="s">
        <v>7933</v>
      </c>
      <c r="G2278" s="21" t="s">
        <v>7936</v>
      </c>
      <c r="H2278" s="21" t="s">
        <v>7937</v>
      </c>
      <c r="I2278" s="12" t="s">
        <v>8529</v>
      </c>
      <c r="J2278" s="12" t="s">
        <v>9857</v>
      </c>
      <c r="K2278" s="12"/>
      <c r="L2278" s="12" t="s">
        <v>11919</v>
      </c>
      <c r="M2278" s="12" t="s">
        <v>11920</v>
      </c>
    </row>
    <row r="2279" spans="1:13" ht="52.8">
      <c r="A2279" s="21" t="s">
        <v>7932</v>
      </c>
      <c r="B2279" s="21" t="s">
        <v>7933</v>
      </c>
      <c r="C2279" s="21" t="s">
        <v>7934</v>
      </c>
      <c r="D2279" s="21" t="s">
        <v>71</v>
      </c>
      <c r="E2279" s="22" t="s">
        <v>7935</v>
      </c>
      <c r="F2279" s="22" t="s">
        <v>7933</v>
      </c>
      <c r="G2279" s="21" t="s">
        <v>7936</v>
      </c>
      <c r="H2279" s="21" t="s">
        <v>7937</v>
      </c>
      <c r="I2279" s="12" t="s">
        <v>8530</v>
      </c>
      <c r="J2279" s="12" t="s">
        <v>9858</v>
      </c>
      <c r="K2279" s="12"/>
      <c r="L2279" s="12" t="s">
        <v>11921</v>
      </c>
      <c r="M2279" s="12" t="s">
        <v>11922</v>
      </c>
    </row>
    <row r="2280" spans="1:13" ht="52.8">
      <c r="A2280" s="21" t="s">
        <v>7932</v>
      </c>
      <c r="B2280" s="21" t="s">
        <v>7933</v>
      </c>
      <c r="C2280" s="21" t="s">
        <v>7934</v>
      </c>
      <c r="D2280" s="21" t="s">
        <v>71</v>
      </c>
      <c r="E2280" s="22" t="s">
        <v>7935</v>
      </c>
      <c r="F2280" s="22" t="s">
        <v>7933</v>
      </c>
      <c r="G2280" s="21" t="s">
        <v>7936</v>
      </c>
      <c r="H2280" s="21" t="s">
        <v>7937</v>
      </c>
      <c r="I2280" s="12" t="s">
        <v>8531</v>
      </c>
      <c r="J2280" s="12" t="s">
        <v>9859</v>
      </c>
      <c r="K2280" s="12" t="s">
        <v>11923</v>
      </c>
      <c r="L2280" s="12" t="s">
        <v>11924</v>
      </c>
      <c r="M2280" s="12" t="s">
        <v>11925</v>
      </c>
    </row>
    <row r="2281" spans="1:13" ht="52.8">
      <c r="A2281" s="21" t="s">
        <v>7932</v>
      </c>
      <c r="B2281" s="21" t="s">
        <v>7933</v>
      </c>
      <c r="C2281" s="21" t="s">
        <v>7934</v>
      </c>
      <c r="D2281" s="21" t="s">
        <v>71</v>
      </c>
      <c r="E2281" s="22" t="s">
        <v>7935</v>
      </c>
      <c r="F2281" s="22" t="s">
        <v>7933</v>
      </c>
      <c r="G2281" s="21" t="s">
        <v>7936</v>
      </c>
      <c r="H2281" s="21" t="s">
        <v>7937</v>
      </c>
      <c r="I2281" s="12" t="s">
        <v>8532</v>
      </c>
      <c r="J2281" s="12" t="s">
        <v>9860</v>
      </c>
      <c r="K2281" s="12" t="s">
        <v>11926</v>
      </c>
      <c r="L2281" s="12" t="s">
        <v>11927</v>
      </c>
      <c r="M2281" s="12" t="s">
        <v>11926</v>
      </c>
    </row>
    <row r="2282" spans="1:13" ht="52.8">
      <c r="A2282" s="21" t="s">
        <v>7932</v>
      </c>
      <c r="B2282" s="21" t="s">
        <v>7933</v>
      </c>
      <c r="C2282" s="21" t="s">
        <v>7934</v>
      </c>
      <c r="D2282" s="21" t="s">
        <v>71</v>
      </c>
      <c r="E2282" s="22" t="s">
        <v>7935</v>
      </c>
      <c r="F2282" s="22" t="s">
        <v>7933</v>
      </c>
      <c r="G2282" s="21" t="s">
        <v>7936</v>
      </c>
      <c r="H2282" s="21" t="s">
        <v>7937</v>
      </c>
      <c r="I2282" s="12" t="s">
        <v>8533</v>
      </c>
      <c r="J2282" s="12" t="s">
        <v>9861</v>
      </c>
      <c r="K2282" s="12" t="s">
        <v>11928</v>
      </c>
      <c r="L2282" s="12" t="s">
        <v>11929</v>
      </c>
      <c r="M2282" s="12" t="s">
        <v>11928</v>
      </c>
    </row>
    <row r="2283" spans="1:13" ht="52.8">
      <c r="A2283" s="21" t="s">
        <v>7932</v>
      </c>
      <c r="B2283" s="21" t="s">
        <v>7933</v>
      </c>
      <c r="C2283" s="21" t="s">
        <v>7934</v>
      </c>
      <c r="D2283" s="21" t="s">
        <v>71</v>
      </c>
      <c r="E2283" s="22" t="s">
        <v>7935</v>
      </c>
      <c r="F2283" s="22" t="s">
        <v>7933</v>
      </c>
      <c r="G2283" s="21" t="s">
        <v>7936</v>
      </c>
      <c r="H2283" s="21" t="s">
        <v>7937</v>
      </c>
      <c r="I2283" s="12" t="s">
        <v>8534</v>
      </c>
      <c r="J2283" s="12" t="s">
        <v>9862</v>
      </c>
      <c r="K2283" s="12"/>
      <c r="L2283" s="12" t="s">
        <v>11930</v>
      </c>
      <c r="M2283" s="12" t="s">
        <v>11931</v>
      </c>
    </row>
    <row r="2284" spans="1:13" ht="52.8">
      <c r="A2284" s="21" t="s">
        <v>7932</v>
      </c>
      <c r="B2284" s="21" t="s">
        <v>7933</v>
      </c>
      <c r="C2284" s="21" t="s">
        <v>7934</v>
      </c>
      <c r="D2284" s="21" t="s">
        <v>71</v>
      </c>
      <c r="E2284" s="22" t="s">
        <v>7935</v>
      </c>
      <c r="F2284" s="22" t="s">
        <v>7933</v>
      </c>
      <c r="G2284" s="21" t="s">
        <v>7936</v>
      </c>
      <c r="H2284" s="21" t="s">
        <v>7937</v>
      </c>
      <c r="I2284" s="12" t="s">
        <v>8535</v>
      </c>
      <c r="J2284" s="12" t="s">
        <v>9863</v>
      </c>
      <c r="K2284" s="12" t="s">
        <v>11932</v>
      </c>
      <c r="L2284" s="12" t="s">
        <v>11933</v>
      </c>
      <c r="M2284" s="12" t="s">
        <v>11932</v>
      </c>
    </row>
    <row r="2285" spans="1:13" ht="52.8">
      <c r="A2285" s="21" t="s">
        <v>7932</v>
      </c>
      <c r="B2285" s="21" t="s">
        <v>7933</v>
      </c>
      <c r="C2285" s="21" t="s">
        <v>7934</v>
      </c>
      <c r="D2285" s="21" t="s">
        <v>71</v>
      </c>
      <c r="E2285" s="22" t="s">
        <v>7935</v>
      </c>
      <c r="F2285" s="22" t="s">
        <v>7933</v>
      </c>
      <c r="G2285" s="21" t="s">
        <v>7936</v>
      </c>
      <c r="H2285" s="21" t="s">
        <v>7937</v>
      </c>
      <c r="I2285" s="12" t="s">
        <v>8536</v>
      </c>
      <c r="J2285" s="12" t="s">
        <v>9864</v>
      </c>
      <c r="K2285" s="12"/>
      <c r="L2285" s="12" t="s">
        <v>11934</v>
      </c>
      <c r="M2285" s="12" t="s">
        <v>11935</v>
      </c>
    </row>
    <row r="2286" spans="1:13" ht="52.8">
      <c r="A2286" s="21" t="s">
        <v>7932</v>
      </c>
      <c r="B2286" s="21" t="s">
        <v>7933</v>
      </c>
      <c r="C2286" s="21" t="s">
        <v>7934</v>
      </c>
      <c r="D2286" s="21" t="s">
        <v>71</v>
      </c>
      <c r="E2286" s="22" t="s">
        <v>7935</v>
      </c>
      <c r="F2286" s="22" t="s">
        <v>7933</v>
      </c>
      <c r="G2286" s="21" t="s">
        <v>7936</v>
      </c>
      <c r="H2286" s="21" t="s">
        <v>7937</v>
      </c>
      <c r="I2286" s="12" t="s">
        <v>8537</v>
      </c>
      <c r="J2286" s="12" t="s">
        <v>9865</v>
      </c>
      <c r="K2286" s="12" t="s">
        <v>11936</v>
      </c>
      <c r="L2286" s="12" t="s">
        <v>11937</v>
      </c>
      <c r="M2286" s="12" t="s">
        <v>11936</v>
      </c>
    </row>
    <row r="2287" spans="1:13" ht="52.8">
      <c r="A2287" s="21" t="s">
        <v>7932</v>
      </c>
      <c r="B2287" s="21" t="s">
        <v>7933</v>
      </c>
      <c r="C2287" s="21" t="s">
        <v>7934</v>
      </c>
      <c r="D2287" s="21" t="s">
        <v>71</v>
      </c>
      <c r="E2287" s="22" t="s">
        <v>7935</v>
      </c>
      <c r="F2287" s="22" t="s">
        <v>7933</v>
      </c>
      <c r="G2287" s="21" t="s">
        <v>7936</v>
      </c>
      <c r="H2287" s="21" t="s">
        <v>7937</v>
      </c>
      <c r="I2287" s="12" t="s">
        <v>8538</v>
      </c>
      <c r="J2287" s="12" t="s">
        <v>9866</v>
      </c>
      <c r="K2287" s="12"/>
      <c r="L2287" s="12" t="s">
        <v>11938</v>
      </c>
      <c r="M2287" s="12" t="s">
        <v>11939</v>
      </c>
    </row>
    <row r="2288" spans="1:13" ht="52.8">
      <c r="A2288" s="21" t="s">
        <v>7932</v>
      </c>
      <c r="B2288" s="21" t="s">
        <v>7933</v>
      </c>
      <c r="C2288" s="21" t="s">
        <v>7934</v>
      </c>
      <c r="D2288" s="21" t="s">
        <v>71</v>
      </c>
      <c r="E2288" s="22" t="s">
        <v>7935</v>
      </c>
      <c r="F2288" s="22" t="s">
        <v>7933</v>
      </c>
      <c r="G2288" s="21" t="s">
        <v>7936</v>
      </c>
      <c r="H2288" s="21" t="s">
        <v>7937</v>
      </c>
      <c r="I2288" s="12" t="s">
        <v>8539</v>
      </c>
      <c r="J2288" s="12" t="s">
        <v>9867</v>
      </c>
      <c r="K2288" s="12" t="s">
        <v>11940</v>
      </c>
      <c r="L2288" s="12" t="s">
        <v>11941</v>
      </c>
      <c r="M2288" s="12" t="s">
        <v>11940</v>
      </c>
    </row>
    <row r="2289" spans="1:13" ht="52.8">
      <c r="A2289" s="21" t="s">
        <v>7932</v>
      </c>
      <c r="B2289" s="21" t="s">
        <v>7933</v>
      </c>
      <c r="C2289" s="21" t="s">
        <v>7934</v>
      </c>
      <c r="D2289" s="21" t="s">
        <v>71</v>
      </c>
      <c r="E2289" s="22" t="s">
        <v>7935</v>
      </c>
      <c r="F2289" s="22" t="s">
        <v>7933</v>
      </c>
      <c r="G2289" s="21" t="s">
        <v>7936</v>
      </c>
      <c r="H2289" s="21" t="s">
        <v>7937</v>
      </c>
      <c r="I2289" s="12" t="s">
        <v>8540</v>
      </c>
      <c r="J2289" s="12" t="s">
        <v>9868</v>
      </c>
      <c r="K2289" s="12"/>
      <c r="L2289" s="12" t="s">
        <v>11942</v>
      </c>
      <c r="M2289" s="12" t="s">
        <v>11943</v>
      </c>
    </row>
    <row r="2290" spans="1:13" ht="52.8">
      <c r="A2290" s="21" t="s">
        <v>7932</v>
      </c>
      <c r="B2290" s="21" t="s">
        <v>7933</v>
      </c>
      <c r="C2290" s="21" t="s">
        <v>7934</v>
      </c>
      <c r="D2290" s="21" t="s">
        <v>71</v>
      </c>
      <c r="E2290" s="22" t="s">
        <v>7935</v>
      </c>
      <c r="F2290" s="22" t="s">
        <v>7933</v>
      </c>
      <c r="G2290" s="21" t="s">
        <v>7936</v>
      </c>
      <c r="H2290" s="21" t="s">
        <v>7937</v>
      </c>
      <c r="I2290" s="12" t="s">
        <v>8541</v>
      </c>
      <c r="J2290" s="12" t="s">
        <v>9869</v>
      </c>
      <c r="K2290" s="12"/>
      <c r="L2290" s="12" t="s">
        <v>11944</v>
      </c>
      <c r="M2290" s="12" t="s">
        <v>11945</v>
      </c>
    </row>
    <row r="2291" spans="1:13" ht="52.8">
      <c r="A2291" s="21" t="s">
        <v>7932</v>
      </c>
      <c r="B2291" s="21" t="s">
        <v>7933</v>
      </c>
      <c r="C2291" s="21" t="s">
        <v>7934</v>
      </c>
      <c r="D2291" s="21" t="s">
        <v>71</v>
      </c>
      <c r="E2291" s="22" t="s">
        <v>7935</v>
      </c>
      <c r="F2291" s="22" t="s">
        <v>7933</v>
      </c>
      <c r="G2291" s="21" t="s">
        <v>7936</v>
      </c>
      <c r="H2291" s="21" t="s">
        <v>7937</v>
      </c>
      <c r="I2291" s="12" t="s">
        <v>8542</v>
      </c>
      <c r="J2291" s="12" t="s">
        <v>9870</v>
      </c>
      <c r="K2291" s="12" t="s">
        <v>11946</v>
      </c>
      <c r="L2291" s="12" t="s">
        <v>11947</v>
      </c>
      <c r="M2291" s="12" t="s">
        <v>11946</v>
      </c>
    </row>
    <row r="2292" spans="1:13" ht="52.8">
      <c r="A2292" s="21" t="s">
        <v>7932</v>
      </c>
      <c r="B2292" s="21" t="s">
        <v>7933</v>
      </c>
      <c r="C2292" s="21" t="s">
        <v>7934</v>
      </c>
      <c r="D2292" s="21" t="s">
        <v>71</v>
      </c>
      <c r="E2292" s="22" t="s">
        <v>7935</v>
      </c>
      <c r="F2292" s="22" t="s">
        <v>7933</v>
      </c>
      <c r="G2292" s="21" t="s">
        <v>7936</v>
      </c>
      <c r="H2292" s="21" t="s">
        <v>7937</v>
      </c>
      <c r="I2292" s="12" t="s">
        <v>8543</v>
      </c>
      <c r="J2292" s="12" t="s">
        <v>9871</v>
      </c>
      <c r="K2292" s="12"/>
      <c r="L2292" s="12" t="s">
        <v>11948</v>
      </c>
      <c r="M2292" s="12" t="s">
        <v>11949</v>
      </c>
    </row>
    <row r="2293" spans="1:13" ht="66">
      <c r="A2293" s="21" t="s">
        <v>7932</v>
      </c>
      <c r="B2293" s="21" t="s">
        <v>7933</v>
      </c>
      <c r="C2293" s="21" t="s">
        <v>7934</v>
      </c>
      <c r="D2293" s="21" t="s">
        <v>71</v>
      </c>
      <c r="E2293" s="22" t="s">
        <v>7935</v>
      </c>
      <c r="F2293" s="22" t="s">
        <v>7933</v>
      </c>
      <c r="G2293" s="21" t="s">
        <v>7936</v>
      </c>
      <c r="H2293" s="21" t="s">
        <v>7937</v>
      </c>
      <c r="I2293" s="12" t="s">
        <v>8544</v>
      </c>
      <c r="J2293" s="12" t="s">
        <v>9872</v>
      </c>
      <c r="K2293" s="12" t="s">
        <v>11950</v>
      </c>
      <c r="L2293" s="12" t="s">
        <v>11951</v>
      </c>
      <c r="M2293" s="12" t="s">
        <v>11952</v>
      </c>
    </row>
    <row r="2294" spans="1:13" ht="52.8">
      <c r="A2294" s="21" t="s">
        <v>7932</v>
      </c>
      <c r="B2294" s="21" t="s">
        <v>7933</v>
      </c>
      <c r="C2294" s="21" t="s">
        <v>7934</v>
      </c>
      <c r="D2294" s="21" t="s">
        <v>71</v>
      </c>
      <c r="E2294" s="22" t="s">
        <v>7935</v>
      </c>
      <c r="F2294" s="22" t="s">
        <v>7933</v>
      </c>
      <c r="G2294" s="21" t="s">
        <v>7936</v>
      </c>
      <c r="H2294" s="21" t="s">
        <v>7937</v>
      </c>
      <c r="I2294" s="12" t="s">
        <v>8545</v>
      </c>
      <c r="J2294" s="12" t="s">
        <v>9873</v>
      </c>
      <c r="K2294" s="12" t="s">
        <v>11953</v>
      </c>
      <c r="L2294" s="12" t="s">
        <v>11954</v>
      </c>
      <c r="M2294" s="12" t="s">
        <v>11955</v>
      </c>
    </row>
    <row r="2295" spans="1:13" ht="52.8">
      <c r="A2295" s="21" t="s">
        <v>7932</v>
      </c>
      <c r="B2295" s="21" t="s">
        <v>7933</v>
      </c>
      <c r="C2295" s="21" t="s">
        <v>7934</v>
      </c>
      <c r="D2295" s="21" t="s">
        <v>71</v>
      </c>
      <c r="E2295" s="22" t="s">
        <v>7935</v>
      </c>
      <c r="F2295" s="22" t="s">
        <v>7933</v>
      </c>
      <c r="G2295" s="21" t="s">
        <v>7936</v>
      </c>
      <c r="H2295" s="21" t="s">
        <v>7937</v>
      </c>
      <c r="I2295" s="12" t="s">
        <v>8546</v>
      </c>
      <c r="J2295" s="12" t="s">
        <v>9874</v>
      </c>
      <c r="K2295" s="12"/>
      <c r="L2295" s="12" t="s">
        <v>11956</v>
      </c>
      <c r="M2295" s="12" t="s">
        <v>11957</v>
      </c>
    </row>
    <row r="2296" spans="1:13" ht="66">
      <c r="A2296" s="21" t="s">
        <v>7932</v>
      </c>
      <c r="B2296" s="21" t="s">
        <v>7933</v>
      </c>
      <c r="C2296" s="21" t="s">
        <v>7934</v>
      </c>
      <c r="D2296" s="21" t="s">
        <v>71</v>
      </c>
      <c r="E2296" s="22" t="s">
        <v>7935</v>
      </c>
      <c r="F2296" s="22" t="s">
        <v>7933</v>
      </c>
      <c r="G2296" s="21" t="s">
        <v>7936</v>
      </c>
      <c r="H2296" s="21" t="s">
        <v>7937</v>
      </c>
      <c r="I2296" s="12" t="s">
        <v>8547</v>
      </c>
      <c r="J2296" s="12" t="s">
        <v>9875</v>
      </c>
      <c r="K2296" s="12" t="s">
        <v>11958</v>
      </c>
      <c r="L2296" s="12" t="s">
        <v>11959</v>
      </c>
      <c r="M2296" s="12" t="s">
        <v>11960</v>
      </c>
    </row>
    <row r="2297" spans="1:13" ht="105.6">
      <c r="A2297" s="21" t="s">
        <v>7932</v>
      </c>
      <c r="B2297" s="21" t="s">
        <v>7933</v>
      </c>
      <c r="C2297" s="21" t="s">
        <v>7934</v>
      </c>
      <c r="D2297" s="21" t="s">
        <v>71</v>
      </c>
      <c r="E2297" s="22" t="s">
        <v>7935</v>
      </c>
      <c r="F2297" s="22" t="s">
        <v>7933</v>
      </c>
      <c r="G2297" s="21" t="s">
        <v>7936</v>
      </c>
      <c r="H2297" s="21" t="s">
        <v>7937</v>
      </c>
      <c r="I2297" s="12" t="s">
        <v>8548</v>
      </c>
      <c r="J2297" s="12" t="s">
        <v>9876</v>
      </c>
      <c r="K2297" s="12" t="s">
        <v>11961</v>
      </c>
      <c r="L2297" s="12" t="s">
        <v>11962</v>
      </c>
      <c r="M2297" s="12" t="s">
        <v>11963</v>
      </c>
    </row>
    <row r="2298" spans="1:13" ht="52.8">
      <c r="A2298" s="21" t="s">
        <v>7932</v>
      </c>
      <c r="B2298" s="21" t="s">
        <v>7933</v>
      </c>
      <c r="C2298" s="21" t="s">
        <v>7934</v>
      </c>
      <c r="D2298" s="21" t="s">
        <v>71</v>
      </c>
      <c r="E2298" s="22" t="s">
        <v>7935</v>
      </c>
      <c r="F2298" s="22" t="s">
        <v>7933</v>
      </c>
      <c r="G2298" s="21" t="s">
        <v>7936</v>
      </c>
      <c r="H2298" s="21" t="s">
        <v>7937</v>
      </c>
      <c r="I2298" s="12" t="s">
        <v>8549</v>
      </c>
      <c r="J2298" s="12" t="s">
        <v>9877</v>
      </c>
      <c r="K2298" s="12"/>
      <c r="L2298" s="12" t="s">
        <v>11964</v>
      </c>
      <c r="M2298" s="12" t="s">
        <v>11965</v>
      </c>
    </row>
    <row r="2299" spans="1:13" ht="66">
      <c r="A2299" s="21" t="s">
        <v>7932</v>
      </c>
      <c r="B2299" s="21" t="s">
        <v>7933</v>
      </c>
      <c r="C2299" s="21" t="s">
        <v>7934</v>
      </c>
      <c r="D2299" s="21" t="s">
        <v>71</v>
      </c>
      <c r="E2299" s="22" t="s">
        <v>7935</v>
      </c>
      <c r="F2299" s="22" t="s">
        <v>7933</v>
      </c>
      <c r="G2299" s="21" t="s">
        <v>7936</v>
      </c>
      <c r="H2299" s="21" t="s">
        <v>7937</v>
      </c>
      <c r="I2299" s="12" t="s">
        <v>8550</v>
      </c>
      <c r="J2299" s="12" t="s">
        <v>9878</v>
      </c>
      <c r="K2299" s="12" t="s">
        <v>11966</v>
      </c>
      <c r="L2299" s="12" t="s">
        <v>11967</v>
      </c>
      <c r="M2299" s="12" t="s">
        <v>11968</v>
      </c>
    </row>
    <row r="2300" spans="1:13" ht="79.2">
      <c r="A2300" s="21" t="s">
        <v>7932</v>
      </c>
      <c r="B2300" s="21" t="s">
        <v>7933</v>
      </c>
      <c r="C2300" s="21" t="s">
        <v>7934</v>
      </c>
      <c r="D2300" s="21" t="s">
        <v>71</v>
      </c>
      <c r="E2300" s="22" t="s">
        <v>7935</v>
      </c>
      <c r="F2300" s="22" t="s">
        <v>7933</v>
      </c>
      <c r="G2300" s="21" t="s">
        <v>7936</v>
      </c>
      <c r="H2300" s="21" t="s">
        <v>7937</v>
      </c>
      <c r="I2300" s="12" t="s">
        <v>8551</v>
      </c>
      <c r="J2300" s="12" t="s">
        <v>9879</v>
      </c>
      <c r="K2300" s="12" t="s">
        <v>11969</v>
      </c>
      <c r="L2300" s="12" t="s">
        <v>11970</v>
      </c>
      <c r="M2300" s="12" t="s">
        <v>11971</v>
      </c>
    </row>
    <row r="2301" spans="1:13" ht="118.8">
      <c r="A2301" s="21" t="s">
        <v>7932</v>
      </c>
      <c r="B2301" s="21" t="s">
        <v>7933</v>
      </c>
      <c r="C2301" s="21" t="s">
        <v>7934</v>
      </c>
      <c r="D2301" s="21" t="s">
        <v>71</v>
      </c>
      <c r="E2301" s="22" t="s">
        <v>7935</v>
      </c>
      <c r="F2301" s="22" t="s">
        <v>7933</v>
      </c>
      <c r="G2301" s="21" t="s">
        <v>7936</v>
      </c>
      <c r="H2301" s="21" t="s">
        <v>7937</v>
      </c>
      <c r="I2301" s="12" t="s">
        <v>8552</v>
      </c>
      <c r="J2301" s="12" t="s">
        <v>9880</v>
      </c>
      <c r="K2301" s="12" t="s">
        <v>11972</v>
      </c>
      <c r="L2301" s="12" t="s">
        <v>11973</v>
      </c>
      <c r="M2301" s="12" t="s">
        <v>11974</v>
      </c>
    </row>
    <row r="2302" spans="1:13" ht="66">
      <c r="A2302" s="21" t="s">
        <v>7932</v>
      </c>
      <c r="B2302" s="21" t="s">
        <v>7933</v>
      </c>
      <c r="C2302" s="21" t="s">
        <v>7934</v>
      </c>
      <c r="D2302" s="21" t="s">
        <v>71</v>
      </c>
      <c r="E2302" s="22" t="s">
        <v>7935</v>
      </c>
      <c r="F2302" s="22" t="s">
        <v>7933</v>
      </c>
      <c r="G2302" s="21" t="s">
        <v>7936</v>
      </c>
      <c r="H2302" s="21" t="s">
        <v>7937</v>
      </c>
      <c r="I2302" s="12" t="s">
        <v>8553</v>
      </c>
      <c r="J2302" s="12" t="s">
        <v>9881</v>
      </c>
      <c r="K2302" s="12" t="s">
        <v>11975</v>
      </c>
      <c r="L2302" s="12" t="s">
        <v>11976</v>
      </c>
      <c r="M2302" s="12" t="s">
        <v>11977</v>
      </c>
    </row>
    <row r="2303" spans="1:13" ht="105.6">
      <c r="A2303" s="21" t="s">
        <v>7932</v>
      </c>
      <c r="B2303" s="21" t="s">
        <v>7933</v>
      </c>
      <c r="C2303" s="21" t="s">
        <v>7934</v>
      </c>
      <c r="D2303" s="21" t="s">
        <v>71</v>
      </c>
      <c r="E2303" s="22" t="s">
        <v>7935</v>
      </c>
      <c r="F2303" s="22" t="s">
        <v>7933</v>
      </c>
      <c r="G2303" s="21" t="s">
        <v>7936</v>
      </c>
      <c r="H2303" s="21" t="s">
        <v>7937</v>
      </c>
      <c r="I2303" s="12" t="s">
        <v>8554</v>
      </c>
      <c r="J2303" s="12" t="s">
        <v>9882</v>
      </c>
      <c r="K2303" s="12" t="s">
        <v>11978</v>
      </c>
      <c r="L2303" s="12" t="s">
        <v>11979</v>
      </c>
      <c r="M2303" s="12" t="s">
        <v>11980</v>
      </c>
    </row>
    <row r="2304" spans="1:13" ht="52.8">
      <c r="A2304" s="21" t="s">
        <v>7932</v>
      </c>
      <c r="B2304" s="21" t="s">
        <v>7933</v>
      </c>
      <c r="C2304" s="21" t="s">
        <v>7934</v>
      </c>
      <c r="D2304" s="21" t="s">
        <v>71</v>
      </c>
      <c r="E2304" s="22" t="s">
        <v>7935</v>
      </c>
      <c r="F2304" s="22" t="s">
        <v>7933</v>
      </c>
      <c r="G2304" s="21" t="s">
        <v>7936</v>
      </c>
      <c r="H2304" s="21" t="s">
        <v>7937</v>
      </c>
      <c r="I2304" s="12" t="s">
        <v>8555</v>
      </c>
      <c r="J2304" s="12" t="s">
        <v>9883</v>
      </c>
      <c r="K2304" s="12" t="s">
        <v>11981</v>
      </c>
      <c r="L2304" s="12" t="s">
        <v>11982</v>
      </c>
      <c r="M2304" s="12" t="s">
        <v>11981</v>
      </c>
    </row>
    <row r="2305" spans="1:13" ht="52.8">
      <c r="A2305" s="21" t="s">
        <v>7932</v>
      </c>
      <c r="B2305" s="21" t="s">
        <v>7933</v>
      </c>
      <c r="C2305" s="21" t="s">
        <v>7934</v>
      </c>
      <c r="D2305" s="21" t="s">
        <v>71</v>
      </c>
      <c r="E2305" s="22" t="s">
        <v>7935</v>
      </c>
      <c r="F2305" s="22" t="s">
        <v>7933</v>
      </c>
      <c r="G2305" s="21" t="s">
        <v>7936</v>
      </c>
      <c r="H2305" s="21" t="s">
        <v>7937</v>
      </c>
      <c r="I2305" s="12" t="s">
        <v>8556</v>
      </c>
      <c r="J2305" s="12" t="s">
        <v>9884</v>
      </c>
      <c r="K2305" s="12"/>
      <c r="L2305" s="12" t="s">
        <v>11983</v>
      </c>
      <c r="M2305" s="12" t="s">
        <v>11984</v>
      </c>
    </row>
    <row r="2306" spans="1:13" ht="52.8">
      <c r="A2306" s="21" t="s">
        <v>7932</v>
      </c>
      <c r="B2306" s="21" t="s">
        <v>7933</v>
      </c>
      <c r="C2306" s="21" t="s">
        <v>7934</v>
      </c>
      <c r="D2306" s="21" t="s">
        <v>71</v>
      </c>
      <c r="E2306" s="22" t="s">
        <v>7935</v>
      </c>
      <c r="F2306" s="22" t="s">
        <v>7933</v>
      </c>
      <c r="G2306" s="21" t="s">
        <v>7936</v>
      </c>
      <c r="H2306" s="21" t="s">
        <v>7937</v>
      </c>
      <c r="I2306" s="12" t="s">
        <v>8557</v>
      </c>
      <c r="J2306" s="12" t="s">
        <v>9885</v>
      </c>
      <c r="K2306" s="12"/>
      <c r="L2306" s="12" t="s">
        <v>11985</v>
      </c>
      <c r="M2306" s="12" t="s">
        <v>11986</v>
      </c>
    </row>
    <row r="2307" spans="1:13" ht="52.8">
      <c r="A2307" s="21" t="s">
        <v>7932</v>
      </c>
      <c r="B2307" s="21" t="s">
        <v>7933</v>
      </c>
      <c r="C2307" s="21" t="s">
        <v>7934</v>
      </c>
      <c r="D2307" s="21" t="s">
        <v>71</v>
      </c>
      <c r="E2307" s="22" t="s">
        <v>7935</v>
      </c>
      <c r="F2307" s="22" t="s">
        <v>7933</v>
      </c>
      <c r="G2307" s="21" t="s">
        <v>7936</v>
      </c>
      <c r="H2307" s="21" t="s">
        <v>7937</v>
      </c>
      <c r="I2307" s="12" t="s">
        <v>8558</v>
      </c>
      <c r="J2307" s="12" t="s">
        <v>9886</v>
      </c>
      <c r="K2307" s="12"/>
      <c r="L2307" s="12" t="s">
        <v>11987</v>
      </c>
      <c r="M2307" s="12" t="s">
        <v>11988</v>
      </c>
    </row>
    <row r="2308" spans="1:13" ht="52.8">
      <c r="A2308" s="21" t="s">
        <v>7932</v>
      </c>
      <c r="B2308" s="21" t="s">
        <v>7933</v>
      </c>
      <c r="C2308" s="21" t="s">
        <v>7934</v>
      </c>
      <c r="D2308" s="21" t="s">
        <v>71</v>
      </c>
      <c r="E2308" s="22" t="s">
        <v>7935</v>
      </c>
      <c r="F2308" s="22" t="s">
        <v>7933</v>
      </c>
      <c r="G2308" s="21" t="s">
        <v>7936</v>
      </c>
      <c r="H2308" s="21" t="s">
        <v>7937</v>
      </c>
      <c r="I2308" s="12" t="s">
        <v>8559</v>
      </c>
      <c r="J2308" s="12" t="s">
        <v>9887</v>
      </c>
      <c r="K2308" s="12"/>
      <c r="L2308" s="12" t="s">
        <v>11989</v>
      </c>
      <c r="M2308" s="12" t="s">
        <v>11990</v>
      </c>
    </row>
    <row r="2309" spans="1:13" ht="52.8">
      <c r="A2309" s="21" t="s">
        <v>7932</v>
      </c>
      <c r="B2309" s="21" t="s">
        <v>7933</v>
      </c>
      <c r="C2309" s="21" t="s">
        <v>7934</v>
      </c>
      <c r="D2309" s="21" t="s">
        <v>71</v>
      </c>
      <c r="E2309" s="22" t="s">
        <v>7935</v>
      </c>
      <c r="F2309" s="22" t="s">
        <v>7933</v>
      </c>
      <c r="G2309" s="21" t="s">
        <v>7936</v>
      </c>
      <c r="H2309" s="21" t="s">
        <v>7937</v>
      </c>
      <c r="I2309" s="12" t="s">
        <v>8560</v>
      </c>
      <c r="J2309" s="12" t="s">
        <v>9888</v>
      </c>
      <c r="K2309" s="12"/>
      <c r="L2309" s="12" t="s">
        <v>11991</v>
      </c>
      <c r="M2309" s="12" t="s">
        <v>11992</v>
      </c>
    </row>
    <row r="2310" spans="1:13" ht="52.8">
      <c r="A2310" s="21" t="s">
        <v>7932</v>
      </c>
      <c r="B2310" s="21" t="s">
        <v>7933</v>
      </c>
      <c r="C2310" s="21" t="s">
        <v>7934</v>
      </c>
      <c r="D2310" s="21" t="s">
        <v>71</v>
      </c>
      <c r="E2310" s="22" t="s">
        <v>7935</v>
      </c>
      <c r="F2310" s="22" t="s">
        <v>7933</v>
      </c>
      <c r="G2310" s="21" t="s">
        <v>7936</v>
      </c>
      <c r="H2310" s="21" t="s">
        <v>7937</v>
      </c>
      <c r="I2310" s="12" t="s">
        <v>8561</v>
      </c>
      <c r="J2310" s="12" t="s">
        <v>9889</v>
      </c>
      <c r="K2310" s="12"/>
      <c r="L2310" s="12" t="s">
        <v>11993</v>
      </c>
      <c r="M2310" s="12" t="s">
        <v>11994</v>
      </c>
    </row>
    <row r="2311" spans="1:13" ht="52.8">
      <c r="A2311" s="21" t="s">
        <v>7932</v>
      </c>
      <c r="B2311" s="21" t="s">
        <v>7933</v>
      </c>
      <c r="C2311" s="21" t="s">
        <v>7934</v>
      </c>
      <c r="D2311" s="21" t="s">
        <v>71</v>
      </c>
      <c r="E2311" s="22" t="s">
        <v>7935</v>
      </c>
      <c r="F2311" s="22" t="s">
        <v>7933</v>
      </c>
      <c r="G2311" s="21" t="s">
        <v>7936</v>
      </c>
      <c r="H2311" s="21" t="s">
        <v>7937</v>
      </c>
      <c r="I2311" s="12" t="s">
        <v>8562</v>
      </c>
      <c r="J2311" s="12" t="s">
        <v>9890</v>
      </c>
      <c r="K2311" s="12"/>
      <c r="L2311" s="12" t="s">
        <v>11995</v>
      </c>
      <c r="M2311" s="12" t="s">
        <v>11996</v>
      </c>
    </row>
    <row r="2312" spans="1:13" ht="52.8">
      <c r="A2312" s="21" t="s">
        <v>7932</v>
      </c>
      <c r="B2312" s="21" t="s">
        <v>7933</v>
      </c>
      <c r="C2312" s="21" t="s">
        <v>7934</v>
      </c>
      <c r="D2312" s="21" t="s">
        <v>71</v>
      </c>
      <c r="E2312" s="22" t="s">
        <v>7935</v>
      </c>
      <c r="F2312" s="22" t="s">
        <v>7933</v>
      </c>
      <c r="G2312" s="21" t="s">
        <v>7936</v>
      </c>
      <c r="H2312" s="21" t="s">
        <v>7937</v>
      </c>
      <c r="I2312" s="12" t="s">
        <v>8563</v>
      </c>
      <c r="J2312" s="12" t="s">
        <v>9891</v>
      </c>
      <c r="K2312" s="12"/>
      <c r="L2312" s="12" t="s">
        <v>11997</v>
      </c>
      <c r="M2312" s="12" t="s">
        <v>11998</v>
      </c>
    </row>
    <row r="2313" spans="1:13" ht="66">
      <c r="A2313" s="21" t="s">
        <v>7932</v>
      </c>
      <c r="B2313" s="21" t="s">
        <v>7933</v>
      </c>
      <c r="C2313" s="21" t="s">
        <v>7934</v>
      </c>
      <c r="D2313" s="21" t="s">
        <v>71</v>
      </c>
      <c r="E2313" s="22" t="s">
        <v>7935</v>
      </c>
      <c r="F2313" s="22" t="s">
        <v>7933</v>
      </c>
      <c r="G2313" s="21" t="s">
        <v>7936</v>
      </c>
      <c r="H2313" s="21" t="s">
        <v>7937</v>
      </c>
      <c r="I2313" s="12" t="s">
        <v>8564</v>
      </c>
      <c r="J2313" s="12" t="s">
        <v>9892</v>
      </c>
      <c r="K2313" s="12" t="s">
        <v>11999</v>
      </c>
      <c r="L2313" s="12" t="s">
        <v>12000</v>
      </c>
      <c r="M2313" s="12" t="s">
        <v>12001</v>
      </c>
    </row>
    <row r="2314" spans="1:13" ht="158.4">
      <c r="A2314" s="21" t="s">
        <v>7932</v>
      </c>
      <c r="B2314" s="21" t="s">
        <v>7933</v>
      </c>
      <c r="C2314" s="21" t="s">
        <v>7934</v>
      </c>
      <c r="D2314" s="21" t="s">
        <v>71</v>
      </c>
      <c r="E2314" s="22" t="s">
        <v>7935</v>
      </c>
      <c r="F2314" s="22" t="s">
        <v>7933</v>
      </c>
      <c r="G2314" s="21" t="s">
        <v>7936</v>
      </c>
      <c r="H2314" s="21" t="s">
        <v>7937</v>
      </c>
      <c r="I2314" s="12" t="s">
        <v>8565</v>
      </c>
      <c r="J2314" s="12" t="s">
        <v>9893</v>
      </c>
      <c r="K2314" s="12"/>
      <c r="L2314" s="12" t="s">
        <v>12002</v>
      </c>
      <c r="M2314" s="12" t="s">
        <v>12003</v>
      </c>
    </row>
    <row r="2315" spans="1:13" ht="158.4">
      <c r="A2315" s="21" t="s">
        <v>7932</v>
      </c>
      <c r="B2315" s="21" t="s">
        <v>7933</v>
      </c>
      <c r="C2315" s="21" t="s">
        <v>7934</v>
      </c>
      <c r="D2315" s="21" t="s">
        <v>71</v>
      </c>
      <c r="E2315" s="22" t="s">
        <v>7935</v>
      </c>
      <c r="F2315" s="22" t="s">
        <v>7933</v>
      </c>
      <c r="G2315" s="21" t="s">
        <v>7936</v>
      </c>
      <c r="H2315" s="21" t="s">
        <v>7937</v>
      </c>
      <c r="I2315" s="12" t="s">
        <v>8566</v>
      </c>
      <c r="J2315" s="12" t="s">
        <v>9894</v>
      </c>
      <c r="K2315" s="12"/>
      <c r="L2315" s="12" t="s">
        <v>12004</v>
      </c>
      <c r="M2315" s="12" t="s">
        <v>12005</v>
      </c>
    </row>
    <row r="2316" spans="1:13" ht="158.4">
      <c r="A2316" s="21" t="s">
        <v>7932</v>
      </c>
      <c r="B2316" s="21" t="s">
        <v>7933</v>
      </c>
      <c r="C2316" s="21" t="s">
        <v>7934</v>
      </c>
      <c r="D2316" s="21" t="s">
        <v>71</v>
      </c>
      <c r="E2316" s="22" t="s">
        <v>7935</v>
      </c>
      <c r="F2316" s="22" t="s">
        <v>7933</v>
      </c>
      <c r="G2316" s="21" t="s">
        <v>7936</v>
      </c>
      <c r="H2316" s="21" t="s">
        <v>7937</v>
      </c>
      <c r="I2316" s="12" t="s">
        <v>8567</v>
      </c>
      <c r="J2316" s="12" t="s">
        <v>9895</v>
      </c>
      <c r="K2316" s="12"/>
      <c r="L2316" s="12" t="s">
        <v>12006</v>
      </c>
      <c r="M2316" s="12" t="s">
        <v>12007</v>
      </c>
    </row>
    <row r="2317" spans="1:13" ht="158.4">
      <c r="A2317" s="21" t="s">
        <v>7932</v>
      </c>
      <c r="B2317" s="21" t="s">
        <v>7933</v>
      </c>
      <c r="C2317" s="21" t="s">
        <v>7934</v>
      </c>
      <c r="D2317" s="21" t="s">
        <v>71</v>
      </c>
      <c r="E2317" s="22" t="s">
        <v>7935</v>
      </c>
      <c r="F2317" s="22" t="s">
        <v>7933</v>
      </c>
      <c r="G2317" s="21" t="s">
        <v>7936</v>
      </c>
      <c r="H2317" s="21" t="s">
        <v>7937</v>
      </c>
      <c r="I2317" s="12" t="s">
        <v>8568</v>
      </c>
      <c r="J2317" s="12" t="s">
        <v>9896</v>
      </c>
      <c r="K2317" s="12"/>
      <c r="L2317" s="12" t="s">
        <v>12008</v>
      </c>
      <c r="M2317" s="12" t="s">
        <v>12009</v>
      </c>
    </row>
    <row r="2318" spans="1:13" ht="158.4">
      <c r="A2318" s="21" t="s">
        <v>7932</v>
      </c>
      <c r="B2318" s="21" t="s">
        <v>7933</v>
      </c>
      <c r="C2318" s="21" t="s">
        <v>7934</v>
      </c>
      <c r="D2318" s="21" t="s">
        <v>71</v>
      </c>
      <c r="E2318" s="22" t="s">
        <v>7935</v>
      </c>
      <c r="F2318" s="22" t="s">
        <v>7933</v>
      </c>
      <c r="G2318" s="21" t="s">
        <v>7936</v>
      </c>
      <c r="H2318" s="21" t="s">
        <v>7937</v>
      </c>
      <c r="I2318" s="12" t="s">
        <v>8569</v>
      </c>
      <c r="J2318" s="12" t="s">
        <v>9897</v>
      </c>
      <c r="K2318" s="12"/>
      <c r="L2318" s="12" t="s">
        <v>12010</v>
      </c>
      <c r="M2318" s="12" t="s">
        <v>12011</v>
      </c>
    </row>
    <row r="2319" spans="1:13" ht="158.4">
      <c r="A2319" s="21" t="s">
        <v>7932</v>
      </c>
      <c r="B2319" s="21" t="s">
        <v>7933</v>
      </c>
      <c r="C2319" s="21" t="s">
        <v>7934</v>
      </c>
      <c r="D2319" s="21" t="s">
        <v>71</v>
      </c>
      <c r="E2319" s="22" t="s">
        <v>7935</v>
      </c>
      <c r="F2319" s="22" t="s">
        <v>7933</v>
      </c>
      <c r="G2319" s="21" t="s">
        <v>7936</v>
      </c>
      <c r="H2319" s="21" t="s">
        <v>7937</v>
      </c>
      <c r="I2319" s="12" t="s">
        <v>8570</v>
      </c>
      <c r="J2319" s="12" t="s">
        <v>9898</v>
      </c>
      <c r="K2319" s="12"/>
      <c r="L2319" s="12" t="s">
        <v>12012</v>
      </c>
      <c r="M2319" s="12" t="s">
        <v>12013</v>
      </c>
    </row>
    <row r="2320" spans="1:13" ht="158.4">
      <c r="A2320" s="21" t="s">
        <v>7932</v>
      </c>
      <c r="B2320" s="21" t="s">
        <v>7933</v>
      </c>
      <c r="C2320" s="21" t="s">
        <v>7934</v>
      </c>
      <c r="D2320" s="21" t="s">
        <v>71</v>
      </c>
      <c r="E2320" s="22" t="s">
        <v>7935</v>
      </c>
      <c r="F2320" s="22" t="s">
        <v>7933</v>
      </c>
      <c r="G2320" s="21" t="s">
        <v>7936</v>
      </c>
      <c r="H2320" s="21" t="s">
        <v>7937</v>
      </c>
      <c r="I2320" s="12" t="s">
        <v>8571</v>
      </c>
      <c r="J2320" s="12" t="s">
        <v>9899</v>
      </c>
      <c r="K2320" s="12"/>
      <c r="L2320" s="12" t="s">
        <v>12014</v>
      </c>
      <c r="M2320" s="12" t="s">
        <v>12015</v>
      </c>
    </row>
    <row r="2321" spans="1:13" ht="158.4">
      <c r="A2321" s="21" t="s">
        <v>7932</v>
      </c>
      <c r="B2321" s="21" t="s">
        <v>7933</v>
      </c>
      <c r="C2321" s="21" t="s">
        <v>7934</v>
      </c>
      <c r="D2321" s="21" t="s">
        <v>71</v>
      </c>
      <c r="E2321" s="22" t="s">
        <v>7935</v>
      </c>
      <c r="F2321" s="22" t="s">
        <v>7933</v>
      </c>
      <c r="G2321" s="21" t="s">
        <v>7936</v>
      </c>
      <c r="H2321" s="21" t="s">
        <v>7937</v>
      </c>
      <c r="I2321" s="12" t="s">
        <v>8572</v>
      </c>
      <c r="J2321" s="12" t="s">
        <v>9900</v>
      </c>
      <c r="K2321" s="12"/>
      <c r="L2321" s="12" t="s">
        <v>12016</v>
      </c>
      <c r="M2321" s="12" t="s">
        <v>12017</v>
      </c>
    </row>
    <row r="2322" spans="1:13" ht="158.4">
      <c r="A2322" s="21" t="s">
        <v>7932</v>
      </c>
      <c r="B2322" s="21" t="s">
        <v>7933</v>
      </c>
      <c r="C2322" s="21" t="s">
        <v>7934</v>
      </c>
      <c r="D2322" s="21" t="s">
        <v>71</v>
      </c>
      <c r="E2322" s="22" t="s">
        <v>7935</v>
      </c>
      <c r="F2322" s="22" t="s">
        <v>7933</v>
      </c>
      <c r="G2322" s="21" t="s">
        <v>7936</v>
      </c>
      <c r="H2322" s="21" t="s">
        <v>7937</v>
      </c>
      <c r="I2322" s="12" t="s">
        <v>8573</v>
      </c>
      <c r="J2322" s="12" t="s">
        <v>9901</v>
      </c>
      <c r="K2322" s="12"/>
      <c r="L2322" s="12" t="s">
        <v>12018</v>
      </c>
      <c r="M2322" s="12" t="s">
        <v>12019</v>
      </c>
    </row>
    <row r="2323" spans="1:13" ht="158.4">
      <c r="A2323" s="21" t="s">
        <v>7932</v>
      </c>
      <c r="B2323" s="21" t="s">
        <v>7933</v>
      </c>
      <c r="C2323" s="21" t="s">
        <v>7934</v>
      </c>
      <c r="D2323" s="21" t="s">
        <v>71</v>
      </c>
      <c r="E2323" s="22" t="s">
        <v>7935</v>
      </c>
      <c r="F2323" s="22" t="s">
        <v>7933</v>
      </c>
      <c r="G2323" s="21" t="s">
        <v>7936</v>
      </c>
      <c r="H2323" s="21" t="s">
        <v>7937</v>
      </c>
      <c r="I2323" s="12" t="s">
        <v>8574</v>
      </c>
      <c r="J2323" s="12" t="s">
        <v>9902</v>
      </c>
      <c r="K2323" s="12"/>
      <c r="L2323" s="12" t="s">
        <v>12020</v>
      </c>
      <c r="M2323" s="12" t="s">
        <v>12021</v>
      </c>
    </row>
    <row r="2324" spans="1:13" ht="158.4">
      <c r="A2324" s="21" t="s">
        <v>7932</v>
      </c>
      <c r="B2324" s="21" t="s">
        <v>7933</v>
      </c>
      <c r="C2324" s="21" t="s">
        <v>7934</v>
      </c>
      <c r="D2324" s="21" t="s">
        <v>71</v>
      </c>
      <c r="E2324" s="22" t="s">
        <v>7935</v>
      </c>
      <c r="F2324" s="22" t="s">
        <v>7933</v>
      </c>
      <c r="G2324" s="21" t="s">
        <v>7936</v>
      </c>
      <c r="H2324" s="21" t="s">
        <v>7937</v>
      </c>
      <c r="I2324" s="12" t="s">
        <v>8575</v>
      </c>
      <c r="J2324" s="12" t="s">
        <v>9903</v>
      </c>
      <c r="K2324" s="12"/>
      <c r="L2324" s="12" t="s">
        <v>12022</v>
      </c>
      <c r="M2324" s="12" t="s">
        <v>12023</v>
      </c>
    </row>
    <row r="2325" spans="1:13" ht="52.8">
      <c r="A2325" s="21" t="s">
        <v>7932</v>
      </c>
      <c r="B2325" s="21" t="s">
        <v>7933</v>
      </c>
      <c r="C2325" s="21" t="s">
        <v>7934</v>
      </c>
      <c r="D2325" s="21" t="s">
        <v>71</v>
      </c>
      <c r="E2325" s="22" t="s">
        <v>7935</v>
      </c>
      <c r="F2325" s="22" t="s">
        <v>7933</v>
      </c>
      <c r="G2325" s="21" t="s">
        <v>7936</v>
      </c>
      <c r="H2325" s="21" t="s">
        <v>7937</v>
      </c>
      <c r="I2325" s="12" t="s">
        <v>8576</v>
      </c>
      <c r="J2325" s="12" t="s">
        <v>9904</v>
      </c>
      <c r="K2325" s="12"/>
      <c r="L2325" s="12" t="s">
        <v>12024</v>
      </c>
      <c r="M2325" s="12" t="s">
        <v>12025</v>
      </c>
    </row>
    <row r="2326" spans="1:13" ht="158.4">
      <c r="A2326" s="21" t="s">
        <v>7932</v>
      </c>
      <c r="B2326" s="21" t="s">
        <v>7933</v>
      </c>
      <c r="C2326" s="21" t="s">
        <v>7934</v>
      </c>
      <c r="D2326" s="21" t="s">
        <v>71</v>
      </c>
      <c r="E2326" s="22" t="s">
        <v>7935</v>
      </c>
      <c r="F2326" s="22" t="s">
        <v>7933</v>
      </c>
      <c r="G2326" s="21" t="s">
        <v>7936</v>
      </c>
      <c r="H2326" s="21" t="s">
        <v>7937</v>
      </c>
      <c r="I2326" s="12" t="s">
        <v>8577</v>
      </c>
      <c r="J2326" s="12" t="s">
        <v>9905</v>
      </c>
      <c r="K2326" s="12"/>
      <c r="L2326" s="12" t="s">
        <v>12026</v>
      </c>
      <c r="M2326" s="12" t="s">
        <v>12027</v>
      </c>
    </row>
    <row r="2327" spans="1:13" ht="158.4">
      <c r="A2327" s="21" t="s">
        <v>7932</v>
      </c>
      <c r="B2327" s="21" t="s">
        <v>7933</v>
      </c>
      <c r="C2327" s="21" t="s">
        <v>7934</v>
      </c>
      <c r="D2327" s="21" t="s">
        <v>71</v>
      </c>
      <c r="E2327" s="22" t="s">
        <v>7935</v>
      </c>
      <c r="F2327" s="22" t="s">
        <v>7933</v>
      </c>
      <c r="G2327" s="21" t="s">
        <v>7936</v>
      </c>
      <c r="H2327" s="21" t="s">
        <v>7937</v>
      </c>
      <c r="I2327" s="12" t="s">
        <v>8578</v>
      </c>
      <c r="J2327" s="12" t="s">
        <v>9906</v>
      </c>
      <c r="K2327" s="12"/>
      <c r="L2327" s="12" t="s">
        <v>12028</v>
      </c>
      <c r="M2327" s="12" t="s">
        <v>12029</v>
      </c>
    </row>
    <row r="2328" spans="1:13" ht="158.4">
      <c r="A2328" s="21" t="s">
        <v>7932</v>
      </c>
      <c r="B2328" s="21" t="s">
        <v>7933</v>
      </c>
      <c r="C2328" s="21" t="s">
        <v>7934</v>
      </c>
      <c r="D2328" s="21" t="s">
        <v>71</v>
      </c>
      <c r="E2328" s="22" t="s">
        <v>7935</v>
      </c>
      <c r="F2328" s="22" t="s">
        <v>7933</v>
      </c>
      <c r="G2328" s="21" t="s">
        <v>7936</v>
      </c>
      <c r="H2328" s="21" t="s">
        <v>7937</v>
      </c>
      <c r="I2328" s="12" t="s">
        <v>8579</v>
      </c>
      <c r="J2328" s="12" t="s">
        <v>9907</v>
      </c>
      <c r="K2328" s="12"/>
      <c r="L2328" s="12" t="s">
        <v>12030</v>
      </c>
      <c r="M2328" s="12" t="s">
        <v>12031</v>
      </c>
    </row>
    <row r="2329" spans="1:13" ht="158.4">
      <c r="A2329" s="21" t="s">
        <v>7932</v>
      </c>
      <c r="B2329" s="21" t="s">
        <v>7933</v>
      </c>
      <c r="C2329" s="21" t="s">
        <v>7934</v>
      </c>
      <c r="D2329" s="21" t="s">
        <v>71</v>
      </c>
      <c r="E2329" s="22" t="s">
        <v>7935</v>
      </c>
      <c r="F2329" s="22" t="s">
        <v>7933</v>
      </c>
      <c r="G2329" s="21" t="s">
        <v>7936</v>
      </c>
      <c r="H2329" s="21" t="s">
        <v>7937</v>
      </c>
      <c r="I2329" s="12" t="s">
        <v>8580</v>
      </c>
      <c r="J2329" s="12" t="s">
        <v>9908</v>
      </c>
      <c r="K2329" s="12"/>
      <c r="L2329" s="12" t="s">
        <v>12032</v>
      </c>
      <c r="M2329" s="12" t="s">
        <v>12033</v>
      </c>
    </row>
    <row r="2330" spans="1:13" ht="158.4">
      <c r="A2330" s="21" t="s">
        <v>7932</v>
      </c>
      <c r="B2330" s="21" t="s">
        <v>7933</v>
      </c>
      <c r="C2330" s="21" t="s">
        <v>7934</v>
      </c>
      <c r="D2330" s="21" t="s">
        <v>71</v>
      </c>
      <c r="E2330" s="22" t="s">
        <v>7935</v>
      </c>
      <c r="F2330" s="22" t="s">
        <v>7933</v>
      </c>
      <c r="G2330" s="21" t="s">
        <v>7936</v>
      </c>
      <c r="H2330" s="21" t="s">
        <v>7937</v>
      </c>
      <c r="I2330" s="12" t="s">
        <v>8581</v>
      </c>
      <c r="J2330" s="12" t="s">
        <v>9909</v>
      </c>
      <c r="K2330" s="12"/>
      <c r="L2330" s="12" t="s">
        <v>12034</v>
      </c>
      <c r="M2330" s="12" t="s">
        <v>12035</v>
      </c>
    </row>
    <row r="2331" spans="1:13" ht="158.4">
      <c r="A2331" s="21" t="s">
        <v>7932</v>
      </c>
      <c r="B2331" s="21" t="s">
        <v>7933</v>
      </c>
      <c r="C2331" s="21" t="s">
        <v>7934</v>
      </c>
      <c r="D2331" s="21" t="s">
        <v>71</v>
      </c>
      <c r="E2331" s="22" t="s">
        <v>7935</v>
      </c>
      <c r="F2331" s="22" t="s">
        <v>7933</v>
      </c>
      <c r="G2331" s="21" t="s">
        <v>7936</v>
      </c>
      <c r="H2331" s="21" t="s">
        <v>7937</v>
      </c>
      <c r="I2331" s="12" t="s">
        <v>8582</v>
      </c>
      <c r="J2331" s="12" t="s">
        <v>9910</v>
      </c>
      <c r="K2331" s="12"/>
      <c r="L2331" s="12" t="s">
        <v>12036</v>
      </c>
      <c r="M2331" s="12" t="s">
        <v>12037</v>
      </c>
    </row>
    <row r="2332" spans="1:13" ht="52.8">
      <c r="A2332" s="21" t="s">
        <v>7932</v>
      </c>
      <c r="B2332" s="21" t="s">
        <v>7933</v>
      </c>
      <c r="C2332" s="21" t="s">
        <v>7934</v>
      </c>
      <c r="D2332" s="21" t="s">
        <v>71</v>
      </c>
      <c r="E2332" s="22" t="s">
        <v>7935</v>
      </c>
      <c r="F2332" s="22" t="s">
        <v>7933</v>
      </c>
      <c r="G2332" s="21" t="s">
        <v>7936</v>
      </c>
      <c r="H2332" s="21" t="s">
        <v>7937</v>
      </c>
      <c r="I2332" s="12" t="s">
        <v>8583</v>
      </c>
      <c r="J2332" s="12" t="s">
        <v>9911</v>
      </c>
      <c r="K2332" s="12" t="s">
        <v>12038</v>
      </c>
      <c r="L2332" s="12" t="s">
        <v>12039</v>
      </c>
      <c r="M2332" s="12" t="s">
        <v>12038</v>
      </c>
    </row>
    <row r="2333" spans="1:13" ht="52.8">
      <c r="A2333" s="21" t="s">
        <v>7932</v>
      </c>
      <c r="B2333" s="21" t="s">
        <v>7933</v>
      </c>
      <c r="C2333" s="21" t="s">
        <v>7934</v>
      </c>
      <c r="D2333" s="21" t="s">
        <v>71</v>
      </c>
      <c r="E2333" s="22" t="s">
        <v>7935</v>
      </c>
      <c r="F2333" s="22" t="s">
        <v>7933</v>
      </c>
      <c r="G2333" s="21" t="s">
        <v>7936</v>
      </c>
      <c r="H2333" s="21" t="s">
        <v>7937</v>
      </c>
      <c r="I2333" s="12" t="s">
        <v>8584</v>
      </c>
      <c r="J2333" s="12" t="s">
        <v>9912</v>
      </c>
      <c r="K2333" s="12" t="s">
        <v>12040</v>
      </c>
      <c r="L2333" s="12" t="s">
        <v>12041</v>
      </c>
      <c r="M2333" s="12" t="s">
        <v>12040</v>
      </c>
    </row>
    <row r="2334" spans="1:13" ht="52.8">
      <c r="A2334" s="21" t="s">
        <v>7932</v>
      </c>
      <c r="B2334" s="21" t="s">
        <v>7933</v>
      </c>
      <c r="C2334" s="21" t="s">
        <v>7934</v>
      </c>
      <c r="D2334" s="21" t="s">
        <v>71</v>
      </c>
      <c r="E2334" s="22" t="s">
        <v>7935</v>
      </c>
      <c r="F2334" s="22" t="s">
        <v>7933</v>
      </c>
      <c r="G2334" s="21" t="s">
        <v>7936</v>
      </c>
      <c r="H2334" s="21" t="s">
        <v>7937</v>
      </c>
      <c r="I2334" s="12" t="s">
        <v>6587</v>
      </c>
      <c r="J2334" s="12" t="s">
        <v>9913</v>
      </c>
      <c r="K2334" s="12" t="s">
        <v>12042</v>
      </c>
      <c r="L2334" s="12" t="s">
        <v>12043</v>
      </c>
      <c r="M2334" s="12" t="s">
        <v>12044</v>
      </c>
    </row>
    <row r="2335" spans="1:13" ht="52.8">
      <c r="A2335" s="21" t="s">
        <v>7932</v>
      </c>
      <c r="B2335" s="21" t="s">
        <v>7933</v>
      </c>
      <c r="C2335" s="21" t="s">
        <v>7934</v>
      </c>
      <c r="D2335" s="21" t="s">
        <v>71</v>
      </c>
      <c r="E2335" s="22" t="s">
        <v>7935</v>
      </c>
      <c r="F2335" s="22" t="s">
        <v>7933</v>
      </c>
      <c r="G2335" s="21" t="s">
        <v>7936</v>
      </c>
      <c r="H2335" s="21" t="s">
        <v>7937</v>
      </c>
      <c r="I2335" s="12" t="s">
        <v>8585</v>
      </c>
      <c r="J2335" s="12" t="s">
        <v>9914</v>
      </c>
      <c r="K2335" s="12"/>
      <c r="L2335" s="12" t="s">
        <v>12045</v>
      </c>
      <c r="M2335" s="12" t="s">
        <v>12046</v>
      </c>
    </row>
    <row r="2336" spans="1:13" ht="52.8">
      <c r="A2336" s="21" t="s">
        <v>7932</v>
      </c>
      <c r="B2336" s="21" t="s">
        <v>7933</v>
      </c>
      <c r="C2336" s="21" t="s">
        <v>7934</v>
      </c>
      <c r="D2336" s="21" t="s">
        <v>71</v>
      </c>
      <c r="E2336" s="22" t="s">
        <v>7935</v>
      </c>
      <c r="F2336" s="22" t="s">
        <v>7933</v>
      </c>
      <c r="G2336" s="21" t="s">
        <v>7936</v>
      </c>
      <c r="H2336" s="21" t="s">
        <v>7937</v>
      </c>
      <c r="I2336" s="12" t="s">
        <v>8586</v>
      </c>
      <c r="J2336" s="12" t="s">
        <v>9915</v>
      </c>
      <c r="K2336" s="12"/>
      <c r="L2336" s="12" t="s">
        <v>12047</v>
      </c>
      <c r="M2336" s="12" t="s">
        <v>12048</v>
      </c>
    </row>
    <row r="2337" spans="1:13" ht="52.8">
      <c r="A2337" s="21" t="s">
        <v>7932</v>
      </c>
      <c r="B2337" s="21" t="s">
        <v>7933</v>
      </c>
      <c r="C2337" s="21" t="s">
        <v>7934</v>
      </c>
      <c r="D2337" s="21" t="s">
        <v>71</v>
      </c>
      <c r="E2337" s="22" t="s">
        <v>7935</v>
      </c>
      <c r="F2337" s="22" t="s">
        <v>7933</v>
      </c>
      <c r="G2337" s="21" t="s">
        <v>7936</v>
      </c>
      <c r="H2337" s="21" t="s">
        <v>7937</v>
      </c>
      <c r="I2337" s="12" t="s">
        <v>8587</v>
      </c>
      <c r="J2337" s="12" t="s">
        <v>9916</v>
      </c>
      <c r="K2337" s="12"/>
      <c r="L2337" s="12" t="s">
        <v>12049</v>
      </c>
      <c r="M2337" s="12" t="s">
        <v>12050</v>
      </c>
    </row>
    <row r="2338" spans="1:13" ht="52.8">
      <c r="A2338" s="21" t="s">
        <v>7932</v>
      </c>
      <c r="B2338" s="21" t="s">
        <v>7933</v>
      </c>
      <c r="C2338" s="21" t="s">
        <v>7934</v>
      </c>
      <c r="D2338" s="21" t="s">
        <v>71</v>
      </c>
      <c r="E2338" s="22" t="s">
        <v>7935</v>
      </c>
      <c r="F2338" s="22" t="s">
        <v>7933</v>
      </c>
      <c r="G2338" s="21" t="s">
        <v>7936</v>
      </c>
      <c r="H2338" s="21" t="s">
        <v>7937</v>
      </c>
      <c r="I2338" s="12" t="s">
        <v>8588</v>
      </c>
      <c r="J2338" s="12" t="s">
        <v>9917</v>
      </c>
      <c r="K2338" s="12" t="s">
        <v>12051</v>
      </c>
      <c r="L2338" s="12" t="s">
        <v>12052</v>
      </c>
      <c r="M2338" s="12" t="s">
        <v>12051</v>
      </c>
    </row>
    <row r="2339" spans="1:13" ht="52.8">
      <c r="A2339" s="21" t="s">
        <v>7932</v>
      </c>
      <c r="B2339" s="21" t="s">
        <v>7933</v>
      </c>
      <c r="C2339" s="21" t="s">
        <v>7934</v>
      </c>
      <c r="D2339" s="21" t="s">
        <v>71</v>
      </c>
      <c r="E2339" s="22" t="s">
        <v>7935</v>
      </c>
      <c r="F2339" s="22" t="s">
        <v>7933</v>
      </c>
      <c r="G2339" s="21" t="s">
        <v>7936</v>
      </c>
      <c r="H2339" s="21" t="s">
        <v>7937</v>
      </c>
      <c r="I2339" s="12" t="s">
        <v>8589</v>
      </c>
      <c r="J2339" s="12" t="s">
        <v>9918</v>
      </c>
      <c r="K2339" s="12" t="s">
        <v>12053</v>
      </c>
      <c r="L2339" s="12" t="s">
        <v>12054</v>
      </c>
      <c r="M2339" s="12" t="s">
        <v>12055</v>
      </c>
    </row>
    <row r="2340" spans="1:13" ht="52.8">
      <c r="A2340" s="21" t="s">
        <v>7932</v>
      </c>
      <c r="B2340" s="21" t="s">
        <v>7933</v>
      </c>
      <c r="C2340" s="21" t="s">
        <v>7934</v>
      </c>
      <c r="D2340" s="21" t="s">
        <v>71</v>
      </c>
      <c r="E2340" s="22" t="s">
        <v>7935</v>
      </c>
      <c r="F2340" s="22" t="s">
        <v>7933</v>
      </c>
      <c r="G2340" s="21" t="s">
        <v>7936</v>
      </c>
      <c r="H2340" s="21" t="s">
        <v>7937</v>
      </c>
      <c r="I2340" s="12" t="s">
        <v>8590</v>
      </c>
      <c r="J2340" s="12" t="s">
        <v>9919</v>
      </c>
      <c r="K2340" s="12" t="s">
        <v>12056</v>
      </c>
      <c r="L2340" s="12" t="s">
        <v>12057</v>
      </c>
      <c r="M2340" s="12" t="s">
        <v>12056</v>
      </c>
    </row>
    <row r="2341" spans="1:13" ht="52.8">
      <c r="A2341" s="21" t="s">
        <v>7932</v>
      </c>
      <c r="B2341" s="21" t="s">
        <v>7933</v>
      </c>
      <c r="C2341" s="21" t="s">
        <v>7934</v>
      </c>
      <c r="D2341" s="21" t="s">
        <v>71</v>
      </c>
      <c r="E2341" s="22" t="s">
        <v>7935</v>
      </c>
      <c r="F2341" s="22" t="s">
        <v>7933</v>
      </c>
      <c r="G2341" s="21" t="s">
        <v>7936</v>
      </c>
      <c r="H2341" s="21" t="s">
        <v>7937</v>
      </c>
      <c r="I2341" s="12" t="s">
        <v>8591</v>
      </c>
      <c r="J2341" s="12" t="s">
        <v>9920</v>
      </c>
      <c r="K2341" s="12" t="s">
        <v>12058</v>
      </c>
      <c r="L2341" s="12" t="s">
        <v>12059</v>
      </c>
      <c r="M2341" s="12" t="s">
        <v>12058</v>
      </c>
    </row>
    <row r="2342" spans="1:13" ht="52.8">
      <c r="A2342" s="21" t="s">
        <v>7932</v>
      </c>
      <c r="B2342" s="21" t="s">
        <v>7933</v>
      </c>
      <c r="C2342" s="21" t="s">
        <v>7934</v>
      </c>
      <c r="D2342" s="21" t="s">
        <v>71</v>
      </c>
      <c r="E2342" s="22" t="s">
        <v>7935</v>
      </c>
      <c r="F2342" s="22" t="s">
        <v>7933</v>
      </c>
      <c r="G2342" s="21" t="s">
        <v>7936</v>
      </c>
      <c r="H2342" s="21" t="s">
        <v>7937</v>
      </c>
      <c r="I2342" s="12" t="s">
        <v>8592</v>
      </c>
      <c r="J2342" s="12" t="s">
        <v>9921</v>
      </c>
      <c r="K2342" s="12"/>
      <c r="L2342" s="12" t="s">
        <v>12060</v>
      </c>
      <c r="M2342" s="12" t="s">
        <v>12061</v>
      </c>
    </row>
    <row r="2343" spans="1:13" ht="52.8">
      <c r="A2343" s="21" t="s">
        <v>7932</v>
      </c>
      <c r="B2343" s="21" t="s">
        <v>7933</v>
      </c>
      <c r="C2343" s="21" t="s">
        <v>7934</v>
      </c>
      <c r="D2343" s="21" t="s">
        <v>71</v>
      </c>
      <c r="E2343" s="22" t="s">
        <v>7935</v>
      </c>
      <c r="F2343" s="22" t="s">
        <v>7933</v>
      </c>
      <c r="G2343" s="21" t="s">
        <v>7936</v>
      </c>
      <c r="H2343" s="21" t="s">
        <v>7937</v>
      </c>
      <c r="I2343" s="12" t="s">
        <v>8593</v>
      </c>
      <c r="J2343" s="12" t="s">
        <v>9922</v>
      </c>
      <c r="K2343" s="12" t="s">
        <v>12062</v>
      </c>
      <c r="L2343" s="12" t="s">
        <v>12063</v>
      </c>
      <c r="M2343" s="12" t="s">
        <v>12064</v>
      </c>
    </row>
    <row r="2344" spans="1:13" ht="52.8">
      <c r="A2344" s="21" t="s">
        <v>7932</v>
      </c>
      <c r="B2344" s="21" t="s">
        <v>7933</v>
      </c>
      <c r="C2344" s="21" t="s">
        <v>7934</v>
      </c>
      <c r="D2344" s="21" t="s">
        <v>71</v>
      </c>
      <c r="E2344" s="22" t="s">
        <v>7935</v>
      </c>
      <c r="F2344" s="22" t="s">
        <v>7933</v>
      </c>
      <c r="G2344" s="21" t="s">
        <v>7936</v>
      </c>
      <c r="H2344" s="21" t="s">
        <v>7937</v>
      </c>
      <c r="I2344" s="12" t="s">
        <v>8594</v>
      </c>
      <c r="J2344" s="12" t="s">
        <v>9923</v>
      </c>
      <c r="K2344" s="12" t="s">
        <v>12065</v>
      </c>
      <c r="L2344" s="12" t="s">
        <v>12066</v>
      </c>
      <c r="M2344" s="12" t="s">
        <v>12065</v>
      </c>
    </row>
    <row r="2345" spans="1:13" ht="52.8">
      <c r="A2345" s="21" t="s">
        <v>7932</v>
      </c>
      <c r="B2345" s="21" t="s">
        <v>7933</v>
      </c>
      <c r="C2345" s="21" t="s">
        <v>7934</v>
      </c>
      <c r="D2345" s="21" t="s">
        <v>71</v>
      </c>
      <c r="E2345" s="22" t="s">
        <v>7935</v>
      </c>
      <c r="F2345" s="22" t="s">
        <v>7933</v>
      </c>
      <c r="G2345" s="21" t="s">
        <v>7936</v>
      </c>
      <c r="H2345" s="21" t="s">
        <v>7937</v>
      </c>
      <c r="I2345" s="12" t="s">
        <v>8595</v>
      </c>
      <c r="J2345" s="12" t="s">
        <v>9924</v>
      </c>
      <c r="K2345" s="12" t="s">
        <v>12067</v>
      </c>
      <c r="L2345" s="12" t="s">
        <v>12068</v>
      </c>
      <c r="M2345" s="12" t="s">
        <v>12067</v>
      </c>
    </row>
    <row r="2346" spans="1:13" ht="52.8">
      <c r="A2346" s="21" t="s">
        <v>7932</v>
      </c>
      <c r="B2346" s="21" t="s">
        <v>7933</v>
      </c>
      <c r="C2346" s="21" t="s">
        <v>7934</v>
      </c>
      <c r="D2346" s="21" t="s">
        <v>71</v>
      </c>
      <c r="E2346" s="22" t="s">
        <v>7935</v>
      </c>
      <c r="F2346" s="22" t="s">
        <v>7933</v>
      </c>
      <c r="G2346" s="21" t="s">
        <v>7936</v>
      </c>
      <c r="H2346" s="21" t="s">
        <v>7937</v>
      </c>
      <c r="I2346" s="12" t="s">
        <v>8596</v>
      </c>
      <c r="J2346" s="12" t="s">
        <v>9925</v>
      </c>
      <c r="K2346" s="12" t="s">
        <v>12069</v>
      </c>
      <c r="L2346" s="12" t="s">
        <v>12070</v>
      </c>
      <c r="M2346" s="12" t="s">
        <v>12069</v>
      </c>
    </row>
    <row r="2347" spans="1:13" ht="52.8">
      <c r="A2347" s="21" t="s">
        <v>7932</v>
      </c>
      <c r="B2347" s="21" t="s">
        <v>7933</v>
      </c>
      <c r="C2347" s="21" t="s">
        <v>7934</v>
      </c>
      <c r="D2347" s="21" t="s">
        <v>71</v>
      </c>
      <c r="E2347" s="22" t="s">
        <v>7935</v>
      </c>
      <c r="F2347" s="22" t="s">
        <v>7933</v>
      </c>
      <c r="G2347" s="21" t="s">
        <v>7936</v>
      </c>
      <c r="H2347" s="21" t="s">
        <v>7937</v>
      </c>
      <c r="I2347" s="12" t="s">
        <v>8597</v>
      </c>
      <c r="J2347" s="12" t="s">
        <v>9926</v>
      </c>
      <c r="K2347" s="12"/>
      <c r="L2347" s="12" t="s">
        <v>12071</v>
      </c>
      <c r="M2347" s="12" t="s">
        <v>12072</v>
      </c>
    </row>
    <row r="2348" spans="1:13" ht="52.8">
      <c r="A2348" s="21" t="s">
        <v>7932</v>
      </c>
      <c r="B2348" s="21" t="s">
        <v>7933</v>
      </c>
      <c r="C2348" s="21" t="s">
        <v>7934</v>
      </c>
      <c r="D2348" s="21" t="s">
        <v>71</v>
      </c>
      <c r="E2348" s="22" t="s">
        <v>7935</v>
      </c>
      <c r="F2348" s="22" t="s">
        <v>7933</v>
      </c>
      <c r="G2348" s="21" t="s">
        <v>7936</v>
      </c>
      <c r="H2348" s="21" t="s">
        <v>7937</v>
      </c>
      <c r="I2348" s="12" t="s">
        <v>8598</v>
      </c>
      <c r="J2348" s="12" t="s">
        <v>9927</v>
      </c>
      <c r="K2348" s="12"/>
      <c r="L2348" s="12" t="s">
        <v>12073</v>
      </c>
      <c r="M2348" s="12" t="s">
        <v>12074</v>
      </c>
    </row>
    <row r="2349" spans="1:13" ht="52.8">
      <c r="A2349" s="21" t="s">
        <v>7932</v>
      </c>
      <c r="B2349" s="21" t="s">
        <v>7933</v>
      </c>
      <c r="C2349" s="21" t="s">
        <v>7934</v>
      </c>
      <c r="D2349" s="21" t="s">
        <v>71</v>
      </c>
      <c r="E2349" s="22" t="s">
        <v>7935</v>
      </c>
      <c r="F2349" s="22" t="s">
        <v>7933</v>
      </c>
      <c r="G2349" s="21" t="s">
        <v>7936</v>
      </c>
      <c r="H2349" s="21" t="s">
        <v>7937</v>
      </c>
      <c r="I2349" s="12" t="s">
        <v>8599</v>
      </c>
      <c r="J2349" s="12" t="s">
        <v>9928</v>
      </c>
      <c r="K2349" s="12" t="s">
        <v>12075</v>
      </c>
      <c r="L2349" s="12" t="s">
        <v>12076</v>
      </c>
      <c r="M2349" s="12" t="s">
        <v>12077</v>
      </c>
    </row>
    <row r="2350" spans="1:13" ht="52.8">
      <c r="A2350" s="21" t="s">
        <v>7932</v>
      </c>
      <c r="B2350" s="21" t="s">
        <v>7933</v>
      </c>
      <c r="C2350" s="21" t="s">
        <v>7934</v>
      </c>
      <c r="D2350" s="21" t="s">
        <v>71</v>
      </c>
      <c r="E2350" s="22" t="s">
        <v>7935</v>
      </c>
      <c r="F2350" s="22" t="s">
        <v>7933</v>
      </c>
      <c r="G2350" s="21" t="s">
        <v>7936</v>
      </c>
      <c r="H2350" s="21" t="s">
        <v>7937</v>
      </c>
      <c r="I2350" s="12" t="s">
        <v>8600</v>
      </c>
      <c r="J2350" s="12" t="s">
        <v>9929</v>
      </c>
      <c r="K2350" s="12" t="s">
        <v>12078</v>
      </c>
      <c r="L2350" s="12" t="s">
        <v>12079</v>
      </c>
      <c r="M2350" s="12" t="s">
        <v>12080</v>
      </c>
    </row>
    <row r="2351" spans="1:13" ht="52.8">
      <c r="A2351" s="21" t="s">
        <v>7932</v>
      </c>
      <c r="B2351" s="21" t="s">
        <v>7933</v>
      </c>
      <c r="C2351" s="21" t="s">
        <v>7934</v>
      </c>
      <c r="D2351" s="21" t="s">
        <v>71</v>
      </c>
      <c r="E2351" s="22" t="s">
        <v>7935</v>
      </c>
      <c r="F2351" s="22" t="s">
        <v>7933</v>
      </c>
      <c r="G2351" s="21" t="s">
        <v>7936</v>
      </c>
      <c r="H2351" s="21" t="s">
        <v>7937</v>
      </c>
      <c r="I2351" s="12" t="s">
        <v>8601</v>
      </c>
      <c r="J2351" s="12" t="s">
        <v>9930</v>
      </c>
      <c r="K2351" s="12" t="s">
        <v>12081</v>
      </c>
      <c r="L2351" s="12" t="s">
        <v>12082</v>
      </c>
      <c r="M2351" s="12" t="s">
        <v>12083</v>
      </c>
    </row>
    <row r="2352" spans="1:13" ht="52.8">
      <c r="A2352" s="21" t="s">
        <v>7932</v>
      </c>
      <c r="B2352" s="21" t="s">
        <v>7933</v>
      </c>
      <c r="C2352" s="21" t="s">
        <v>7934</v>
      </c>
      <c r="D2352" s="21" t="s">
        <v>71</v>
      </c>
      <c r="E2352" s="22" t="s">
        <v>7935</v>
      </c>
      <c r="F2352" s="22" t="s">
        <v>7933</v>
      </c>
      <c r="G2352" s="21" t="s">
        <v>7936</v>
      </c>
      <c r="H2352" s="21" t="s">
        <v>7937</v>
      </c>
      <c r="I2352" s="12" t="s">
        <v>8602</v>
      </c>
      <c r="J2352" s="12" t="s">
        <v>9931</v>
      </c>
      <c r="K2352" s="12" t="s">
        <v>12084</v>
      </c>
      <c r="L2352" s="12" t="s">
        <v>12085</v>
      </c>
      <c r="M2352" s="12" t="s">
        <v>12086</v>
      </c>
    </row>
    <row r="2353" spans="1:13" ht="52.8">
      <c r="A2353" s="21" t="s">
        <v>7932</v>
      </c>
      <c r="B2353" s="21" t="s">
        <v>7933</v>
      </c>
      <c r="C2353" s="21" t="s">
        <v>7934</v>
      </c>
      <c r="D2353" s="21" t="s">
        <v>71</v>
      </c>
      <c r="E2353" s="22" t="s">
        <v>7935</v>
      </c>
      <c r="F2353" s="22" t="s">
        <v>7933</v>
      </c>
      <c r="G2353" s="21" t="s">
        <v>7936</v>
      </c>
      <c r="H2353" s="21" t="s">
        <v>7937</v>
      </c>
      <c r="I2353" s="12" t="s">
        <v>8603</v>
      </c>
      <c r="J2353" s="12" t="s">
        <v>9932</v>
      </c>
      <c r="K2353" s="12" t="s">
        <v>12087</v>
      </c>
      <c r="L2353" s="12" t="s">
        <v>12088</v>
      </c>
      <c r="M2353" s="12" t="s">
        <v>12089</v>
      </c>
    </row>
    <row r="2354" spans="1:13" ht="52.8">
      <c r="A2354" s="21" t="s">
        <v>7932</v>
      </c>
      <c r="B2354" s="21" t="s">
        <v>7933</v>
      </c>
      <c r="C2354" s="21" t="s">
        <v>7934</v>
      </c>
      <c r="D2354" s="21" t="s">
        <v>71</v>
      </c>
      <c r="E2354" s="22" t="s">
        <v>7935</v>
      </c>
      <c r="F2354" s="22" t="s">
        <v>7933</v>
      </c>
      <c r="G2354" s="21" t="s">
        <v>7936</v>
      </c>
      <c r="H2354" s="21" t="s">
        <v>7937</v>
      </c>
      <c r="I2354" s="12" t="s">
        <v>8604</v>
      </c>
      <c r="J2354" s="12" t="s">
        <v>9933</v>
      </c>
      <c r="K2354" s="12"/>
      <c r="L2354" s="12" t="s">
        <v>12090</v>
      </c>
      <c r="M2354" s="12" t="s">
        <v>12091</v>
      </c>
    </row>
    <row r="2355" spans="1:13" ht="52.8">
      <c r="A2355" s="21" t="s">
        <v>7932</v>
      </c>
      <c r="B2355" s="21" t="s">
        <v>7933</v>
      </c>
      <c r="C2355" s="21" t="s">
        <v>7934</v>
      </c>
      <c r="D2355" s="21" t="s">
        <v>71</v>
      </c>
      <c r="E2355" s="22" t="s">
        <v>7935</v>
      </c>
      <c r="F2355" s="22" t="s">
        <v>7933</v>
      </c>
      <c r="G2355" s="21" t="s">
        <v>7936</v>
      </c>
      <c r="H2355" s="21" t="s">
        <v>7937</v>
      </c>
      <c r="I2355" s="12" t="s">
        <v>8605</v>
      </c>
      <c r="J2355" s="12" t="s">
        <v>9934</v>
      </c>
      <c r="K2355" s="12"/>
      <c r="L2355" s="12" t="s">
        <v>12092</v>
      </c>
      <c r="M2355" s="12" t="s">
        <v>12093</v>
      </c>
    </row>
    <row r="2356" spans="1:13" ht="52.8">
      <c r="A2356" s="21" t="s">
        <v>7932</v>
      </c>
      <c r="B2356" s="21" t="s">
        <v>7933</v>
      </c>
      <c r="C2356" s="21" t="s">
        <v>7934</v>
      </c>
      <c r="D2356" s="21" t="s">
        <v>71</v>
      </c>
      <c r="E2356" s="22" t="s">
        <v>7935</v>
      </c>
      <c r="F2356" s="22" t="s">
        <v>7933</v>
      </c>
      <c r="G2356" s="21" t="s">
        <v>7936</v>
      </c>
      <c r="H2356" s="21" t="s">
        <v>7937</v>
      </c>
      <c r="I2356" s="12" t="s">
        <v>8606</v>
      </c>
      <c r="J2356" s="12" t="s">
        <v>9935</v>
      </c>
      <c r="K2356" s="12" t="s">
        <v>12094</v>
      </c>
      <c r="L2356" s="12" t="s">
        <v>12095</v>
      </c>
      <c r="M2356" s="12" t="s">
        <v>12096</v>
      </c>
    </row>
    <row r="2357" spans="1:13" ht="52.8">
      <c r="A2357" s="21" t="s">
        <v>7932</v>
      </c>
      <c r="B2357" s="21" t="s">
        <v>7933</v>
      </c>
      <c r="C2357" s="21" t="s">
        <v>7934</v>
      </c>
      <c r="D2357" s="21" t="s">
        <v>71</v>
      </c>
      <c r="E2357" s="22" t="s">
        <v>7935</v>
      </c>
      <c r="F2357" s="22" t="s">
        <v>7933</v>
      </c>
      <c r="G2357" s="21" t="s">
        <v>7936</v>
      </c>
      <c r="H2357" s="21" t="s">
        <v>7937</v>
      </c>
      <c r="I2357" s="12" t="s">
        <v>8607</v>
      </c>
      <c r="J2357" s="12" t="s">
        <v>9936</v>
      </c>
      <c r="K2357" s="12" t="s">
        <v>12097</v>
      </c>
      <c r="L2357" s="12" t="s">
        <v>12098</v>
      </c>
      <c r="M2357" s="12" t="s">
        <v>12099</v>
      </c>
    </row>
    <row r="2358" spans="1:13" ht="52.8">
      <c r="A2358" s="21" t="s">
        <v>7932</v>
      </c>
      <c r="B2358" s="21" t="s">
        <v>7933</v>
      </c>
      <c r="C2358" s="21" t="s">
        <v>7934</v>
      </c>
      <c r="D2358" s="21" t="s">
        <v>71</v>
      </c>
      <c r="E2358" s="22" t="s">
        <v>7935</v>
      </c>
      <c r="F2358" s="22" t="s">
        <v>7933</v>
      </c>
      <c r="G2358" s="21" t="s">
        <v>7936</v>
      </c>
      <c r="H2358" s="21" t="s">
        <v>7937</v>
      </c>
      <c r="I2358" s="12" t="s">
        <v>8608</v>
      </c>
      <c r="J2358" s="12" t="s">
        <v>9937</v>
      </c>
      <c r="K2358" s="12" t="s">
        <v>12100</v>
      </c>
      <c r="L2358" s="12" t="s">
        <v>12101</v>
      </c>
      <c r="M2358" s="12" t="s">
        <v>12102</v>
      </c>
    </row>
    <row r="2359" spans="1:13" ht="52.8">
      <c r="A2359" s="21" t="s">
        <v>7932</v>
      </c>
      <c r="B2359" s="21" t="s">
        <v>7933</v>
      </c>
      <c r="C2359" s="21" t="s">
        <v>7934</v>
      </c>
      <c r="D2359" s="21" t="s">
        <v>71</v>
      </c>
      <c r="E2359" s="22" t="s">
        <v>7935</v>
      </c>
      <c r="F2359" s="22" t="s">
        <v>7933</v>
      </c>
      <c r="G2359" s="21" t="s">
        <v>7936</v>
      </c>
      <c r="H2359" s="21" t="s">
        <v>7937</v>
      </c>
      <c r="I2359" s="12" t="s">
        <v>8609</v>
      </c>
      <c r="J2359" s="12" t="s">
        <v>9938</v>
      </c>
      <c r="K2359" s="12" t="s">
        <v>12103</v>
      </c>
      <c r="L2359" s="12" t="s">
        <v>12104</v>
      </c>
      <c r="M2359" s="12" t="s">
        <v>12105</v>
      </c>
    </row>
    <row r="2360" spans="1:13" ht="52.8">
      <c r="A2360" s="21" t="s">
        <v>7932</v>
      </c>
      <c r="B2360" s="21" t="s">
        <v>7933</v>
      </c>
      <c r="C2360" s="21" t="s">
        <v>7934</v>
      </c>
      <c r="D2360" s="21" t="s">
        <v>71</v>
      </c>
      <c r="E2360" s="22" t="s">
        <v>7935</v>
      </c>
      <c r="F2360" s="22" t="s">
        <v>7933</v>
      </c>
      <c r="G2360" s="21" t="s">
        <v>7936</v>
      </c>
      <c r="H2360" s="21" t="s">
        <v>7937</v>
      </c>
      <c r="I2360" s="12" t="s">
        <v>8610</v>
      </c>
      <c r="J2360" s="12" t="s">
        <v>9939</v>
      </c>
      <c r="K2360" s="12"/>
      <c r="L2360" s="12" t="s">
        <v>12106</v>
      </c>
      <c r="M2360" s="12" t="s">
        <v>12107</v>
      </c>
    </row>
    <row r="2361" spans="1:13" ht="52.8">
      <c r="A2361" s="21" t="s">
        <v>7932</v>
      </c>
      <c r="B2361" s="21" t="s">
        <v>7933</v>
      </c>
      <c r="C2361" s="21" t="s">
        <v>7934</v>
      </c>
      <c r="D2361" s="21" t="s">
        <v>71</v>
      </c>
      <c r="E2361" s="22" t="s">
        <v>7935</v>
      </c>
      <c r="F2361" s="22" t="s">
        <v>7933</v>
      </c>
      <c r="G2361" s="21" t="s">
        <v>7936</v>
      </c>
      <c r="H2361" s="21" t="s">
        <v>7937</v>
      </c>
      <c r="I2361" s="12" t="s">
        <v>8611</v>
      </c>
      <c r="J2361" s="12" t="s">
        <v>9940</v>
      </c>
      <c r="K2361" s="12"/>
      <c r="L2361" s="12" t="s">
        <v>12108</v>
      </c>
      <c r="M2361" s="12" t="s">
        <v>12109</v>
      </c>
    </row>
    <row r="2362" spans="1:13" ht="52.8">
      <c r="A2362" s="21" t="s">
        <v>7932</v>
      </c>
      <c r="B2362" s="21" t="s">
        <v>7933</v>
      </c>
      <c r="C2362" s="21" t="s">
        <v>7934</v>
      </c>
      <c r="D2362" s="21" t="s">
        <v>71</v>
      </c>
      <c r="E2362" s="22" t="s">
        <v>7935</v>
      </c>
      <c r="F2362" s="22" t="s">
        <v>7933</v>
      </c>
      <c r="G2362" s="21" t="s">
        <v>7936</v>
      </c>
      <c r="H2362" s="21" t="s">
        <v>7937</v>
      </c>
      <c r="I2362" s="12" t="s">
        <v>8612</v>
      </c>
      <c r="J2362" s="12" t="s">
        <v>9941</v>
      </c>
      <c r="K2362" s="12"/>
      <c r="L2362" s="12" t="s">
        <v>12110</v>
      </c>
      <c r="M2362" s="12" t="s">
        <v>12111</v>
      </c>
    </row>
    <row r="2363" spans="1:13" ht="92.4">
      <c r="A2363" s="21" t="s">
        <v>7932</v>
      </c>
      <c r="B2363" s="21" t="s">
        <v>7933</v>
      </c>
      <c r="C2363" s="21" t="s">
        <v>7934</v>
      </c>
      <c r="D2363" s="21" t="s">
        <v>71</v>
      </c>
      <c r="E2363" s="22" t="s">
        <v>7935</v>
      </c>
      <c r="F2363" s="22" t="s">
        <v>7933</v>
      </c>
      <c r="G2363" s="21" t="s">
        <v>7936</v>
      </c>
      <c r="H2363" s="21" t="s">
        <v>7937</v>
      </c>
      <c r="I2363" s="12" t="s">
        <v>8613</v>
      </c>
      <c r="J2363" s="12" t="s">
        <v>9942</v>
      </c>
      <c r="K2363" s="12"/>
      <c r="L2363" s="12" t="s">
        <v>12112</v>
      </c>
      <c r="M2363" s="12" t="s">
        <v>12113</v>
      </c>
    </row>
    <row r="2364" spans="1:13" ht="52.8">
      <c r="A2364" s="21" t="s">
        <v>7932</v>
      </c>
      <c r="B2364" s="21" t="s">
        <v>7933</v>
      </c>
      <c r="C2364" s="21" t="s">
        <v>7934</v>
      </c>
      <c r="D2364" s="21" t="s">
        <v>71</v>
      </c>
      <c r="E2364" s="22" t="s">
        <v>7935</v>
      </c>
      <c r="F2364" s="22" t="s">
        <v>7933</v>
      </c>
      <c r="G2364" s="21" t="s">
        <v>7936</v>
      </c>
      <c r="H2364" s="21" t="s">
        <v>7937</v>
      </c>
      <c r="I2364" s="12" t="s">
        <v>8614</v>
      </c>
      <c r="J2364" s="12" t="s">
        <v>9943</v>
      </c>
      <c r="K2364" s="12"/>
      <c r="L2364" s="12" t="s">
        <v>12114</v>
      </c>
      <c r="M2364" s="12" t="s">
        <v>12115</v>
      </c>
    </row>
    <row r="2365" spans="1:13" ht="52.8">
      <c r="A2365" s="21" t="s">
        <v>7932</v>
      </c>
      <c r="B2365" s="21" t="s">
        <v>7933</v>
      </c>
      <c r="C2365" s="21" t="s">
        <v>7934</v>
      </c>
      <c r="D2365" s="21" t="s">
        <v>71</v>
      </c>
      <c r="E2365" s="22" t="s">
        <v>7935</v>
      </c>
      <c r="F2365" s="22" t="s">
        <v>7933</v>
      </c>
      <c r="G2365" s="21" t="s">
        <v>7936</v>
      </c>
      <c r="H2365" s="21" t="s">
        <v>7937</v>
      </c>
      <c r="I2365" s="12" t="s">
        <v>8615</v>
      </c>
      <c r="J2365" s="12" t="s">
        <v>9944</v>
      </c>
      <c r="K2365" s="12"/>
      <c r="L2365" s="12" t="s">
        <v>12116</v>
      </c>
      <c r="M2365" s="12" t="s">
        <v>12117</v>
      </c>
    </row>
    <row r="2366" spans="1:13" ht="52.8">
      <c r="A2366" s="21" t="s">
        <v>7932</v>
      </c>
      <c r="B2366" s="21" t="s">
        <v>7933</v>
      </c>
      <c r="C2366" s="21" t="s">
        <v>7934</v>
      </c>
      <c r="D2366" s="21" t="s">
        <v>71</v>
      </c>
      <c r="E2366" s="22" t="s">
        <v>7935</v>
      </c>
      <c r="F2366" s="22" t="s">
        <v>7933</v>
      </c>
      <c r="G2366" s="21" t="s">
        <v>7936</v>
      </c>
      <c r="H2366" s="21" t="s">
        <v>7937</v>
      </c>
      <c r="I2366" s="12" t="s">
        <v>8616</v>
      </c>
      <c r="J2366" s="12" t="s">
        <v>9945</v>
      </c>
      <c r="K2366" s="12"/>
      <c r="L2366" s="12" t="s">
        <v>12118</v>
      </c>
      <c r="M2366" s="12" t="s">
        <v>12119</v>
      </c>
    </row>
    <row r="2367" spans="1:13" ht="52.8">
      <c r="A2367" s="21" t="s">
        <v>7932</v>
      </c>
      <c r="B2367" s="21" t="s">
        <v>7933</v>
      </c>
      <c r="C2367" s="21" t="s">
        <v>7934</v>
      </c>
      <c r="D2367" s="21" t="s">
        <v>71</v>
      </c>
      <c r="E2367" s="22" t="s">
        <v>7935</v>
      </c>
      <c r="F2367" s="22" t="s">
        <v>7933</v>
      </c>
      <c r="G2367" s="21" t="s">
        <v>7936</v>
      </c>
      <c r="H2367" s="21" t="s">
        <v>7937</v>
      </c>
      <c r="I2367" s="12" t="s">
        <v>8617</v>
      </c>
      <c r="J2367" s="12" t="s">
        <v>9946</v>
      </c>
      <c r="K2367" s="12" t="s">
        <v>12120</v>
      </c>
      <c r="L2367" s="12" t="s">
        <v>12121</v>
      </c>
      <c r="M2367" s="12" t="s">
        <v>12120</v>
      </c>
    </row>
    <row r="2368" spans="1:13" ht="52.8">
      <c r="A2368" s="21" t="s">
        <v>7932</v>
      </c>
      <c r="B2368" s="21" t="s">
        <v>7933</v>
      </c>
      <c r="C2368" s="21" t="s">
        <v>7934</v>
      </c>
      <c r="D2368" s="21" t="s">
        <v>71</v>
      </c>
      <c r="E2368" s="22" t="s">
        <v>7935</v>
      </c>
      <c r="F2368" s="22" t="s">
        <v>7933</v>
      </c>
      <c r="G2368" s="21" t="s">
        <v>7936</v>
      </c>
      <c r="H2368" s="21" t="s">
        <v>7937</v>
      </c>
      <c r="I2368" s="12" t="s">
        <v>8618</v>
      </c>
      <c r="J2368" s="12" t="s">
        <v>9947</v>
      </c>
      <c r="K2368" s="12" t="s">
        <v>12122</v>
      </c>
      <c r="L2368" s="12" t="s">
        <v>12123</v>
      </c>
      <c r="M2368" s="12" t="s">
        <v>12122</v>
      </c>
    </row>
    <row r="2369" spans="1:13" ht="92.4">
      <c r="A2369" s="21" t="s">
        <v>7932</v>
      </c>
      <c r="B2369" s="21" t="s">
        <v>7933</v>
      </c>
      <c r="C2369" s="21" t="s">
        <v>7934</v>
      </c>
      <c r="D2369" s="21" t="s">
        <v>71</v>
      </c>
      <c r="E2369" s="22" t="s">
        <v>7935</v>
      </c>
      <c r="F2369" s="22" t="s">
        <v>7933</v>
      </c>
      <c r="G2369" s="21" t="s">
        <v>7936</v>
      </c>
      <c r="H2369" s="21" t="s">
        <v>7937</v>
      </c>
      <c r="I2369" s="12" t="s">
        <v>8619</v>
      </c>
      <c r="J2369" s="12" t="s">
        <v>9948</v>
      </c>
      <c r="K2369" s="12"/>
      <c r="L2369" s="12" t="s">
        <v>12124</v>
      </c>
      <c r="M2369" s="12" t="s">
        <v>12125</v>
      </c>
    </row>
    <row r="2370" spans="1:13" ht="66">
      <c r="A2370" s="21" t="s">
        <v>7932</v>
      </c>
      <c r="B2370" s="21" t="s">
        <v>7933</v>
      </c>
      <c r="C2370" s="21" t="s">
        <v>7934</v>
      </c>
      <c r="D2370" s="21" t="s">
        <v>71</v>
      </c>
      <c r="E2370" s="22" t="s">
        <v>7935</v>
      </c>
      <c r="F2370" s="22" t="s">
        <v>7933</v>
      </c>
      <c r="G2370" s="21" t="s">
        <v>7936</v>
      </c>
      <c r="H2370" s="21" t="s">
        <v>7937</v>
      </c>
      <c r="I2370" s="12" t="s">
        <v>8620</v>
      </c>
      <c r="J2370" s="12" t="s">
        <v>9949</v>
      </c>
      <c r="K2370" s="12"/>
      <c r="L2370" s="12" t="s">
        <v>12126</v>
      </c>
      <c r="M2370" s="12" t="s">
        <v>12127</v>
      </c>
    </row>
    <row r="2371" spans="1:13" ht="52.8">
      <c r="A2371" s="21" t="s">
        <v>7932</v>
      </c>
      <c r="B2371" s="21" t="s">
        <v>7933</v>
      </c>
      <c r="C2371" s="21" t="s">
        <v>7934</v>
      </c>
      <c r="D2371" s="21" t="s">
        <v>71</v>
      </c>
      <c r="E2371" s="22" t="s">
        <v>7935</v>
      </c>
      <c r="F2371" s="22" t="s">
        <v>7933</v>
      </c>
      <c r="G2371" s="21" t="s">
        <v>7936</v>
      </c>
      <c r="H2371" s="21" t="s">
        <v>7937</v>
      </c>
      <c r="I2371" s="12" t="s">
        <v>8621</v>
      </c>
      <c r="J2371" s="12" t="s">
        <v>9950</v>
      </c>
      <c r="K2371" s="12" t="s">
        <v>12128</v>
      </c>
      <c r="L2371" s="12" t="s">
        <v>12129</v>
      </c>
      <c r="M2371" s="12" t="s">
        <v>12128</v>
      </c>
    </row>
    <row r="2372" spans="1:13" ht="52.8">
      <c r="A2372" s="21" t="s">
        <v>7932</v>
      </c>
      <c r="B2372" s="21" t="s">
        <v>7933</v>
      </c>
      <c r="C2372" s="21" t="s">
        <v>7934</v>
      </c>
      <c r="D2372" s="21" t="s">
        <v>71</v>
      </c>
      <c r="E2372" s="22" t="s">
        <v>7935</v>
      </c>
      <c r="F2372" s="22" t="s">
        <v>7933</v>
      </c>
      <c r="G2372" s="21" t="s">
        <v>7936</v>
      </c>
      <c r="H2372" s="21" t="s">
        <v>7937</v>
      </c>
      <c r="I2372" s="12" t="s">
        <v>8622</v>
      </c>
      <c r="J2372" s="12" t="s">
        <v>9951</v>
      </c>
      <c r="K2372" s="12"/>
      <c r="L2372" s="12" t="s">
        <v>12130</v>
      </c>
      <c r="M2372" s="12" t="s">
        <v>12131</v>
      </c>
    </row>
    <row r="2373" spans="1:13" ht="52.8">
      <c r="A2373" s="21" t="s">
        <v>7932</v>
      </c>
      <c r="B2373" s="21" t="s">
        <v>7933</v>
      </c>
      <c r="C2373" s="21" t="s">
        <v>7934</v>
      </c>
      <c r="D2373" s="21" t="s">
        <v>71</v>
      </c>
      <c r="E2373" s="22" t="s">
        <v>7935</v>
      </c>
      <c r="F2373" s="22" t="s">
        <v>7933</v>
      </c>
      <c r="G2373" s="21" t="s">
        <v>7936</v>
      </c>
      <c r="H2373" s="21" t="s">
        <v>7937</v>
      </c>
      <c r="I2373" s="12" t="s">
        <v>8623</v>
      </c>
      <c r="J2373" s="12" t="s">
        <v>9952</v>
      </c>
      <c r="K2373" s="12"/>
      <c r="L2373" s="12" t="s">
        <v>12132</v>
      </c>
      <c r="M2373" s="12" t="s">
        <v>12133</v>
      </c>
    </row>
    <row r="2374" spans="1:13" ht="52.8">
      <c r="A2374" s="21" t="s">
        <v>7932</v>
      </c>
      <c r="B2374" s="21" t="s">
        <v>7933</v>
      </c>
      <c r="C2374" s="21" t="s">
        <v>7934</v>
      </c>
      <c r="D2374" s="21" t="s">
        <v>71</v>
      </c>
      <c r="E2374" s="22" t="s">
        <v>7935</v>
      </c>
      <c r="F2374" s="22" t="s">
        <v>7933</v>
      </c>
      <c r="G2374" s="21" t="s">
        <v>7936</v>
      </c>
      <c r="H2374" s="21" t="s">
        <v>7937</v>
      </c>
      <c r="I2374" s="12" t="s">
        <v>8624</v>
      </c>
      <c r="J2374" s="12" t="s">
        <v>9953</v>
      </c>
      <c r="K2374" s="12" t="s">
        <v>12134</v>
      </c>
      <c r="L2374" s="12" t="s">
        <v>12135</v>
      </c>
      <c r="M2374" s="12" t="s">
        <v>12134</v>
      </c>
    </row>
    <row r="2375" spans="1:13" ht="52.8">
      <c r="A2375" s="21" t="s">
        <v>7932</v>
      </c>
      <c r="B2375" s="21" t="s">
        <v>7933</v>
      </c>
      <c r="C2375" s="21" t="s">
        <v>7934</v>
      </c>
      <c r="D2375" s="21" t="s">
        <v>71</v>
      </c>
      <c r="E2375" s="22" t="s">
        <v>7935</v>
      </c>
      <c r="F2375" s="22" t="s">
        <v>7933</v>
      </c>
      <c r="G2375" s="21" t="s">
        <v>7936</v>
      </c>
      <c r="H2375" s="21" t="s">
        <v>7937</v>
      </c>
      <c r="I2375" s="12" t="s">
        <v>8625</v>
      </c>
      <c r="J2375" s="12" t="s">
        <v>9954</v>
      </c>
      <c r="K2375" s="12" t="s">
        <v>12136</v>
      </c>
      <c r="L2375" s="12" t="s">
        <v>12137</v>
      </c>
      <c r="M2375" s="12" t="s">
        <v>12136</v>
      </c>
    </row>
    <row r="2376" spans="1:13" ht="52.8">
      <c r="A2376" s="21" t="s">
        <v>7932</v>
      </c>
      <c r="B2376" s="21" t="s">
        <v>7933</v>
      </c>
      <c r="C2376" s="21" t="s">
        <v>7934</v>
      </c>
      <c r="D2376" s="21" t="s">
        <v>71</v>
      </c>
      <c r="E2376" s="22" t="s">
        <v>7935</v>
      </c>
      <c r="F2376" s="22" t="s">
        <v>7933</v>
      </c>
      <c r="G2376" s="21" t="s">
        <v>7936</v>
      </c>
      <c r="H2376" s="21" t="s">
        <v>7937</v>
      </c>
      <c r="I2376" s="12" t="s">
        <v>8626</v>
      </c>
      <c r="J2376" s="12" t="s">
        <v>9955</v>
      </c>
      <c r="K2376" s="12" t="s">
        <v>12138</v>
      </c>
      <c r="L2376" s="12" t="s">
        <v>12139</v>
      </c>
      <c r="M2376" s="12" t="s">
        <v>12138</v>
      </c>
    </row>
    <row r="2377" spans="1:13" ht="52.8">
      <c r="A2377" s="21" t="s">
        <v>7932</v>
      </c>
      <c r="B2377" s="21" t="s">
        <v>7933</v>
      </c>
      <c r="C2377" s="21" t="s">
        <v>7934</v>
      </c>
      <c r="D2377" s="21" t="s">
        <v>71</v>
      </c>
      <c r="E2377" s="22" t="s">
        <v>7935</v>
      </c>
      <c r="F2377" s="22" t="s">
        <v>7933</v>
      </c>
      <c r="G2377" s="21" t="s">
        <v>7936</v>
      </c>
      <c r="H2377" s="21" t="s">
        <v>7937</v>
      </c>
      <c r="I2377" s="12" t="s">
        <v>8627</v>
      </c>
      <c r="J2377" s="12" t="s">
        <v>9956</v>
      </c>
      <c r="K2377" s="12" t="s">
        <v>12140</v>
      </c>
      <c r="L2377" s="12" t="s">
        <v>12141</v>
      </c>
      <c r="M2377" s="12" t="s">
        <v>12140</v>
      </c>
    </row>
    <row r="2378" spans="1:13" ht="52.8">
      <c r="A2378" s="21" t="s">
        <v>7932</v>
      </c>
      <c r="B2378" s="21" t="s">
        <v>7933</v>
      </c>
      <c r="C2378" s="21" t="s">
        <v>7934</v>
      </c>
      <c r="D2378" s="21" t="s">
        <v>71</v>
      </c>
      <c r="E2378" s="22" t="s">
        <v>7935</v>
      </c>
      <c r="F2378" s="22" t="s">
        <v>7933</v>
      </c>
      <c r="G2378" s="21" t="s">
        <v>7936</v>
      </c>
      <c r="H2378" s="21" t="s">
        <v>7937</v>
      </c>
      <c r="I2378" s="12" t="s">
        <v>8628</v>
      </c>
      <c r="J2378" s="12" t="s">
        <v>9957</v>
      </c>
      <c r="K2378" s="12"/>
      <c r="L2378" s="12" t="s">
        <v>12142</v>
      </c>
      <c r="M2378" s="12" t="s">
        <v>12143</v>
      </c>
    </row>
    <row r="2379" spans="1:13" ht="52.8">
      <c r="A2379" s="21" t="s">
        <v>7932</v>
      </c>
      <c r="B2379" s="21" t="s">
        <v>7933</v>
      </c>
      <c r="C2379" s="21" t="s">
        <v>7934</v>
      </c>
      <c r="D2379" s="21" t="s">
        <v>71</v>
      </c>
      <c r="E2379" s="22" t="s">
        <v>7935</v>
      </c>
      <c r="F2379" s="22" t="s">
        <v>7933</v>
      </c>
      <c r="G2379" s="21" t="s">
        <v>7936</v>
      </c>
      <c r="H2379" s="21" t="s">
        <v>7937</v>
      </c>
      <c r="I2379" s="12" t="s">
        <v>8629</v>
      </c>
      <c r="J2379" s="12" t="s">
        <v>9958</v>
      </c>
      <c r="K2379" s="12"/>
      <c r="L2379" s="12" t="s">
        <v>12144</v>
      </c>
      <c r="M2379" s="12" t="s">
        <v>12145</v>
      </c>
    </row>
    <row r="2380" spans="1:13" ht="52.8">
      <c r="A2380" s="21" t="s">
        <v>7932</v>
      </c>
      <c r="B2380" s="21" t="s">
        <v>7933</v>
      </c>
      <c r="C2380" s="21" t="s">
        <v>7934</v>
      </c>
      <c r="D2380" s="21" t="s">
        <v>71</v>
      </c>
      <c r="E2380" s="22" t="s">
        <v>7935</v>
      </c>
      <c r="F2380" s="22" t="s">
        <v>7933</v>
      </c>
      <c r="G2380" s="21" t="s">
        <v>7936</v>
      </c>
      <c r="H2380" s="21" t="s">
        <v>7937</v>
      </c>
      <c r="I2380" s="12" t="s">
        <v>8630</v>
      </c>
      <c r="J2380" s="12" t="s">
        <v>9959</v>
      </c>
      <c r="K2380" s="12"/>
      <c r="L2380" s="12" t="s">
        <v>12146</v>
      </c>
      <c r="M2380" s="12" t="s">
        <v>12147</v>
      </c>
    </row>
    <row r="2381" spans="1:13" ht="52.8">
      <c r="A2381" s="21" t="s">
        <v>7932</v>
      </c>
      <c r="B2381" s="21" t="s">
        <v>7933</v>
      </c>
      <c r="C2381" s="21" t="s">
        <v>7934</v>
      </c>
      <c r="D2381" s="21" t="s">
        <v>71</v>
      </c>
      <c r="E2381" s="22" t="s">
        <v>7935</v>
      </c>
      <c r="F2381" s="22" t="s">
        <v>7933</v>
      </c>
      <c r="G2381" s="21" t="s">
        <v>7936</v>
      </c>
      <c r="H2381" s="21" t="s">
        <v>7937</v>
      </c>
      <c r="I2381" s="12" t="s">
        <v>8631</v>
      </c>
      <c r="J2381" s="12" t="s">
        <v>9960</v>
      </c>
      <c r="K2381" s="12"/>
      <c r="L2381" s="12" t="s">
        <v>12148</v>
      </c>
      <c r="M2381" s="12" t="s">
        <v>12149</v>
      </c>
    </row>
    <row r="2382" spans="1:13" ht="52.8">
      <c r="A2382" s="21" t="s">
        <v>7932</v>
      </c>
      <c r="B2382" s="21" t="s">
        <v>7933</v>
      </c>
      <c r="C2382" s="21" t="s">
        <v>7934</v>
      </c>
      <c r="D2382" s="21" t="s">
        <v>71</v>
      </c>
      <c r="E2382" s="22" t="s">
        <v>7935</v>
      </c>
      <c r="F2382" s="22" t="s">
        <v>7933</v>
      </c>
      <c r="G2382" s="21" t="s">
        <v>7936</v>
      </c>
      <c r="H2382" s="21" t="s">
        <v>7937</v>
      </c>
      <c r="I2382" s="12" t="s">
        <v>8632</v>
      </c>
      <c r="J2382" s="12" t="s">
        <v>9961</v>
      </c>
      <c r="K2382" s="12"/>
      <c r="L2382" s="12" t="s">
        <v>12150</v>
      </c>
      <c r="M2382" s="12" t="s">
        <v>12151</v>
      </c>
    </row>
    <row r="2383" spans="1:13" ht="52.8">
      <c r="A2383" s="21" t="s">
        <v>7932</v>
      </c>
      <c r="B2383" s="21" t="s">
        <v>7933</v>
      </c>
      <c r="C2383" s="21" t="s">
        <v>7934</v>
      </c>
      <c r="D2383" s="21" t="s">
        <v>71</v>
      </c>
      <c r="E2383" s="22" t="s">
        <v>7935</v>
      </c>
      <c r="F2383" s="22" t="s">
        <v>7933</v>
      </c>
      <c r="G2383" s="21" t="s">
        <v>7936</v>
      </c>
      <c r="H2383" s="21" t="s">
        <v>7937</v>
      </c>
      <c r="I2383" s="12" t="s">
        <v>8633</v>
      </c>
      <c r="J2383" s="12" t="s">
        <v>9962</v>
      </c>
      <c r="K2383" s="12"/>
      <c r="L2383" s="12" t="s">
        <v>12152</v>
      </c>
      <c r="M2383" s="12" t="s">
        <v>12153</v>
      </c>
    </row>
    <row r="2384" spans="1:13" ht="52.8">
      <c r="A2384" s="21" t="s">
        <v>7932</v>
      </c>
      <c r="B2384" s="21" t="s">
        <v>7933</v>
      </c>
      <c r="C2384" s="21" t="s">
        <v>7934</v>
      </c>
      <c r="D2384" s="21" t="s">
        <v>71</v>
      </c>
      <c r="E2384" s="22" t="s">
        <v>7935</v>
      </c>
      <c r="F2384" s="22" t="s">
        <v>7933</v>
      </c>
      <c r="G2384" s="21" t="s">
        <v>7936</v>
      </c>
      <c r="H2384" s="21" t="s">
        <v>7937</v>
      </c>
      <c r="I2384" s="12" t="s">
        <v>8634</v>
      </c>
      <c r="J2384" s="12" t="s">
        <v>9963</v>
      </c>
      <c r="K2384" s="12"/>
      <c r="L2384" s="12" t="s">
        <v>12154</v>
      </c>
      <c r="M2384" s="12" t="s">
        <v>12155</v>
      </c>
    </row>
    <row r="2385" spans="1:13" ht="66">
      <c r="A2385" s="21" t="s">
        <v>7932</v>
      </c>
      <c r="B2385" s="21" t="s">
        <v>7933</v>
      </c>
      <c r="C2385" s="21" t="s">
        <v>7934</v>
      </c>
      <c r="D2385" s="21" t="s">
        <v>71</v>
      </c>
      <c r="E2385" s="22" t="s">
        <v>7935</v>
      </c>
      <c r="F2385" s="22" t="s">
        <v>7933</v>
      </c>
      <c r="G2385" s="21" t="s">
        <v>7936</v>
      </c>
      <c r="H2385" s="21" t="s">
        <v>7937</v>
      </c>
      <c r="I2385" s="12" t="s">
        <v>8635</v>
      </c>
      <c r="J2385" s="12" t="s">
        <v>9964</v>
      </c>
      <c r="K2385" s="12"/>
      <c r="L2385" s="12" t="s">
        <v>12156</v>
      </c>
      <c r="M2385" s="12" t="s">
        <v>12157</v>
      </c>
    </row>
    <row r="2386" spans="1:13" ht="66">
      <c r="A2386" s="21" t="s">
        <v>7932</v>
      </c>
      <c r="B2386" s="21" t="s">
        <v>7933</v>
      </c>
      <c r="C2386" s="21" t="s">
        <v>7934</v>
      </c>
      <c r="D2386" s="21" t="s">
        <v>71</v>
      </c>
      <c r="E2386" s="22" t="s">
        <v>7935</v>
      </c>
      <c r="F2386" s="22" t="s">
        <v>7933</v>
      </c>
      <c r="G2386" s="21" t="s">
        <v>7936</v>
      </c>
      <c r="H2386" s="21" t="s">
        <v>7937</v>
      </c>
      <c r="I2386" s="12" t="s">
        <v>8636</v>
      </c>
      <c r="J2386" s="12" t="s">
        <v>9965</v>
      </c>
      <c r="K2386" s="12"/>
      <c r="L2386" s="12" t="s">
        <v>12158</v>
      </c>
      <c r="M2386" s="12" t="s">
        <v>12159</v>
      </c>
    </row>
    <row r="2387" spans="1:13" ht="52.8">
      <c r="A2387" s="21" t="s">
        <v>7932</v>
      </c>
      <c r="B2387" s="21" t="s">
        <v>7933</v>
      </c>
      <c r="C2387" s="21" t="s">
        <v>7934</v>
      </c>
      <c r="D2387" s="21" t="s">
        <v>71</v>
      </c>
      <c r="E2387" s="22" t="s">
        <v>7935</v>
      </c>
      <c r="F2387" s="22" t="s">
        <v>7933</v>
      </c>
      <c r="G2387" s="21" t="s">
        <v>7936</v>
      </c>
      <c r="H2387" s="21" t="s">
        <v>7937</v>
      </c>
      <c r="I2387" s="12" t="s">
        <v>8637</v>
      </c>
      <c r="J2387" s="12" t="s">
        <v>9966</v>
      </c>
      <c r="K2387" s="12" t="s">
        <v>12160</v>
      </c>
      <c r="L2387" s="12" t="s">
        <v>12161</v>
      </c>
      <c r="M2387" s="12" t="s">
        <v>12160</v>
      </c>
    </row>
    <row r="2388" spans="1:13" ht="52.8">
      <c r="A2388" s="21" t="s">
        <v>7932</v>
      </c>
      <c r="B2388" s="21" t="s">
        <v>7933</v>
      </c>
      <c r="C2388" s="21" t="s">
        <v>7934</v>
      </c>
      <c r="D2388" s="21" t="s">
        <v>71</v>
      </c>
      <c r="E2388" s="22" t="s">
        <v>7935</v>
      </c>
      <c r="F2388" s="22" t="s">
        <v>7933</v>
      </c>
      <c r="G2388" s="21" t="s">
        <v>7936</v>
      </c>
      <c r="H2388" s="21" t="s">
        <v>7937</v>
      </c>
      <c r="I2388" s="12" t="s">
        <v>8638</v>
      </c>
      <c r="J2388" s="12" t="s">
        <v>9967</v>
      </c>
      <c r="K2388" s="12" t="s">
        <v>12162</v>
      </c>
      <c r="L2388" s="12" t="s">
        <v>12163</v>
      </c>
      <c r="M2388" s="12" t="s">
        <v>12162</v>
      </c>
    </row>
    <row r="2389" spans="1:13" ht="52.8">
      <c r="A2389" s="21" t="s">
        <v>7932</v>
      </c>
      <c r="B2389" s="21" t="s">
        <v>7933</v>
      </c>
      <c r="C2389" s="21" t="s">
        <v>7934</v>
      </c>
      <c r="D2389" s="21" t="s">
        <v>71</v>
      </c>
      <c r="E2389" s="22" t="s">
        <v>7935</v>
      </c>
      <c r="F2389" s="22" t="s">
        <v>7933</v>
      </c>
      <c r="G2389" s="21" t="s">
        <v>7936</v>
      </c>
      <c r="H2389" s="21" t="s">
        <v>7937</v>
      </c>
      <c r="I2389" s="12" t="s">
        <v>8639</v>
      </c>
      <c r="J2389" s="12" t="s">
        <v>9968</v>
      </c>
      <c r="K2389" s="12" t="s">
        <v>12164</v>
      </c>
      <c r="L2389" s="12" t="s">
        <v>12165</v>
      </c>
      <c r="M2389" s="12" t="s">
        <v>12164</v>
      </c>
    </row>
    <row r="2390" spans="1:13" ht="52.8">
      <c r="A2390" s="21" t="s">
        <v>7932</v>
      </c>
      <c r="B2390" s="21" t="s">
        <v>7933</v>
      </c>
      <c r="C2390" s="21" t="s">
        <v>7934</v>
      </c>
      <c r="D2390" s="21" t="s">
        <v>71</v>
      </c>
      <c r="E2390" s="22" t="s">
        <v>7935</v>
      </c>
      <c r="F2390" s="22" t="s">
        <v>7933</v>
      </c>
      <c r="G2390" s="21" t="s">
        <v>7936</v>
      </c>
      <c r="H2390" s="21" t="s">
        <v>7937</v>
      </c>
      <c r="I2390" s="12" t="s">
        <v>8640</v>
      </c>
      <c r="J2390" s="12" t="s">
        <v>9969</v>
      </c>
      <c r="K2390" s="12" t="s">
        <v>12166</v>
      </c>
      <c r="L2390" s="12" t="s">
        <v>12167</v>
      </c>
      <c r="M2390" s="12" t="s">
        <v>12166</v>
      </c>
    </row>
    <row r="2391" spans="1:13" ht="52.8">
      <c r="A2391" s="21" t="s">
        <v>7932</v>
      </c>
      <c r="B2391" s="21" t="s">
        <v>7933</v>
      </c>
      <c r="C2391" s="21" t="s">
        <v>7934</v>
      </c>
      <c r="D2391" s="21" t="s">
        <v>71</v>
      </c>
      <c r="E2391" s="22" t="s">
        <v>7935</v>
      </c>
      <c r="F2391" s="22" t="s">
        <v>7933</v>
      </c>
      <c r="G2391" s="21" t="s">
        <v>7936</v>
      </c>
      <c r="H2391" s="21" t="s">
        <v>7937</v>
      </c>
      <c r="I2391" s="12" t="s">
        <v>8641</v>
      </c>
      <c r="J2391" s="12" t="s">
        <v>9970</v>
      </c>
      <c r="K2391" s="12"/>
      <c r="L2391" s="12" t="s">
        <v>12168</v>
      </c>
      <c r="M2391" s="12" t="s">
        <v>12169</v>
      </c>
    </row>
    <row r="2392" spans="1:13" ht="52.8">
      <c r="A2392" s="21" t="s">
        <v>7932</v>
      </c>
      <c r="B2392" s="21" t="s">
        <v>7933</v>
      </c>
      <c r="C2392" s="21" t="s">
        <v>7934</v>
      </c>
      <c r="D2392" s="21" t="s">
        <v>71</v>
      </c>
      <c r="E2392" s="22" t="s">
        <v>7935</v>
      </c>
      <c r="F2392" s="22" t="s">
        <v>7933</v>
      </c>
      <c r="G2392" s="21" t="s">
        <v>7936</v>
      </c>
      <c r="H2392" s="21" t="s">
        <v>7937</v>
      </c>
      <c r="I2392" s="12" t="s">
        <v>8642</v>
      </c>
      <c r="J2392" s="12" t="s">
        <v>9971</v>
      </c>
      <c r="K2392" s="12"/>
      <c r="L2392" s="12" t="s">
        <v>12170</v>
      </c>
      <c r="M2392" s="12" t="s">
        <v>12171</v>
      </c>
    </row>
    <row r="2393" spans="1:13" ht="52.8">
      <c r="A2393" s="21" t="s">
        <v>7932</v>
      </c>
      <c r="B2393" s="21" t="s">
        <v>7933</v>
      </c>
      <c r="C2393" s="21" t="s">
        <v>7934</v>
      </c>
      <c r="D2393" s="21" t="s">
        <v>71</v>
      </c>
      <c r="E2393" s="22" t="s">
        <v>7935</v>
      </c>
      <c r="F2393" s="22" t="s">
        <v>7933</v>
      </c>
      <c r="G2393" s="21" t="s">
        <v>7936</v>
      </c>
      <c r="H2393" s="21" t="s">
        <v>7937</v>
      </c>
      <c r="I2393" s="12" t="s">
        <v>8643</v>
      </c>
      <c r="J2393" s="12" t="s">
        <v>9972</v>
      </c>
      <c r="K2393" s="12"/>
      <c r="L2393" s="12" t="s">
        <v>12172</v>
      </c>
      <c r="M2393" s="12" t="s">
        <v>12173</v>
      </c>
    </row>
    <row r="2394" spans="1:13" ht="52.8">
      <c r="A2394" s="21" t="s">
        <v>7932</v>
      </c>
      <c r="B2394" s="21" t="s">
        <v>7933</v>
      </c>
      <c r="C2394" s="21" t="s">
        <v>7934</v>
      </c>
      <c r="D2394" s="21" t="s">
        <v>71</v>
      </c>
      <c r="E2394" s="22" t="s">
        <v>7935</v>
      </c>
      <c r="F2394" s="22" t="s">
        <v>7933</v>
      </c>
      <c r="G2394" s="21" t="s">
        <v>7936</v>
      </c>
      <c r="H2394" s="21" t="s">
        <v>7937</v>
      </c>
      <c r="I2394" s="12" t="s">
        <v>8644</v>
      </c>
      <c r="J2394" s="12" t="s">
        <v>9973</v>
      </c>
      <c r="K2394" s="12"/>
      <c r="L2394" s="12" t="s">
        <v>12174</v>
      </c>
      <c r="M2394" s="12" t="s">
        <v>12175</v>
      </c>
    </row>
    <row r="2395" spans="1:13" ht="52.8">
      <c r="A2395" s="21" t="s">
        <v>7932</v>
      </c>
      <c r="B2395" s="21" t="s">
        <v>7933</v>
      </c>
      <c r="C2395" s="21" t="s">
        <v>7934</v>
      </c>
      <c r="D2395" s="21" t="s">
        <v>71</v>
      </c>
      <c r="E2395" s="22" t="s">
        <v>7935</v>
      </c>
      <c r="F2395" s="22" t="s">
        <v>7933</v>
      </c>
      <c r="G2395" s="21" t="s">
        <v>7936</v>
      </c>
      <c r="H2395" s="21" t="s">
        <v>7937</v>
      </c>
      <c r="I2395" s="12" t="s">
        <v>8645</v>
      </c>
      <c r="J2395" s="12" t="s">
        <v>9974</v>
      </c>
      <c r="K2395" s="12"/>
      <c r="L2395" s="12" t="s">
        <v>12176</v>
      </c>
      <c r="M2395" s="12" t="s">
        <v>12177</v>
      </c>
    </row>
    <row r="2396" spans="1:13" ht="52.8">
      <c r="A2396" s="21" t="s">
        <v>7932</v>
      </c>
      <c r="B2396" s="21" t="s">
        <v>7933</v>
      </c>
      <c r="C2396" s="21" t="s">
        <v>7934</v>
      </c>
      <c r="D2396" s="21" t="s">
        <v>71</v>
      </c>
      <c r="E2396" s="22" t="s">
        <v>7935</v>
      </c>
      <c r="F2396" s="22" t="s">
        <v>7933</v>
      </c>
      <c r="G2396" s="21" t="s">
        <v>7936</v>
      </c>
      <c r="H2396" s="21" t="s">
        <v>7937</v>
      </c>
      <c r="I2396" s="12" t="s">
        <v>8646</v>
      </c>
      <c r="J2396" s="12" t="s">
        <v>9975</v>
      </c>
      <c r="K2396" s="12"/>
      <c r="L2396" s="12" t="s">
        <v>12178</v>
      </c>
      <c r="M2396" s="12" t="s">
        <v>12179</v>
      </c>
    </row>
    <row r="2397" spans="1:13" ht="52.8">
      <c r="A2397" s="21" t="s">
        <v>7932</v>
      </c>
      <c r="B2397" s="21" t="s">
        <v>7933</v>
      </c>
      <c r="C2397" s="21" t="s">
        <v>7934</v>
      </c>
      <c r="D2397" s="21" t="s">
        <v>71</v>
      </c>
      <c r="E2397" s="22" t="s">
        <v>7935</v>
      </c>
      <c r="F2397" s="22" t="s">
        <v>7933</v>
      </c>
      <c r="G2397" s="21" t="s">
        <v>7936</v>
      </c>
      <c r="H2397" s="21" t="s">
        <v>7937</v>
      </c>
      <c r="I2397" s="12" t="s">
        <v>8647</v>
      </c>
      <c r="J2397" s="12" t="s">
        <v>9976</v>
      </c>
      <c r="K2397" s="12"/>
      <c r="L2397" s="12" t="s">
        <v>12180</v>
      </c>
      <c r="M2397" s="12" t="s">
        <v>12181</v>
      </c>
    </row>
    <row r="2398" spans="1:13" ht="52.8">
      <c r="A2398" s="21" t="s">
        <v>7932</v>
      </c>
      <c r="B2398" s="21" t="s">
        <v>7933</v>
      </c>
      <c r="C2398" s="21" t="s">
        <v>7934</v>
      </c>
      <c r="D2398" s="21" t="s">
        <v>71</v>
      </c>
      <c r="E2398" s="22" t="s">
        <v>7935</v>
      </c>
      <c r="F2398" s="22" t="s">
        <v>7933</v>
      </c>
      <c r="G2398" s="21" t="s">
        <v>7936</v>
      </c>
      <c r="H2398" s="21" t="s">
        <v>7937</v>
      </c>
      <c r="I2398" s="12" t="s">
        <v>8648</v>
      </c>
      <c r="J2398" s="12" t="s">
        <v>9977</v>
      </c>
      <c r="K2398" s="12"/>
      <c r="L2398" s="12" t="s">
        <v>12182</v>
      </c>
      <c r="M2398" s="12" t="s">
        <v>12183</v>
      </c>
    </row>
    <row r="2399" spans="1:13" ht="52.8">
      <c r="A2399" s="21" t="s">
        <v>7932</v>
      </c>
      <c r="B2399" s="21" t="s">
        <v>7933</v>
      </c>
      <c r="C2399" s="21" t="s">
        <v>7934</v>
      </c>
      <c r="D2399" s="21" t="s">
        <v>71</v>
      </c>
      <c r="E2399" s="22" t="s">
        <v>7935</v>
      </c>
      <c r="F2399" s="22" t="s">
        <v>7933</v>
      </c>
      <c r="G2399" s="21" t="s">
        <v>7936</v>
      </c>
      <c r="H2399" s="21" t="s">
        <v>7937</v>
      </c>
      <c r="I2399" s="12" t="s">
        <v>8649</v>
      </c>
      <c r="J2399" s="12" t="s">
        <v>9978</v>
      </c>
      <c r="K2399" s="12"/>
      <c r="L2399" s="12" t="s">
        <v>12184</v>
      </c>
      <c r="M2399" s="12" t="s">
        <v>12185</v>
      </c>
    </row>
    <row r="2400" spans="1:13" ht="52.8">
      <c r="A2400" s="21" t="s">
        <v>7932</v>
      </c>
      <c r="B2400" s="21" t="s">
        <v>7933</v>
      </c>
      <c r="C2400" s="21" t="s">
        <v>7934</v>
      </c>
      <c r="D2400" s="21" t="s">
        <v>71</v>
      </c>
      <c r="E2400" s="22" t="s">
        <v>7935</v>
      </c>
      <c r="F2400" s="22" t="s">
        <v>7933</v>
      </c>
      <c r="G2400" s="21" t="s">
        <v>7936</v>
      </c>
      <c r="H2400" s="21" t="s">
        <v>7937</v>
      </c>
      <c r="I2400" s="12" t="s">
        <v>8650</v>
      </c>
      <c r="J2400" s="12" t="s">
        <v>9979</v>
      </c>
      <c r="K2400" s="12"/>
      <c r="L2400" s="12" t="s">
        <v>12186</v>
      </c>
      <c r="M2400" s="12" t="s">
        <v>12187</v>
      </c>
    </row>
    <row r="2401" spans="1:13" ht="52.8">
      <c r="A2401" s="21" t="s">
        <v>7932</v>
      </c>
      <c r="B2401" s="21" t="s">
        <v>7933</v>
      </c>
      <c r="C2401" s="21" t="s">
        <v>7934</v>
      </c>
      <c r="D2401" s="21" t="s">
        <v>71</v>
      </c>
      <c r="E2401" s="22" t="s">
        <v>7935</v>
      </c>
      <c r="F2401" s="22" t="s">
        <v>7933</v>
      </c>
      <c r="G2401" s="21" t="s">
        <v>7936</v>
      </c>
      <c r="H2401" s="21" t="s">
        <v>7937</v>
      </c>
      <c r="I2401" s="12" t="s">
        <v>8651</v>
      </c>
      <c r="J2401" s="12" t="s">
        <v>9980</v>
      </c>
      <c r="K2401" s="12" t="s">
        <v>12188</v>
      </c>
      <c r="L2401" s="12" t="s">
        <v>12189</v>
      </c>
      <c r="M2401" s="12" t="s">
        <v>12188</v>
      </c>
    </row>
    <row r="2402" spans="1:13" ht="52.8">
      <c r="A2402" s="21" t="s">
        <v>7932</v>
      </c>
      <c r="B2402" s="21" t="s">
        <v>7933</v>
      </c>
      <c r="C2402" s="21" t="s">
        <v>7934</v>
      </c>
      <c r="D2402" s="21" t="s">
        <v>71</v>
      </c>
      <c r="E2402" s="22" t="s">
        <v>7935</v>
      </c>
      <c r="F2402" s="22" t="s">
        <v>7933</v>
      </c>
      <c r="G2402" s="21" t="s">
        <v>7936</v>
      </c>
      <c r="H2402" s="21" t="s">
        <v>7937</v>
      </c>
      <c r="I2402" s="12" t="s">
        <v>8652</v>
      </c>
      <c r="J2402" s="12" t="s">
        <v>9981</v>
      </c>
      <c r="K2402" s="12" t="s">
        <v>12190</v>
      </c>
      <c r="L2402" s="12" t="s">
        <v>12191</v>
      </c>
      <c r="M2402" s="12" t="s">
        <v>12192</v>
      </c>
    </row>
    <row r="2403" spans="1:13" ht="52.8">
      <c r="A2403" s="21" t="s">
        <v>7932</v>
      </c>
      <c r="B2403" s="21" t="s">
        <v>7933</v>
      </c>
      <c r="C2403" s="21" t="s">
        <v>7934</v>
      </c>
      <c r="D2403" s="21" t="s">
        <v>71</v>
      </c>
      <c r="E2403" s="22" t="s">
        <v>7935</v>
      </c>
      <c r="F2403" s="22" t="s">
        <v>7933</v>
      </c>
      <c r="G2403" s="21" t="s">
        <v>7936</v>
      </c>
      <c r="H2403" s="21" t="s">
        <v>7937</v>
      </c>
      <c r="I2403" s="12" t="s">
        <v>8653</v>
      </c>
      <c r="J2403" s="12" t="s">
        <v>9982</v>
      </c>
      <c r="K2403" s="12"/>
      <c r="L2403" s="12" t="s">
        <v>12193</v>
      </c>
      <c r="M2403" s="12" t="s">
        <v>12194</v>
      </c>
    </row>
    <row r="2404" spans="1:13" ht="52.8">
      <c r="A2404" s="21" t="s">
        <v>7932</v>
      </c>
      <c r="B2404" s="21" t="s">
        <v>7933</v>
      </c>
      <c r="C2404" s="21" t="s">
        <v>7934</v>
      </c>
      <c r="D2404" s="21" t="s">
        <v>71</v>
      </c>
      <c r="E2404" s="22" t="s">
        <v>7935</v>
      </c>
      <c r="F2404" s="22" t="s">
        <v>7933</v>
      </c>
      <c r="G2404" s="21" t="s">
        <v>7936</v>
      </c>
      <c r="H2404" s="21" t="s">
        <v>7937</v>
      </c>
      <c r="I2404" s="12" t="s">
        <v>8654</v>
      </c>
      <c r="J2404" s="12" t="s">
        <v>9983</v>
      </c>
      <c r="K2404" s="12" t="s">
        <v>12195</v>
      </c>
      <c r="L2404" s="12" t="s">
        <v>12196</v>
      </c>
      <c r="M2404" s="12" t="s">
        <v>12195</v>
      </c>
    </row>
    <row r="2405" spans="1:13" ht="52.8">
      <c r="A2405" s="21" t="s">
        <v>7932</v>
      </c>
      <c r="B2405" s="21" t="s">
        <v>7933</v>
      </c>
      <c r="C2405" s="21" t="s">
        <v>7934</v>
      </c>
      <c r="D2405" s="21" t="s">
        <v>71</v>
      </c>
      <c r="E2405" s="22" t="s">
        <v>7935</v>
      </c>
      <c r="F2405" s="22" t="s">
        <v>7933</v>
      </c>
      <c r="G2405" s="21" t="s">
        <v>7936</v>
      </c>
      <c r="H2405" s="21" t="s">
        <v>7937</v>
      </c>
      <c r="I2405" s="12" t="s">
        <v>8655</v>
      </c>
      <c r="J2405" s="12" t="s">
        <v>9984</v>
      </c>
      <c r="K2405" s="12" t="s">
        <v>12197</v>
      </c>
      <c r="L2405" s="12" t="s">
        <v>12198</v>
      </c>
      <c r="M2405" s="12" t="s">
        <v>12197</v>
      </c>
    </row>
    <row r="2406" spans="1:13" ht="52.8">
      <c r="A2406" s="21" t="s">
        <v>7932</v>
      </c>
      <c r="B2406" s="21" t="s">
        <v>7933</v>
      </c>
      <c r="C2406" s="21" t="s">
        <v>7934</v>
      </c>
      <c r="D2406" s="21" t="s">
        <v>71</v>
      </c>
      <c r="E2406" s="22" t="s">
        <v>7935</v>
      </c>
      <c r="F2406" s="22" t="s">
        <v>7933</v>
      </c>
      <c r="G2406" s="21" t="s">
        <v>7936</v>
      </c>
      <c r="H2406" s="21" t="s">
        <v>7937</v>
      </c>
      <c r="I2406" s="12" t="s">
        <v>8656</v>
      </c>
      <c r="J2406" s="12" t="s">
        <v>9985</v>
      </c>
      <c r="K2406" s="12" t="s">
        <v>12199</v>
      </c>
      <c r="L2406" s="12" t="s">
        <v>12200</v>
      </c>
      <c r="M2406" s="12" t="s">
        <v>12199</v>
      </c>
    </row>
    <row r="2407" spans="1:13" ht="52.8">
      <c r="A2407" s="21" t="s">
        <v>7932</v>
      </c>
      <c r="B2407" s="21" t="s">
        <v>7933</v>
      </c>
      <c r="C2407" s="21" t="s">
        <v>7934</v>
      </c>
      <c r="D2407" s="21" t="s">
        <v>71</v>
      </c>
      <c r="E2407" s="22" t="s">
        <v>7935</v>
      </c>
      <c r="F2407" s="22" t="s">
        <v>7933</v>
      </c>
      <c r="G2407" s="21" t="s">
        <v>7936</v>
      </c>
      <c r="H2407" s="21" t="s">
        <v>7937</v>
      </c>
      <c r="I2407" s="12" t="s">
        <v>8657</v>
      </c>
      <c r="J2407" s="12" t="s">
        <v>9986</v>
      </c>
      <c r="K2407" s="12"/>
      <c r="L2407" s="12" t="s">
        <v>12201</v>
      </c>
      <c r="M2407" s="12" t="s">
        <v>12202</v>
      </c>
    </row>
    <row r="2408" spans="1:13" ht="52.8">
      <c r="A2408" s="21" t="s">
        <v>7932</v>
      </c>
      <c r="B2408" s="21" t="s">
        <v>7933</v>
      </c>
      <c r="C2408" s="21" t="s">
        <v>7934</v>
      </c>
      <c r="D2408" s="21" t="s">
        <v>71</v>
      </c>
      <c r="E2408" s="22" t="s">
        <v>7935</v>
      </c>
      <c r="F2408" s="22" t="s">
        <v>7933</v>
      </c>
      <c r="G2408" s="21" t="s">
        <v>7936</v>
      </c>
      <c r="H2408" s="21" t="s">
        <v>7937</v>
      </c>
      <c r="I2408" s="12" t="s">
        <v>8658</v>
      </c>
      <c r="J2408" s="12" t="s">
        <v>9987</v>
      </c>
      <c r="K2408" s="12" t="s">
        <v>12203</v>
      </c>
      <c r="L2408" s="12" t="s">
        <v>12204</v>
      </c>
      <c r="M2408" s="12" t="s">
        <v>12203</v>
      </c>
    </row>
    <row r="2409" spans="1:13" ht="52.8">
      <c r="A2409" s="21" t="s">
        <v>7932</v>
      </c>
      <c r="B2409" s="21" t="s">
        <v>7933</v>
      </c>
      <c r="C2409" s="21" t="s">
        <v>7934</v>
      </c>
      <c r="D2409" s="21" t="s">
        <v>71</v>
      </c>
      <c r="E2409" s="22" t="s">
        <v>7935</v>
      </c>
      <c r="F2409" s="22" t="s">
        <v>7933</v>
      </c>
      <c r="G2409" s="21" t="s">
        <v>7936</v>
      </c>
      <c r="H2409" s="21" t="s">
        <v>7937</v>
      </c>
      <c r="I2409" s="12" t="s">
        <v>8659</v>
      </c>
      <c r="J2409" s="12" t="s">
        <v>9988</v>
      </c>
      <c r="K2409" s="12"/>
      <c r="L2409" s="12" t="s">
        <v>12205</v>
      </c>
      <c r="M2409" s="12" t="s">
        <v>12206</v>
      </c>
    </row>
    <row r="2410" spans="1:13" ht="52.8">
      <c r="A2410" s="21" t="s">
        <v>7932</v>
      </c>
      <c r="B2410" s="21" t="s">
        <v>7933</v>
      </c>
      <c r="C2410" s="21" t="s">
        <v>7934</v>
      </c>
      <c r="D2410" s="21" t="s">
        <v>71</v>
      </c>
      <c r="E2410" s="22" t="s">
        <v>7935</v>
      </c>
      <c r="F2410" s="22" t="s">
        <v>7933</v>
      </c>
      <c r="G2410" s="21" t="s">
        <v>7936</v>
      </c>
      <c r="H2410" s="21" t="s">
        <v>7937</v>
      </c>
      <c r="I2410" s="12" t="s">
        <v>8660</v>
      </c>
      <c r="J2410" s="12" t="s">
        <v>9989</v>
      </c>
      <c r="K2410" s="12" t="s">
        <v>12207</v>
      </c>
      <c r="L2410" s="12" t="s">
        <v>12208</v>
      </c>
      <c r="M2410" s="12" t="s">
        <v>12209</v>
      </c>
    </row>
    <row r="2411" spans="1:13" ht="52.8">
      <c r="A2411" s="21" t="s">
        <v>7932</v>
      </c>
      <c r="B2411" s="21" t="s">
        <v>7933</v>
      </c>
      <c r="C2411" s="21" t="s">
        <v>7934</v>
      </c>
      <c r="D2411" s="21" t="s">
        <v>71</v>
      </c>
      <c r="E2411" s="22" t="s">
        <v>7935</v>
      </c>
      <c r="F2411" s="22" t="s">
        <v>7933</v>
      </c>
      <c r="G2411" s="21" t="s">
        <v>7936</v>
      </c>
      <c r="H2411" s="21" t="s">
        <v>7937</v>
      </c>
      <c r="I2411" s="12" t="s">
        <v>8661</v>
      </c>
      <c r="J2411" s="12" t="s">
        <v>9990</v>
      </c>
      <c r="K2411" s="12"/>
      <c r="L2411" s="12" t="s">
        <v>12210</v>
      </c>
      <c r="M2411" s="12" t="s">
        <v>12211</v>
      </c>
    </row>
    <row r="2412" spans="1:13" ht="52.8">
      <c r="A2412" s="21" t="s">
        <v>7932</v>
      </c>
      <c r="B2412" s="21" t="s">
        <v>7933</v>
      </c>
      <c r="C2412" s="21" t="s">
        <v>7934</v>
      </c>
      <c r="D2412" s="21" t="s">
        <v>71</v>
      </c>
      <c r="E2412" s="22" t="s">
        <v>7935</v>
      </c>
      <c r="F2412" s="22" t="s">
        <v>7933</v>
      </c>
      <c r="G2412" s="21" t="s">
        <v>7936</v>
      </c>
      <c r="H2412" s="21" t="s">
        <v>7937</v>
      </c>
      <c r="I2412" s="12" t="s">
        <v>8662</v>
      </c>
      <c r="J2412" s="12" t="s">
        <v>9991</v>
      </c>
      <c r="K2412" s="12" t="s">
        <v>12212</v>
      </c>
      <c r="L2412" s="12" t="s">
        <v>12213</v>
      </c>
      <c r="M2412" s="12" t="s">
        <v>12212</v>
      </c>
    </row>
    <row r="2413" spans="1:13" ht="52.8">
      <c r="A2413" s="21" t="s">
        <v>7932</v>
      </c>
      <c r="B2413" s="21" t="s">
        <v>7933</v>
      </c>
      <c r="C2413" s="21" t="s">
        <v>7934</v>
      </c>
      <c r="D2413" s="21" t="s">
        <v>71</v>
      </c>
      <c r="E2413" s="22" t="s">
        <v>7935</v>
      </c>
      <c r="F2413" s="22" t="s">
        <v>7933</v>
      </c>
      <c r="G2413" s="21" t="s">
        <v>7936</v>
      </c>
      <c r="H2413" s="21" t="s">
        <v>7937</v>
      </c>
      <c r="I2413" s="12" t="s">
        <v>8663</v>
      </c>
      <c r="J2413" s="12" t="s">
        <v>9992</v>
      </c>
      <c r="K2413" s="12"/>
      <c r="L2413" s="12" t="s">
        <v>12214</v>
      </c>
      <c r="M2413" s="12" t="s">
        <v>12215</v>
      </c>
    </row>
    <row r="2414" spans="1:13" ht="92.4">
      <c r="A2414" s="21" t="s">
        <v>7932</v>
      </c>
      <c r="B2414" s="21" t="s">
        <v>7933</v>
      </c>
      <c r="C2414" s="21" t="s">
        <v>7934</v>
      </c>
      <c r="D2414" s="21" t="s">
        <v>71</v>
      </c>
      <c r="E2414" s="22" t="s">
        <v>7935</v>
      </c>
      <c r="F2414" s="22" t="s">
        <v>7933</v>
      </c>
      <c r="G2414" s="21" t="s">
        <v>7936</v>
      </c>
      <c r="H2414" s="21" t="s">
        <v>7937</v>
      </c>
      <c r="I2414" s="12" t="s">
        <v>8664</v>
      </c>
      <c r="J2414" s="12" t="s">
        <v>9993</v>
      </c>
      <c r="K2414" s="12" t="s">
        <v>12216</v>
      </c>
      <c r="L2414" s="12" t="s">
        <v>12217</v>
      </c>
      <c r="M2414" s="12" t="s">
        <v>12216</v>
      </c>
    </row>
    <row r="2415" spans="1:13" ht="52.8">
      <c r="A2415" s="21" t="s">
        <v>7932</v>
      </c>
      <c r="B2415" s="21" t="s">
        <v>7933</v>
      </c>
      <c r="C2415" s="21" t="s">
        <v>7934</v>
      </c>
      <c r="D2415" s="21" t="s">
        <v>71</v>
      </c>
      <c r="E2415" s="22" t="s">
        <v>7935</v>
      </c>
      <c r="F2415" s="22" t="s">
        <v>7933</v>
      </c>
      <c r="G2415" s="21" t="s">
        <v>7936</v>
      </c>
      <c r="H2415" s="21" t="s">
        <v>7937</v>
      </c>
      <c r="I2415" s="12" t="s">
        <v>8665</v>
      </c>
      <c r="J2415" s="12" t="s">
        <v>9994</v>
      </c>
      <c r="K2415" s="12"/>
      <c r="L2415" s="12" t="s">
        <v>12218</v>
      </c>
      <c r="M2415" s="12" t="s">
        <v>12219</v>
      </c>
    </row>
    <row r="2416" spans="1:13" ht="52.8">
      <c r="A2416" s="21" t="s">
        <v>7932</v>
      </c>
      <c r="B2416" s="21" t="s">
        <v>7933</v>
      </c>
      <c r="C2416" s="21" t="s">
        <v>7934</v>
      </c>
      <c r="D2416" s="21" t="s">
        <v>71</v>
      </c>
      <c r="E2416" s="22" t="s">
        <v>7935</v>
      </c>
      <c r="F2416" s="22" t="s">
        <v>7933</v>
      </c>
      <c r="G2416" s="21" t="s">
        <v>7936</v>
      </c>
      <c r="H2416" s="21" t="s">
        <v>7937</v>
      </c>
      <c r="I2416" s="12" t="s">
        <v>8666</v>
      </c>
      <c r="J2416" s="12" t="s">
        <v>9995</v>
      </c>
      <c r="K2416" s="12" t="s">
        <v>12220</v>
      </c>
      <c r="L2416" s="12" t="s">
        <v>12221</v>
      </c>
      <c r="M2416" s="12" t="s">
        <v>12222</v>
      </c>
    </row>
    <row r="2417" spans="1:13" ht="52.8">
      <c r="A2417" s="21" t="s">
        <v>7932</v>
      </c>
      <c r="B2417" s="21" t="s">
        <v>7933</v>
      </c>
      <c r="C2417" s="21" t="s">
        <v>7934</v>
      </c>
      <c r="D2417" s="21" t="s">
        <v>71</v>
      </c>
      <c r="E2417" s="22" t="s">
        <v>7935</v>
      </c>
      <c r="F2417" s="22" t="s">
        <v>7933</v>
      </c>
      <c r="G2417" s="21" t="s">
        <v>7936</v>
      </c>
      <c r="H2417" s="21" t="s">
        <v>7937</v>
      </c>
      <c r="I2417" s="12" t="s">
        <v>8667</v>
      </c>
      <c r="J2417" s="12" t="s">
        <v>9996</v>
      </c>
      <c r="K2417" s="12"/>
      <c r="L2417" s="12" t="s">
        <v>12223</v>
      </c>
      <c r="M2417" s="12" t="s">
        <v>12224</v>
      </c>
    </row>
    <row r="2418" spans="1:13" ht="52.8">
      <c r="A2418" s="21" t="s">
        <v>7932</v>
      </c>
      <c r="B2418" s="21" t="s">
        <v>7933</v>
      </c>
      <c r="C2418" s="21" t="s">
        <v>7934</v>
      </c>
      <c r="D2418" s="21" t="s">
        <v>71</v>
      </c>
      <c r="E2418" s="22" t="s">
        <v>7935</v>
      </c>
      <c r="F2418" s="22" t="s">
        <v>7933</v>
      </c>
      <c r="G2418" s="21" t="s">
        <v>7936</v>
      </c>
      <c r="H2418" s="21" t="s">
        <v>7937</v>
      </c>
      <c r="I2418" s="12" t="s">
        <v>8668</v>
      </c>
      <c r="J2418" s="12" t="s">
        <v>9997</v>
      </c>
      <c r="K2418" s="12"/>
      <c r="L2418" s="12" t="s">
        <v>12225</v>
      </c>
      <c r="M2418" s="12" t="s">
        <v>12226</v>
      </c>
    </row>
    <row r="2419" spans="1:13" ht="52.8">
      <c r="A2419" s="21" t="s">
        <v>7932</v>
      </c>
      <c r="B2419" s="21" t="s">
        <v>7933</v>
      </c>
      <c r="C2419" s="21" t="s">
        <v>7934</v>
      </c>
      <c r="D2419" s="21" t="s">
        <v>71</v>
      </c>
      <c r="E2419" s="22" t="s">
        <v>7935</v>
      </c>
      <c r="F2419" s="22" t="s">
        <v>7933</v>
      </c>
      <c r="G2419" s="21" t="s">
        <v>7936</v>
      </c>
      <c r="H2419" s="21" t="s">
        <v>7937</v>
      </c>
      <c r="I2419" s="12" t="s">
        <v>8669</v>
      </c>
      <c r="J2419" s="12" t="s">
        <v>9998</v>
      </c>
      <c r="K2419" s="12"/>
      <c r="L2419" s="12" t="s">
        <v>12227</v>
      </c>
      <c r="M2419" s="12" t="s">
        <v>12228</v>
      </c>
    </row>
    <row r="2420" spans="1:13" ht="52.8">
      <c r="A2420" s="21" t="s">
        <v>7932</v>
      </c>
      <c r="B2420" s="21" t="s">
        <v>7933</v>
      </c>
      <c r="C2420" s="21" t="s">
        <v>7934</v>
      </c>
      <c r="D2420" s="21" t="s">
        <v>71</v>
      </c>
      <c r="E2420" s="22" t="s">
        <v>7935</v>
      </c>
      <c r="F2420" s="22" t="s">
        <v>7933</v>
      </c>
      <c r="G2420" s="21" t="s">
        <v>7936</v>
      </c>
      <c r="H2420" s="21" t="s">
        <v>7937</v>
      </c>
      <c r="I2420" s="12" t="s">
        <v>8670</v>
      </c>
      <c r="J2420" s="12" t="s">
        <v>9999</v>
      </c>
      <c r="K2420" s="12"/>
      <c r="L2420" s="12" t="s">
        <v>12229</v>
      </c>
      <c r="M2420" s="12" t="s">
        <v>12230</v>
      </c>
    </row>
    <row r="2421" spans="1:13" ht="52.8">
      <c r="A2421" s="21" t="s">
        <v>7932</v>
      </c>
      <c r="B2421" s="21" t="s">
        <v>7933</v>
      </c>
      <c r="C2421" s="21" t="s">
        <v>7934</v>
      </c>
      <c r="D2421" s="21" t="s">
        <v>71</v>
      </c>
      <c r="E2421" s="22" t="s">
        <v>7935</v>
      </c>
      <c r="F2421" s="22" t="s">
        <v>7933</v>
      </c>
      <c r="G2421" s="21" t="s">
        <v>7936</v>
      </c>
      <c r="H2421" s="21" t="s">
        <v>7937</v>
      </c>
      <c r="I2421" s="12" t="s">
        <v>8671</v>
      </c>
      <c r="J2421" s="12" t="s">
        <v>10000</v>
      </c>
      <c r="K2421" s="12"/>
      <c r="L2421" s="12" t="s">
        <v>12231</v>
      </c>
      <c r="M2421" s="12" t="s">
        <v>12232</v>
      </c>
    </row>
    <row r="2422" spans="1:13" ht="52.8">
      <c r="A2422" s="21" t="s">
        <v>7932</v>
      </c>
      <c r="B2422" s="21" t="s">
        <v>7933</v>
      </c>
      <c r="C2422" s="21" t="s">
        <v>7934</v>
      </c>
      <c r="D2422" s="21" t="s">
        <v>71</v>
      </c>
      <c r="E2422" s="22" t="s">
        <v>7935</v>
      </c>
      <c r="F2422" s="22" t="s">
        <v>7933</v>
      </c>
      <c r="G2422" s="21" t="s">
        <v>7936</v>
      </c>
      <c r="H2422" s="21" t="s">
        <v>7937</v>
      </c>
      <c r="I2422" s="12" t="s">
        <v>8672</v>
      </c>
      <c r="J2422" s="12" t="s">
        <v>10001</v>
      </c>
      <c r="K2422" s="12" t="s">
        <v>12233</v>
      </c>
      <c r="L2422" s="12" t="s">
        <v>12234</v>
      </c>
      <c r="M2422" s="12" t="s">
        <v>12233</v>
      </c>
    </row>
    <row r="2423" spans="1:13" ht="52.8">
      <c r="A2423" s="21" t="s">
        <v>7932</v>
      </c>
      <c r="B2423" s="21" t="s">
        <v>7933</v>
      </c>
      <c r="C2423" s="21" t="s">
        <v>7934</v>
      </c>
      <c r="D2423" s="21" t="s">
        <v>71</v>
      </c>
      <c r="E2423" s="22" t="s">
        <v>7935</v>
      </c>
      <c r="F2423" s="22" t="s">
        <v>7933</v>
      </c>
      <c r="G2423" s="21" t="s">
        <v>7936</v>
      </c>
      <c r="H2423" s="21" t="s">
        <v>7937</v>
      </c>
      <c r="I2423" s="12" t="s">
        <v>8673</v>
      </c>
      <c r="J2423" s="12" t="s">
        <v>10002</v>
      </c>
      <c r="K2423" s="12" t="s">
        <v>12235</v>
      </c>
      <c r="L2423" s="12" t="s">
        <v>12236</v>
      </c>
      <c r="M2423" s="12" t="s">
        <v>12235</v>
      </c>
    </row>
    <row r="2424" spans="1:13" ht="52.8">
      <c r="A2424" s="21" t="s">
        <v>7932</v>
      </c>
      <c r="B2424" s="21" t="s">
        <v>7933</v>
      </c>
      <c r="C2424" s="21" t="s">
        <v>7934</v>
      </c>
      <c r="D2424" s="21" t="s">
        <v>71</v>
      </c>
      <c r="E2424" s="22" t="s">
        <v>7935</v>
      </c>
      <c r="F2424" s="22" t="s">
        <v>7933</v>
      </c>
      <c r="G2424" s="21" t="s">
        <v>7936</v>
      </c>
      <c r="H2424" s="21" t="s">
        <v>7937</v>
      </c>
      <c r="I2424" s="12" t="s">
        <v>8674</v>
      </c>
      <c r="J2424" s="12" t="s">
        <v>10003</v>
      </c>
      <c r="K2424" s="12" t="s">
        <v>12237</v>
      </c>
      <c r="L2424" s="12" t="s">
        <v>12238</v>
      </c>
      <c r="M2424" s="12" t="s">
        <v>12237</v>
      </c>
    </row>
    <row r="2425" spans="1:13" ht="52.8">
      <c r="A2425" s="21" t="s">
        <v>7932</v>
      </c>
      <c r="B2425" s="21" t="s">
        <v>7933</v>
      </c>
      <c r="C2425" s="21" t="s">
        <v>7934</v>
      </c>
      <c r="D2425" s="21" t="s">
        <v>71</v>
      </c>
      <c r="E2425" s="22" t="s">
        <v>7935</v>
      </c>
      <c r="F2425" s="22" t="s">
        <v>7933</v>
      </c>
      <c r="G2425" s="21" t="s">
        <v>7936</v>
      </c>
      <c r="H2425" s="21" t="s">
        <v>7937</v>
      </c>
      <c r="I2425" s="12" t="s">
        <v>8675</v>
      </c>
      <c r="J2425" s="12" t="s">
        <v>10004</v>
      </c>
      <c r="K2425" s="12" t="s">
        <v>12239</v>
      </c>
      <c r="L2425" s="12" t="s">
        <v>12240</v>
      </c>
      <c r="M2425" s="12" t="s">
        <v>12239</v>
      </c>
    </row>
    <row r="2426" spans="1:13" ht="52.8">
      <c r="A2426" s="21" t="s">
        <v>7932</v>
      </c>
      <c r="B2426" s="21" t="s">
        <v>7933</v>
      </c>
      <c r="C2426" s="21" t="s">
        <v>7934</v>
      </c>
      <c r="D2426" s="21" t="s">
        <v>71</v>
      </c>
      <c r="E2426" s="22" t="s">
        <v>7935</v>
      </c>
      <c r="F2426" s="22" t="s">
        <v>7933</v>
      </c>
      <c r="G2426" s="21" t="s">
        <v>7936</v>
      </c>
      <c r="H2426" s="21" t="s">
        <v>7937</v>
      </c>
      <c r="I2426" s="12" t="s">
        <v>8676</v>
      </c>
      <c r="J2426" s="12" t="s">
        <v>10005</v>
      </c>
      <c r="K2426" s="12"/>
      <c r="L2426" s="12" t="s">
        <v>12241</v>
      </c>
      <c r="M2426" s="12" t="s">
        <v>12242</v>
      </c>
    </row>
    <row r="2427" spans="1:13" ht="52.8">
      <c r="A2427" s="21" t="s">
        <v>7932</v>
      </c>
      <c r="B2427" s="21" t="s">
        <v>7933</v>
      </c>
      <c r="C2427" s="21" t="s">
        <v>7934</v>
      </c>
      <c r="D2427" s="21" t="s">
        <v>71</v>
      </c>
      <c r="E2427" s="22" t="s">
        <v>7935</v>
      </c>
      <c r="F2427" s="22" t="s">
        <v>7933</v>
      </c>
      <c r="G2427" s="21" t="s">
        <v>7936</v>
      </c>
      <c r="H2427" s="21" t="s">
        <v>7937</v>
      </c>
      <c r="I2427" s="12" t="s">
        <v>8677</v>
      </c>
      <c r="J2427" s="12" t="s">
        <v>10006</v>
      </c>
      <c r="K2427" s="12"/>
      <c r="L2427" s="12" t="s">
        <v>12243</v>
      </c>
      <c r="M2427" s="12" t="s">
        <v>12244</v>
      </c>
    </row>
    <row r="2428" spans="1:13" ht="52.8">
      <c r="A2428" s="21" t="s">
        <v>7932</v>
      </c>
      <c r="B2428" s="21" t="s">
        <v>7933</v>
      </c>
      <c r="C2428" s="21" t="s">
        <v>7934</v>
      </c>
      <c r="D2428" s="21" t="s">
        <v>71</v>
      </c>
      <c r="E2428" s="22" t="s">
        <v>7935</v>
      </c>
      <c r="F2428" s="22" t="s">
        <v>7933</v>
      </c>
      <c r="G2428" s="21" t="s">
        <v>7936</v>
      </c>
      <c r="H2428" s="21" t="s">
        <v>7937</v>
      </c>
      <c r="I2428" s="12" t="s">
        <v>8678</v>
      </c>
      <c r="J2428" s="12" t="s">
        <v>10007</v>
      </c>
      <c r="K2428" s="12"/>
      <c r="L2428" s="12" t="s">
        <v>12245</v>
      </c>
      <c r="M2428" s="12" t="s">
        <v>12246</v>
      </c>
    </row>
    <row r="2429" spans="1:13" ht="52.8">
      <c r="A2429" s="21" t="s">
        <v>7932</v>
      </c>
      <c r="B2429" s="21" t="s">
        <v>7933</v>
      </c>
      <c r="C2429" s="21" t="s">
        <v>7934</v>
      </c>
      <c r="D2429" s="21" t="s">
        <v>71</v>
      </c>
      <c r="E2429" s="22" t="s">
        <v>7935</v>
      </c>
      <c r="F2429" s="22" t="s">
        <v>7933</v>
      </c>
      <c r="G2429" s="21" t="s">
        <v>7936</v>
      </c>
      <c r="H2429" s="21" t="s">
        <v>7937</v>
      </c>
      <c r="I2429" s="12" t="s">
        <v>8679</v>
      </c>
      <c r="J2429" s="12" t="s">
        <v>10008</v>
      </c>
      <c r="K2429" s="12"/>
      <c r="L2429" s="12" t="s">
        <v>12247</v>
      </c>
      <c r="M2429" s="12" t="s">
        <v>12248</v>
      </c>
    </row>
    <row r="2430" spans="1:13" ht="52.8">
      <c r="A2430" s="21" t="s">
        <v>7932</v>
      </c>
      <c r="B2430" s="21" t="s">
        <v>7933</v>
      </c>
      <c r="C2430" s="21" t="s">
        <v>7934</v>
      </c>
      <c r="D2430" s="21" t="s">
        <v>71</v>
      </c>
      <c r="E2430" s="22" t="s">
        <v>7935</v>
      </c>
      <c r="F2430" s="22" t="s">
        <v>7933</v>
      </c>
      <c r="G2430" s="21" t="s">
        <v>7936</v>
      </c>
      <c r="H2430" s="21" t="s">
        <v>7937</v>
      </c>
      <c r="I2430" s="12" t="s">
        <v>8680</v>
      </c>
      <c r="J2430" s="12" t="s">
        <v>10009</v>
      </c>
      <c r="K2430" s="12"/>
      <c r="L2430" s="12" t="s">
        <v>12249</v>
      </c>
      <c r="M2430" s="12" t="s">
        <v>12250</v>
      </c>
    </row>
    <row r="2431" spans="1:13" ht="52.8">
      <c r="A2431" s="21" t="s">
        <v>7932</v>
      </c>
      <c r="B2431" s="21" t="s">
        <v>7933</v>
      </c>
      <c r="C2431" s="21" t="s">
        <v>7934</v>
      </c>
      <c r="D2431" s="21" t="s">
        <v>71</v>
      </c>
      <c r="E2431" s="22" t="s">
        <v>7935</v>
      </c>
      <c r="F2431" s="22" t="s">
        <v>7933</v>
      </c>
      <c r="G2431" s="21" t="s">
        <v>7936</v>
      </c>
      <c r="H2431" s="21" t="s">
        <v>7937</v>
      </c>
      <c r="I2431" s="12" t="s">
        <v>8681</v>
      </c>
      <c r="J2431" s="12" t="s">
        <v>10010</v>
      </c>
      <c r="K2431" s="12"/>
      <c r="L2431" s="12" t="s">
        <v>12251</v>
      </c>
      <c r="M2431" s="12" t="s">
        <v>12252</v>
      </c>
    </row>
    <row r="2432" spans="1:13" ht="52.8">
      <c r="A2432" s="21" t="s">
        <v>7932</v>
      </c>
      <c r="B2432" s="21" t="s">
        <v>7933</v>
      </c>
      <c r="C2432" s="21" t="s">
        <v>7934</v>
      </c>
      <c r="D2432" s="21" t="s">
        <v>71</v>
      </c>
      <c r="E2432" s="22" t="s">
        <v>7935</v>
      </c>
      <c r="F2432" s="22" t="s">
        <v>7933</v>
      </c>
      <c r="G2432" s="21" t="s">
        <v>7936</v>
      </c>
      <c r="H2432" s="21" t="s">
        <v>7937</v>
      </c>
      <c r="I2432" s="12" t="s">
        <v>8682</v>
      </c>
      <c r="J2432" s="12" t="s">
        <v>10011</v>
      </c>
      <c r="K2432" s="12"/>
      <c r="L2432" s="12" t="s">
        <v>12253</v>
      </c>
      <c r="M2432" s="12" t="s">
        <v>12254</v>
      </c>
    </row>
    <row r="2433" spans="1:13" ht="52.8">
      <c r="A2433" s="21" t="s">
        <v>7932</v>
      </c>
      <c r="B2433" s="21" t="s">
        <v>7933</v>
      </c>
      <c r="C2433" s="21" t="s">
        <v>7934</v>
      </c>
      <c r="D2433" s="21" t="s">
        <v>71</v>
      </c>
      <c r="E2433" s="22" t="s">
        <v>7935</v>
      </c>
      <c r="F2433" s="22" t="s">
        <v>7933</v>
      </c>
      <c r="G2433" s="21" t="s">
        <v>7936</v>
      </c>
      <c r="H2433" s="21" t="s">
        <v>7937</v>
      </c>
      <c r="I2433" s="12" t="s">
        <v>8683</v>
      </c>
      <c r="J2433" s="12" t="s">
        <v>10012</v>
      </c>
      <c r="K2433" s="12"/>
      <c r="L2433" s="12" t="s">
        <v>12255</v>
      </c>
      <c r="M2433" s="12" t="s">
        <v>12256</v>
      </c>
    </row>
    <row r="2434" spans="1:13" ht="52.8">
      <c r="A2434" s="21" t="s">
        <v>7932</v>
      </c>
      <c r="B2434" s="21" t="s">
        <v>7933</v>
      </c>
      <c r="C2434" s="21" t="s">
        <v>7934</v>
      </c>
      <c r="D2434" s="21" t="s">
        <v>71</v>
      </c>
      <c r="E2434" s="22" t="s">
        <v>7935</v>
      </c>
      <c r="F2434" s="22" t="s">
        <v>7933</v>
      </c>
      <c r="G2434" s="21" t="s">
        <v>7936</v>
      </c>
      <c r="H2434" s="21" t="s">
        <v>7937</v>
      </c>
      <c r="I2434" s="12" t="s">
        <v>8684</v>
      </c>
      <c r="J2434" s="12" t="s">
        <v>10013</v>
      </c>
      <c r="K2434" s="12"/>
      <c r="L2434" s="12" t="s">
        <v>12257</v>
      </c>
      <c r="M2434" s="12" t="s">
        <v>12258</v>
      </c>
    </row>
    <row r="2435" spans="1:13" ht="52.8">
      <c r="A2435" s="21" t="s">
        <v>7932</v>
      </c>
      <c r="B2435" s="21" t="s">
        <v>7933</v>
      </c>
      <c r="C2435" s="21" t="s">
        <v>7934</v>
      </c>
      <c r="D2435" s="21" t="s">
        <v>71</v>
      </c>
      <c r="E2435" s="22" t="s">
        <v>7935</v>
      </c>
      <c r="F2435" s="22" t="s">
        <v>7933</v>
      </c>
      <c r="G2435" s="21" t="s">
        <v>7936</v>
      </c>
      <c r="H2435" s="21" t="s">
        <v>7937</v>
      </c>
      <c r="I2435" s="12" t="s">
        <v>8685</v>
      </c>
      <c r="J2435" s="12" t="s">
        <v>10014</v>
      </c>
      <c r="K2435" s="12"/>
      <c r="L2435" s="12" t="s">
        <v>12259</v>
      </c>
      <c r="M2435" s="12" t="s">
        <v>12260</v>
      </c>
    </row>
    <row r="2436" spans="1:13" ht="52.8">
      <c r="A2436" s="21" t="s">
        <v>7932</v>
      </c>
      <c r="B2436" s="21" t="s">
        <v>7933</v>
      </c>
      <c r="C2436" s="21" t="s">
        <v>7934</v>
      </c>
      <c r="D2436" s="21" t="s">
        <v>71</v>
      </c>
      <c r="E2436" s="22" t="s">
        <v>7935</v>
      </c>
      <c r="F2436" s="22" t="s">
        <v>7933</v>
      </c>
      <c r="G2436" s="21" t="s">
        <v>7936</v>
      </c>
      <c r="H2436" s="21" t="s">
        <v>7937</v>
      </c>
      <c r="I2436" s="12" t="s">
        <v>8686</v>
      </c>
      <c r="J2436" s="12" t="s">
        <v>10015</v>
      </c>
      <c r="K2436" s="12"/>
      <c r="L2436" s="12" t="s">
        <v>12261</v>
      </c>
      <c r="M2436" s="12" t="s">
        <v>12262</v>
      </c>
    </row>
    <row r="2437" spans="1:13" ht="66">
      <c r="A2437" s="21" t="s">
        <v>7932</v>
      </c>
      <c r="B2437" s="21" t="s">
        <v>7933</v>
      </c>
      <c r="C2437" s="21" t="s">
        <v>7934</v>
      </c>
      <c r="D2437" s="21" t="s">
        <v>71</v>
      </c>
      <c r="E2437" s="22" t="s">
        <v>7935</v>
      </c>
      <c r="F2437" s="22" t="s">
        <v>7933</v>
      </c>
      <c r="G2437" s="21" t="s">
        <v>7936</v>
      </c>
      <c r="H2437" s="21" t="s">
        <v>7937</v>
      </c>
      <c r="I2437" s="12" t="s">
        <v>8687</v>
      </c>
      <c r="J2437" s="12" t="s">
        <v>10016</v>
      </c>
      <c r="K2437" s="12"/>
      <c r="L2437" s="12" t="s">
        <v>12263</v>
      </c>
      <c r="M2437" s="12" t="s">
        <v>12264</v>
      </c>
    </row>
    <row r="2438" spans="1:13" ht="66">
      <c r="A2438" s="21" t="s">
        <v>7932</v>
      </c>
      <c r="B2438" s="21" t="s">
        <v>7933</v>
      </c>
      <c r="C2438" s="21" t="s">
        <v>7934</v>
      </c>
      <c r="D2438" s="21" t="s">
        <v>71</v>
      </c>
      <c r="E2438" s="22" t="s">
        <v>7935</v>
      </c>
      <c r="F2438" s="22" t="s">
        <v>7933</v>
      </c>
      <c r="G2438" s="21" t="s">
        <v>7936</v>
      </c>
      <c r="H2438" s="21" t="s">
        <v>7937</v>
      </c>
      <c r="I2438" s="12" t="s">
        <v>8688</v>
      </c>
      <c r="J2438" s="12" t="s">
        <v>10017</v>
      </c>
      <c r="K2438" s="12"/>
      <c r="L2438" s="12" t="s">
        <v>12265</v>
      </c>
      <c r="M2438" s="12" t="s">
        <v>12266</v>
      </c>
    </row>
    <row r="2439" spans="1:13" ht="52.8">
      <c r="A2439" s="21" t="s">
        <v>7932</v>
      </c>
      <c r="B2439" s="21" t="s">
        <v>7933</v>
      </c>
      <c r="C2439" s="21" t="s">
        <v>7934</v>
      </c>
      <c r="D2439" s="21" t="s">
        <v>71</v>
      </c>
      <c r="E2439" s="22" t="s">
        <v>7935</v>
      </c>
      <c r="F2439" s="22" t="s">
        <v>7933</v>
      </c>
      <c r="G2439" s="21" t="s">
        <v>7936</v>
      </c>
      <c r="H2439" s="21" t="s">
        <v>7937</v>
      </c>
      <c r="I2439" s="12" t="s">
        <v>8689</v>
      </c>
      <c r="J2439" s="12" t="s">
        <v>10018</v>
      </c>
      <c r="K2439" s="12"/>
      <c r="L2439" s="12" t="s">
        <v>12267</v>
      </c>
      <c r="M2439" s="12" t="s">
        <v>12268</v>
      </c>
    </row>
    <row r="2440" spans="1:13" ht="52.8">
      <c r="A2440" s="21" t="s">
        <v>7932</v>
      </c>
      <c r="B2440" s="21" t="s">
        <v>7933</v>
      </c>
      <c r="C2440" s="21" t="s">
        <v>7934</v>
      </c>
      <c r="D2440" s="21" t="s">
        <v>71</v>
      </c>
      <c r="E2440" s="22" t="s">
        <v>7935</v>
      </c>
      <c r="F2440" s="22" t="s">
        <v>7933</v>
      </c>
      <c r="G2440" s="21" t="s">
        <v>7936</v>
      </c>
      <c r="H2440" s="21" t="s">
        <v>7937</v>
      </c>
      <c r="I2440" s="12" t="s">
        <v>8690</v>
      </c>
      <c r="J2440" s="12" t="s">
        <v>10019</v>
      </c>
      <c r="K2440" s="12"/>
      <c r="L2440" s="12" t="s">
        <v>12269</v>
      </c>
      <c r="M2440" s="12" t="s">
        <v>12270</v>
      </c>
    </row>
    <row r="2441" spans="1:13" ht="52.8">
      <c r="A2441" s="21" t="s">
        <v>7932</v>
      </c>
      <c r="B2441" s="21" t="s">
        <v>7933</v>
      </c>
      <c r="C2441" s="21" t="s">
        <v>7934</v>
      </c>
      <c r="D2441" s="21" t="s">
        <v>71</v>
      </c>
      <c r="E2441" s="22" t="s">
        <v>7935</v>
      </c>
      <c r="F2441" s="22" t="s">
        <v>7933</v>
      </c>
      <c r="G2441" s="21" t="s">
        <v>7936</v>
      </c>
      <c r="H2441" s="21" t="s">
        <v>7937</v>
      </c>
      <c r="I2441" s="12" t="s">
        <v>8691</v>
      </c>
      <c r="J2441" s="12" t="s">
        <v>10020</v>
      </c>
      <c r="K2441" s="12" t="s">
        <v>12271</v>
      </c>
      <c r="L2441" s="12" t="s">
        <v>12272</v>
      </c>
      <c r="M2441" s="12" t="s">
        <v>12273</v>
      </c>
    </row>
    <row r="2442" spans="1:13" ht="52.8">
      <c r="A2442" s="21" t="s">
        <v>7932</v>
      </c>
      <c r="B2442" s="21" t="s">
        <v>7933</v>
      </c>
      <c r="C2442" s="21" t="s">
        <v>7934</v>
      </c>
      <c r="D2442" s="21" t="s">
        <v>71</v>
      </c>
      <c r="E2442" s="22" t="s">
        <v>7935</v>
      </c>
      <c r="F2442" s="22" t="s">
        <v>7933</v>
      </c>
      <c r="G2442" s="21" t="s">
        <v>7936</v>
      </c>
      <c r="H2442" s="21" t="s">
        <v>7937</v>
      </c>
      <c r="I2442" s="12" t="s">
        <v>8692</v>
      </c>
      <c r="J2442" s="12" t="s">
        <v>10021</v>
      </c>
      <c r="K2442" s="12" t="s">
        <v>12274</v>
      </c>
      <c r="L2442" s="12" t="s">
        <v>12275</v>
      </c>
      <c r="M2442" s="12" t="s">
        <v>12276</v>
      </c>
    </row>
    <row r="2443" spans="1:13" ht="52.8">
      <c r="A2443" s="21" t="s">
        <v>7932</v>
      </c>
      <c r="B2443" s="21" t="s">
        <v>7933</v>
      </c>
      <c r="C2443" s="21" t="s">
        <v>7934</v>
      </c>
      <c r="D2443" s="21" t="s">
        <v>71</v>
      </c>
      <c r="E2443" s="22" t="s">
        <v>7935</v>
      </c>
      <c r="F2443" s="22" t="s">
        <v>7933</v>
      </c>
      <c r="G2443" s="21" t="s">
        <v>7936</v>
      </c>
      <c r="H2443" s="21" t="s">
        <v>7937</v>
      </c>
      <c r="I2443" s="12" t="s">
        <v>8693</v>
      </c>
      <c r="J2443" s="12" t="s">
        <v>10022</v>
      </c>
      <c r="K2443" s="12" t="s">
        <v>12277</v>
      </c>
      <c r="L2443" s="12" t="s">
        <v>12278</v>
      </c>
      <c r="M2443" s="12" t="s">
        <v>12279</v>
      </c>
    </row>
    <row r="2444" spans="1:13" ht="52.8">
      <c r="A2444" s="21" t="s">
        <v>7932</v>
      </c>
      <c r="B2444" s="21" t="s">
        <v>7933</v>
      </c>
      <c r="C2444" s="21" t="s">
        <v>7934</v>
      </c>
      <c r="D2444" s="21" t="s">
        <v>71</v>
      </c>
      <c r="E2444" s="22" t="s">
        <v>7935</v>
      </c>
      <c r="F2444" s="22" t="s">
        <v>7933</v>
      </c>
      <c r="G2444" s="21" t="s">
        <v>7936</v>
      </c>
      <c r="H2444" s="21" t="s">
        <v>7937</v>
      </c>
      <c r="I2444" s="12" t="s">
        <v>8694</v>
      </c>
      <c r="J2444" s="12" t="s">
        <v>10023</v>
      </c>
      <c r="K2444" s="12" t="s">
        <v>12280</v>
      </c>
      <c r="L2444" s="12" t="s">
        <v>12281</v>
      </c>
      <c r="M2444" s="12" t="s">
        <v>12282</v>
      </c>
    </row>
    <row r="2445" spans="1:13" ht="52.8">
      <c r="A2445" s="21" t="s">
        <v>7932</v>
      </c>
      <c r="B2445" s="21" t="s">
        <v>7933</v>
      </c>
      <c r="C2445" s="21" t="s">
        <v>7934</v>
      </c>
      <c r="D2445" s="21" t="s">
        <v>71</v>
      </c>
      <c r="E2445" s="22" t="s">
        <v>7935</v>
      </c>
      <c r="F2445" s="22" t="s">
        <v>7933</v>
      </c>
      <c r="G2445" s="21" t="s">
        <v>7936</v>
      </c>
      <c r="H2445" s="21" t="s">
        <v>7937</v>
      </c>
      <c r="I2445" s="12" t="s">
        <v>8695</v>
      </c>
      <c r="J2445" s="12" t="s">
        <v>10024</v>
      </c>
      <c r="K2445" s="12" t="s">
        <v>12283</v>
      </c>
      <c r="L2445" s="12" t="s">
        <v>12284</v>
      </c>
      <c r="M2445" s="12" t="s">
        <v>12285</v>
      </c>
    </row>
    <row r="2446" spans="1:13" ht="52.8">
      <c r="A2446" s="21" t="s">
        <v>7932</v>
      </c>
      <c r="B2446" s="21" t="s">
        <v>7933</v>
      </c>
      <c r="C2446" s="21" t="s">
        <v>7934</v>
      </c>
      <c r="D2446" s="21" t="s">
        <v>71</v>
      </c>
      <c r="E2446" s="22" t="s">
        <v>7935</v>
      </c>
      <c r="F2446" s="22" t="s">
        <v>7933</v>
      </c>
      <c r="G2446" s="21" t="s">
        <v>7936</v>
      </c>
      <c r="H2446" s="21" t="s">
        <v>7937</v>
      </c>
      <c r="I2446" s="12" t="s">
        <v>8696</v>
      </c>
      <c r="J2446" s="12" t="s">
        <v>10025</v>
      </c>
      <c r="K2446" s="12" t="s">
        <v>12286</v>
      </c>
      <c r="L2446" s="12" t="s">
        <v>12287</v>
      </c>
      <c r="M2446" s="12" t="s">
        <v>12286</v>
      </c>
    </row>
    <row r="2447" spans="1:13" ht="52.8">
      <c r="A2447" s="21" t="s">
        <v>7932</v>
      </c>
      <c r="B2447" s="21" t="s">
        <v>7933</v>
      </c>
      <c r="C2447" s="21" t="s">
        <v>7934</v>
      </c>
      <c r="D2447" s="21" t="s">
        <v>71</v>
      </c>
      <c r="E2447" s="22" t="s">
        <v>7935</v>
      </c>
      <c r="F2447" s="22" t="s">
        <v>7933</v>
      </c>
      <c r="G2447" s="21" t="s">
        <v>7936</v>
      </c>
      <c r="H2447" s="21" t="s">
        <v>7937</v>
      </c>
      <c r="I2447" s="12" t="s">
        <v>8697</v>
      </c>
      <c r="J2447" s="12" t="s">
        <v>10026</v>
      </c>
      <c r="K2447" s="12" t="s">
        <v>12288</v>
      </c>
      <c r="L2447" s="12" t="s">
        <v>12289</v>
      </c>
      <c r="M2447" s="12" t="s">
        <v>12290</v>
      </c>
    </row>
    <row r="2448" spans="1:13" ht="52.8">
      <c r="A2448" s="21" t="s">
        <v>7932</v>
      </c>
      <c r="B2448" s="21" t="s">
        <v>7933</v>
      </c>
      <c r="C2448" s="21" t="s">
        <v>7934</v>
      </c>
      <c r="D2448" s="21" t="s">
        <v>71</v>
      </c>
      <c r="E2448" s="22" t="s">
        <v>7935</v>
      </c>
      <c r="F2448" s="22" t="s">
        <v>7933</v>
      </c>
      <c r="G2448" s="21" t="s">
        <v>7936</v>
      </c>
      <c r="H2448" s="21" t="s">
        <v>7937</v>
      </c>
      <c r="I2448" s="12" t="s">
        <v>8698</v>
      </c>
      <c r="J2448" s="12" t="s">
        <v>10027</v>
      </c>
      <c r="K2448" s="12" t="s">
        <v>12291</v>
      </c>
      <c r="L2448" s="12" t="s">
        <v>12292</v>
      </c>
      <c r="M2448" s="12" t="s">
        <v>12293</v>
      </c>
    </row>
    <row r="2449" spans="1:13" ht="52.8">
      <c r="A2449" s="21" t="s">
        <v>7932</v>
      </c>
      <c r="B2449" s="21" t="s">
        <v>7933</v>
      </c>
      <c r="C2449" s="21" t="s">
        <v>7934</v>
      </c>
      <c r="D2449" s="21" t="s">
        <v>71</v>
      </c>
      <c r="E2449" s="22" t="s">
        <v>7935</v>
      </c>
      <c r="F2449" s="22" t="s">
        <v>7933</v>
      </c>
      <c r="G2449" s="21" t="s">
        <v>7936</v>
      </c>
      <c r="H2449" s="21" t="s">
        <v>7937</v>
      </c>
      <c r="I2449" s="12" t="s">
        <v>8699</v>
      </c>
      <c r="J2449" s="12" t="s">
        <v>10028</v>
      </c>
      <c r="K2449" s="12" t="s">
        <v>12294</v>
      </c>
      <c r="L2449" s="12" t="s">
        <v>12295</v>
      </c>
      <c r="M2449" s="12" t="s">
        <v>12296</v>
      </c>
    </row>
    <row r="2450" spans="1:13" ht="52.8">
      <c r="A2450" s="21" t="s">
        <v>7932</v>
      </c>
      <c r="B2450" s="21" t="s">
        <v>7933</v>
      </c>
      <c r="C2450" s="21" t="s">
        <v>7934</v>
      </c>
      <c r="D2450" s="21" t="s">
        <v>71</v>
      </c>
      <c r="E2450" s="22" t="s">
        <v>7935</v>
      </c>
      <c r="F2450" s="22" t="s">
        <v>7933</v>
      </c>
      <c r="G2450" s="21" t="s">
        <v>7936</v>
      </c>
      <c r="H2450" s="21" t="s">
        <v>7937</v>
      </c>
      <c r="I2450" s="12" t="s">
        <v>8700</v>
      </c>
      <c r="J2450" s="12" t="s">
        <v>10029</v>
      </c>
      <c r="K2450" s="12" t="s">
        <v>12297</v>
      </c>
      <c r="L2450" s="12" t="s">
        <v>12298</v>
      </c>
      <c r="M2450" s="12" t="s">
        <v>12299</v>
      </c>
    </row>
    <row r="2451" spans="1:13" ht="52.8">
      <c r="A2451" s="21" t="s">
        <v>7932</v>
      </c>
      <c r="B2451" s="21" t="s">
        <v>7933</v>
      </c>
      <c r="C2451" s="21" t="s">
        <v>7934</v>
      </c>
      <c r="D2451" s="21" t="s">
        <v>71</v>
      </c>
      <c r="E2451" s="22" t="s">
        <v>7935</v>
      </c>
      <c r="F2451" s="22" t="s">
        <v>7933</v>
      </c>
      <c r="G2451" s="21" t="s">
        <v>7936</v>
      </c>
      <c r="H2451" s="21" t="s">
        <v>7937</v>
      </c>
      <c r="I2451" s="12" t="s">
        <v>8701</v>
      </c>
      <c r="J2451" s="12" t="s">
        <v>10030</v>
      </c>
      <c r="K2451" s="12" t="s">
        <v>12300</v>
      </c>
      <c r="L2451" s="12" t="s">
        <v>12301</v>
      </c>
      <c r="M2451" s="12" t="s">
        <v>12302</v>
      </c>
    </row>
    <row r="2452" spans="1:13" ht="52.8">
      <c r="A2452" s="21" t="s">
        <v>7932</v>
      </c>
      <c r="B2452" s="21" t="s">
        <v>7933</v>
      </c>
      <c r="C2452" s="21" t="s">
        <v>7934</v>
      </c>
      <c r="D2452" s="21" t="s">
        <v>71</v>
      </c>
      <c r="E2452" s="22" t="s">
        <v>7935</v>
      </c>
      <c r="F2452" s="22" t="s">
        <v>7933</v>
      </c>
      <c r="G2452" s="21" t="s">
        <v>7936</v>
      </c>
      <c r="H2452" s="21" t="s">
        <v>7937</v>
      </c>
      <c r="I2452" s="12" t="s">
        <v>8702</v>
      </c>
      <c r="J2452" s="12" t="s">
        <v>10031</v>
      </c>
      <c r="K2452" s="12" t="s">
        <v>12303</v>
      </c>
      <c r="L2452" s="12" t="s">
        <v>12304</v>
      </c>
      <c r="M2452" s="12" t="s">
        <v>12303</v>
      </c>
    </row>
    <row r="2453" spans="1:13" ht="52.8">
      <c r="A2453" s="21" t="s">
        <v>7932</v>
      </c>
      <c r="B2453" s="21" t="s">
        <v>7933</v>
      </c>
      <c r="C2453" s="21" t="s">
        <v>7934</v>
      </c>
      <c r="D2453" s="21" t="s">
        <v>71</v>
      </c>
      <c r="E2453" s="22" t="s">
        <v>7935</v>
      </c>
      <c r="F2453" s="22" t="s">
        <v>7933</v>
      </c>
      <c r="G2453" s="21" t="s">
        <v>7936</v>
      </c>
      <c r="H2453" s="21" t="s">
        <v>7937</v>
      </c>
      <c r="I2453" s="12" t="s">
        <v>8703</v>
      </c>
      <c r="J2453" s="12" t="s">
        <v>10032</v>
      </c>
      <c r="K2453" s="12" t="s">
        <v>12305</v>
      </c>
      <c r="L2453" s="12" t="s">
        <v>12306</v>
      </c>
      <c r="M2453" s="12" t="s">
        <v>12307</v>
      </c>
    </row>
    <row r="2454" spans="1:13" ht="92.4">
      <c r="A2454" s="21" t="s">
        <v>7932</v>
      </c>
      <c r="B2454" s="21" t="s">
        <v>7933</v>
      </c>
      <c r="C2454" s="21" t="s">
        <v>7934</v>
      </c>
      <c r="D2454" s="21" t="s">
        <v>71</v>
      </c>
      <c r="E2454" s="22" t="s">
        <v>7935</v>
      </c>
      <c r="F2454" s="22" t="s">
        <v>7933</v>
      </c>
      <c r="G2454" s="21" t="s">
        <v>7936</v>
      </c>
      <c r="H2454" s="21" t="s">
        <v>7937</v>
      </c>
      <c r="I2454" s="12" t="s">
        <v>8704</v>
      </c>
      <c r="J2454" s="12" t="s">
        <v>10033</v>
      </c>
      <c r="K2454" s="12"/>
      <c r="L2454" s="12" t="s">
        <v>12308</v>
      </c>
      <c r="M2454" s="12" t="s">
        <v>12309</v>
      </c>
    </row>
    <row r="2455" spans="1:13" ht="52.8">
      <c r="A2455" s="21" t="s">
        <v>7932</v>
      </c>
      <c r="B2455" s="21" t="s">
        <v>7933</v>
      </c>
      <c r="C2455" s="21" t="s">
        <v>7934</v>
      </c>
      <c r="D2455" s="21" t="s">
        <v>71</v>
      </c>
      <c r="E2455" s="22" t="s">
        <v>7935</v>
      </c>
      <c r="F2455" s="22" t="s">
        <v>7933</v>
      </c>
      <c r="G2455" s="21" t="s">
        <v>7936</v>
      </c>
      <c r="H2455" s="21" t="s">
        <v>7937</v>
      </c>
      <c r="I2455" s="12" t="s">
        <v>8705</v>
      </c>
      <c r="J2455" s="12" t="s">
        <v>10034</v>
      </c>
      <c r="K2455" s="12" t="s">
        <v>12310</v>
      </c>
      <c r="L2455" s="12" t="s">
        <v>12311</v>
      </c>
      <c r="M2455" s="12" t="s">
        <v>12312</v>
      </c>
    </row>
    <row r="2456" spans="1:13" ht="79.2">
      <c r="A2456" s="21" t="s">
        <v>7932</v>
      </c>
      <c r="B2456" s="21" t="s">
        <v>7933</v>
      </c>
      <c r="C2456" s="21" t="s">
        <v>7934</v>
      </c>
      <c r="D2456" s="21" t="s">
        <v>71</v>
      </c>
      <c r="E2456" s="22" t="s">
        <v>7935</v>
      </c>
      <c r="F2456" s="22" t="s">
        <v>7933</v>
      </c>
      <c r="G2456" s="21" t="s">
        <v>7936</v>
      </c>
      <c r="H2456" s="21" t="s">
        <v>7937</v>
      </c>
      <c r="I2456" s="12" t="s">
        <v>8706</v>
      </c>
      <c r="J2456" s="12" t="s">
        <v>10035</v>
      </c>
      <c r="K2456" s="12" t="s">
        <v>12313</v>
      </c>
      <c r="L2456" s="12" t="s">
        <v>12314</v>
      </c>
      <c r="M2456" s="12" t="s">
        <v>12315</v>
      </c>
    </row>
    <row r="2457" spans="1:13" ht="105.6">
      <c r="A2457" s="21" t="s">
        <v>7932</v>
      </c>
      <c r="B2457" s="21" t="s">
        <v>7933</v>
      </c>
      <c r="C2457" s="21" t="s">
        <v>7934</v>
      </c>
      <c r="D2457" s="21" t="s">
        <v>71</v>
      </c>
      <c r="E2457" s="22" t="s">
        <v>7935</v>
      </c>
      <c r="F2457" s="22" t="s">
        <v>7933</v>
      </c>
      <c r="G2457" s="21" t="s">
        <v>7936</v>
      </c>
      <c r="H2457" s="21" t="s">
        <v>7937</v>
      </c>
      <c r="I2457" s="12" t="s">
        <v>8707</v>
      </c>
      <c r="J2457" s="12" t="s">
        <v>10036</v>
      </c>
      <c r="K2457" s="12"/>
      <c r="L2457" s="12" t="s">
        <v>12316</v>
      </c>
      <c r="M2457" s="12" t="s">
        <v>12317</v>
      </c>
    </row>
    <row r="2458" spans="1:13" ht="52.8">
      <c r="A2458" s="21" t="s">
        <v>7932</v>
      </c>
      <c r="B2458" s="21" t="s">
        <v>7933</v>
      </c>
      <c r="C2458" s="21" t="s">
        <v>7934</v>
      </c>
      <c r="D2458" s="21" t="s">
        <v>71</v>
      </c>
      <c r="E2458" s="22" t="s">
        <v>7935</v>
      </c>
      <c r="F2458" s="22" t="s">
        <v>7933</v>
      </c>
      <c r="G2458" s="21" t="s">
        <v>7936</v>
      </c>
      <c r="H2458" s="21" t="s">
        <v>7937</v>
      </c>
      <c r="I2458" s="12" t="s">
        <v>8708</v>
      </c>
      <c r="J2458" s="12" t="s">
        <v>10037</v>
      </c>
      <c r="K2458" s="12" t="s">
        <v>12318</v>
      </c>
      <c r="L2458" s="12" t="s">
        <v>12319</v>
      </c>
      <c r="M2458" s="12" t="s">
        <v>12318</v>
      </c>
    </row>
    <row r="2459" spans="1:13" ht="52.8">
      <c r="A2459" s="21" t="s">
        <v>7932</v>
      </c>
      <c r="B2459" s="21" t="s">
        <v>7933</v>
      </c>
      <c r="C2459" s="21" t="s">
        <v>7934</v>
      </c>
      <c r="D2459" s="21" t="s">
        <v>71</v>
      </c>
      <c r="E2459" s="22" t="s">
        <v>7935</v>
      </c>
      <c r="F2459" s="22" t="s">
        <v>7933</v>
      </c>
      <c r="G2459" s="21" t="s">
        <v>7936</v>
      </c>
      <c r="H2459" s="21" t="s">
        <v>7937</v>
      </c>
      <c r="I2459" s="12" t="s">
        <v>8709</v>
      </c>
      <c r="J2459" s="12" t="s">
        <v>10038</v>
      </c>
      <c r="K2459" s="12"/>
      <c r="L2459" s="12" t="s">
        <v>12320</v>
      </c>
      <c r="M2459" s="12" t="s">
        <v>12321</v>
      </c>
    </row>
    <row r="2460" spans="1:13" ht="52.8">
      <c r="A2460" s="21" t="s">
        <v>7932</v>
      </c>
      <c r="B2460" s="21" t="s">
        <v>7933</v>
      </c>
      <c r="C2460" s="21" t="s">
        <v>7934</v>
      </c>
      <c r="D2460" s="21" t="s">
        <v>71</v>
      </c>
      <c r="E2460" s="22" t="s">
        <v>7935</v>
      </c>
      <c r="F2460" s="22" t="s">
        <v>7933</v>
      </c>
      <c r="G2460" s="21" t="s">
        <v>7936</v>
      </c>
      <c r="H2460" s="21" t="s">
        <v>7937</v>
      </c>
      <c r="I2460" s="12" t="s">
        <v>8710</v>
      </c>
      <c r="J2460" s="12" t="s">
        <v>10039</v>
      </c>
      <c r="K2460" s="12"/>
      <c r="L2460" s="12" t="s">
        <v>12322</v>
      </c>
      <c r="M2460" s="12" t="s">
        <v>12323</v>
      </c>
    </row>
    <row r="2461" spans="1:13" ht="52.8">
      <c r="A2461" s="21" t="s">
        <v>7932</v>
      </c>
      <c r="B2461" s="21" t="s">
        <v>7933</v>
      </c>
      <c r="C2461" s="21" t="s">
        <v>7934</v>
      </c>
      <c r="D2461" s="21" t="s">
        <v>71</v>
      </c>
      <c r="E2461" s="22" t="s">
        <v>7935</v>
      </c>
      <c r="F2461" s="22" t="s">
        <v>7933</v>
      </c>
      <c r="G2461" s="21" t="s">
        <v>7936</v>
      </c>
      <c r="H2461" s="21" t="s">
        <v>7937</v>
      </c>
      <c r="I2461" s="12" t="s">
        <v>8711</v>
      </c>
      <c r="J2461" s="12" t="s">
        <v>10040</v>
      </c>
      <c r="K2461" s="12"/>
      <c r="L2461" s="12" t="s">
        <v>12324</v>
      </c>
      <c r="M2461" s="12" t="s">
        <v>12325</v>
      </c>
    </row>
    <row r="2462" spans="1:13" ht="52.8">
      <c r="A2462" s="21" t="s">
        <v>7932</v>
      </c>
      <c r="B2462" s="21" t="s">
        <v>7933</v>
      </c>
      <c r="C2462" s="21" t="s">
        <v>7934</v>
      </c>
      <c r="D2462" s="21" t="s">
        <v>71</v>
      </c>
      <c r="E2462" s="22" t="s">
        <v>7935</v>
      </c>
      <c r="F2462" s="22" t="s">
        <v>7933</v>
      </c>
      <c r="G2462" s="21" t="s">
        <v>7936</v>
      </c>
      <c r="H2462" s="21" t="s">
        <v>7937</v>
      </c>
      <c r="I2462" s="12" t="s">
        <v>8712</v>
      </c>
      <c r="J2462" s="12" t="s">
        <v>10041</v>
      </c>
      <c r="K2462" s="12"/>
      <c r="L2462" s="12" t="s">
        <v>12326</v>
      </c>
      <c r="M2462" s="12" t="s">
        <v>12327</v>
      </c>
    </row>
    <row r="2463" spans="1:13" ht="52.8">
      <c r="A2463" s="21" t="s">
        <v>7932</v>
      </c>
      <c r="B2463" s="21" t="s">
        <v>7933</v>
      </c>
      <c r="C2463" s="21" t="s">
        <v>7934</v>
      </c>
      <c r="D2463" s="21" t="s">
        <v>71</v>
      </c>
      <c r="E2463" s="22" t="s">
        <v>7935</v>
      </c>
      <c r="F2463" s="22" t="s">
        <v>7933</v>
      </c>
      <c r="G2463" s="21" t="s">
        <v>7936</v>
      </c>
      <c r="H2463" s="21" t="s">
        <v>7937</v>
      </c>
      <c r="I2463" s="12" t="s">
        <v>8713</v>
      </c>
      <c r="J2463" s="12" t="s">
        <v>10042</v>
      </c>
      <c r="K2463" s="12"/>
      <c r="L2463" s="12" t="s">
        <v>12328</v>
      </c>
      <c r="M2463" s="12" t="s">
        <v>12329</v>
      </c>
    </row>
    <row r="2464" spans="1:13" ht="52.8">
      <c r="A2464" s="21" t="s">
        <v>7932</v>
      </c>
      <c r="B2464" s="21" t="s">
        <v>7933</v>
      </c>
      <c r="C2464" s="21" t="s">
        <v>7934</v>
      </c>
      <c r="D2464" s="21" t="s">
        <v>71</v>
      </c>
      <c r="E2464" s="22" t="s">
        <v>7935</v>
      </c>
      <c r="F2464" s="22" t="s">
        <v>7933</v>
      </c>
      <c r="G2464" s="21" t="s">
        <v>7936</v>
      </c>
      <c r="H2464" s="21" t="s">
        <v>7937</v>
      </c>
      <c r="I2464" s="12" t="s">
        <v>8714</v>
      </c>
      <c r="J2464" s="12" t="s">
        <v>10043</v>
      </c>
      <c r="K2464" s="12"/>
      <c r="L2464" s="12" t="s">
        <v>12330</v>
      </c>
      <c r="M2464" s="12" t="s">
        <v>12331</v>
      </c>
    </row>
    <row r="2465" spans="1:13" ht="52.8">
      <c r="A2465" s="21" t="s">
        <v>7932</v>
      </c>
      <c r="B2465" s="21" t="s">
        <v>7933</v>
      </c>
      <c r="C2465" s="21" t="s">
        <v>7934</v>
      </c>
      <c r="D2465" s="21" t="s">
        <v>71</v>
      </c>
      <c r="E2465" s="22" t="s">
        <v>7935</v>
      </c>
      <c r="F2465" s="22" t="s">
        <v>7933</v>
      </c>
      <c r="G2465" s="21" t="s">
        <v>7936</v>
      </c>
      <c r="H2465" s="21" t="s">
        <v>7937</v>
      </c>
      <c r="I2465" s="12" t="s">
        <v>8715</v>
      </c>
      <c r="J2465" s="12" t="s">
        <v>10044</v>
      </c>
      <c r="K2465" s="12"/>
      <c r="L2465" s="12" t="s">
        <v>12332</v>
      </c>
      <c r="M2465" s="12" t="s">
        <v>12333</v>
      </c>
    </row>
    <row r="2466" spans="1:13" ht="52.8">
      <c r="A2466" s="21" t="s">
        <v>7932</v>
      </c>
      <c r="B2466" s="21" t="s">
        <v>7933</v>
      </c>
      <c r="C2466" s="21" t="s">
        <v>7934</v>
      </c>
      <c r="D2466" s="21" t="s">
        <v>71</v>
      </c>
      <c r="E2466" s="22" t="s">
        <v>7935</v>
      </c>
      <c r="F2466" s="22" t="s">
        <v>7933</v>
      </c>
      <c r="G2466" s="21" t="s">
        <v>7936</v>
      </c>
      <c r="H2466" s="21" t="s">
        <v>7937</v>
      </c>
      <c r="I2466" s="12" t="s">
        <v>8716</v>
      </c>
      <c r="J2466" s="12" t="s">
        <v>10045</v>
      </c>
      <c r="K2466" s="12"/>
      <c r="L2466" s="12" t="s">
        <v>12334</v>
      </c>
      <c r="M2466" s="12" t="s">
        <v>12335</v>
      </c>
    </row>
    <row r="2467" spans="1:13" ht="52.8">
      <c r="A2467" s="21" t="s">
        <v>7932</v>
      </c>
      <c r="B2467" s="21" t="s">
        <v>7933</v>
      </c>
      <c r="C2467" s="21" t="s">
        <v>7934</v>
      </c>
      <c r="D2467" s="21" t="s">
        <v>71</v>
      </c>
      <c r="E2467" s="22" t="s">
        <v>7935</v>
      </c>
      <c r="F2467" s="22" t="s">
        <v>7933</v>
      </c>
      <c r="G2467" s="21" t="s">
        <v>7936</v>
      </c>
      <c r="H2467" s="21" t="s">
        <v>7937</v>
      </c>
      <c r="I2467" s="12" t="s">
        <v>8717</v>
      </c>
      <c r="J2467" s="12" t="s">
        <v>10046</v>
      </c>
      <c r="K2467" s="12" t="s">
        <v>12336</v>
      </c>
      <c r="L2467" s="12" t="s">
        <v>12337</v>
      </c>
      <c r="M2467" s="12" t="s">
        <v>12338</v>
      </c>
    </row>
    <row r="2468" spans="1:13" ht="52.8">
      <c r="A2468" s="21" t="s">
        <v>7932</v>
      </c>
      <c r="B2468" s="21" t="s">
        <v>7933</v>
      </c>
      <c r="C2468" s="21" t="s">
        <v>7934</v>
      </c>
      <c r="D2468" s="21" t="s">
        <v>71</v>
      </c>
      <c r="E2468" s="22" t="s">
        <v>7935</v>
      </c>
      <c r="F2468" s="22" t="s">
        <v>7933</v>
      </c>
      <c r="G2468" s="21" t="s">
        <v>7936</v>
      </c>
      <c r="H2468" s="21" t="s">
        <v>7937</v>
      </c>
      <c r="I2468" s="12" t="s">
        <v>8718</v>
      </c>
      <c r="J2468" s="12" t="s">
        <v>10047</v>
      </c>
      <c r="K2468" s="12" t="s">
        <v>12339</v>
      </c>
      <c r="L2468" s="12" t="s">
        <v>12340</v>
      </c>
      <c r="M2468" s="12" t="s">
        <v>12341</v>
      </c>
    </row>
    <row r="2469" spans="1:13" ht="52.8">
      <c r="A2469" s="21" t="s">
        <v>7932</v>
      </c>
      <c r="B2469" s="21" t="s">
        <v>7933</v>
      </c>
      <c r="C2469" s="21" t="s">
        <v>7934</v>
      </c>
      <c r="D2469" s="21" t="s">
        <v>71</v>
      </c>
      <c r="E2469" s="22" t="s">
        <v>7935</v>
      </c>
      <c r="F2469" s="22" t="s">
        <v>7933</v>
      </c>
      <c r="G2469" s="21" t="s">
        <v>7936</v>
      </c>
      <c r="H2469" s="21" t="s">
        <v>7937</v>
      </c>
      <c r="I2469" s="12" t="s">
        <v>8719</v>
      </c>
      <c r="J2469" s="12" t="s">
        <v>10048</v>
      </c>
      <c r="K2469" s="12"/>
      <c r="L2469" s="12" t="s">
        <v>12342</v>
      </c>
      <c r="M2469" s="12" t="s">
        <v>12343</v>
      </c>
    </row>
    <row r="2470" spans="1:13" ht="52.8">
      <c r="A2470" s="21" t="s">
        <v>7932</v>
      </c>
      <c r="B2470" s="21" t="s">
        <v>7933</v>
      </c>
      <c r="C2470" s="21" t="s">
        <v>7934</v>
      </c>
      <c r="D2470" s="21" t="s">
        <v>71</v>
      </c>
      <c r="E2470" s="22" t="s">
        <v>7935</v>
      </c>
      <c r="F2470" s="22" t="s">
        <v>7933</v>
      </c>
      <c r="G2470" s="21" t="s">
        <v>7936</v>
      </c>
      <c r="H2470" s="21" t="s">
        <v>7937</v>
      </c>
      <c r="I2470" s="12" t="s">
        <v>8720</v>
      </c>
      <c r="J2470" s="12" t="s">
        <v>10049</v>
      </c>
      <c r="K2470" s="12" t="s">
        <v>12344</v>
      </c>
      <c r="L2470" s="12" t="s">
        <v>12345</v>
      </c>
      <c r="M2470" s="12" t="s">
        <v>12346</v>
      </c>
    </row>
    <row r="2471" spans="1:13" ht="52.8">
      <c r="A2471" s="21" t="s">
        <v>7932</v>
      </c>
      <c r="B2471" s="21" t="s">
        <v>7933</v>
      </c>
      <c r="C2471" s="21" t="s">
        <v>7934</v>
      </c>
      <c r="D2471" s="21" t="s">
        <v>71</v>
      </c>
      <c r="E2471" s="22" t="s">
        <v>7935</v>
      </c>
      <c r="F2471" s="22" t="s">
        <v>7933</v>
      </c>
      <c r="G2471" s="21" t="s">
        <v>7936</v>
      </c>
      <c r="H2471" s="21" t="s">
        <v>7937</v>
      </c>
      <c r="I2471" s="12" t="s">
        <v>8721</v>
      </c>
      <c r="J2471" s="12" t="s">
        <v>10050</v>
      </c>
      <c r="K2471" s="12"/>
      <c r="L2471" s="12" t="s">
        <v>12347</v>
      </c>
      <c r="M2471" s="12" t="s">
        <v>12348</v>
      </c>
    </row>
    <row r="2472" spans="1:13" ht="52.8">
      <c r="A2472" s="21" t="s">
        <v>7932</v>
      </c>
      <c r="B2472" s="21" t="s">
        <v>7933</v>
      </c>
      <c r="C2472" s="21" t="s">
        <v>7934</v>
      </c>
      <c r="D2472" s="21" t="s">
        <v>71</v>
      </c>
      <c r="E2472" s="22" t="s">
        <v>7935</v>
      </c>
      <c r="F2472" s="22" t="s">
        <v>7933</v>
      </c>
      <c r="G2472" s="21" t="s">
        <v>7936</v>
      </c>
      <c r="H2472" s="21" t="s">
        <v>7937</v>
      </c>
      <c r="I2472" s="12" t="s">
        <v>8722</v>
      </c>
      <c r="J2472" s="12" t="s">
        <v>10051</v>
      </c>
      <c r="K2472" s="12"/>
      <c r="L2472" s="12" t="s">
        <v>12349</v>
      </c>
      <c r="M2472" s="12" t="s">
        <v>12350</v>
      </c>
    </row>
    <row r="2473" spans="1:13" ht="52.8">
      <c r="A2473" s="21" t="s">
        <v>7932</v>
      </c>
      <c r="B2473" s="21" t="s">
        <v>7933</v>
      </c>
      <c r="C2473" s="21" t="s">
        <v>7934</v>
      </c>
      <c r="D2473" s="21" t="s">
        <v>71</v>
      </c>
      <c r="E2473" s="22" t="s">
        <v>7935</v>
      </c>
      <c r="F2473" s="22" t="s">
        <v>7933</v>
      </c>
      <c r="G2473" s="21" t="s">
        <v>7936</v>
      </c>
      <c r="H2473" s="21" t="s">
        <v>7937</v>
      </c>
      <c r="I2473" s="12" t="s">
        <v>8723</v>
      </c>
      <c r="J2473" s="12" t="s">
        <v>10052</v>
      </c>
      <c r="K2473" s="12"/>
      <c r="L2473" s="12" t="s">
        <v>12351</v>
      </c>
      <c r="M2473" s="12" t="s">
        <v>12352</v>
      </c>
    </row>
    <row r="2474" spans="1:13" ht="52.8">
      <c r="A2474" s="21" t="s">
        <v>7932</v>
      </c>
      <c r="B2474" s="21" t="s">
        <v>7933</v>
      </c>
      <c r="C2474" s="21" t="s">
        <v>7934</v>
      </c>
      <c r="D2474" s="21" t="s">
        <v>71</v>
      </c>
      <c r="E2474" s="22" t="s">
        <v>7935</v>
      </c>
      <c r="F2474" s="22" t="s">
        <v>7933</v>
      </c>
      <c r="G2474" s="21" t="s">
        <v>7936</v>
      </c>
      <c r="H2474" s="21" t="s">
        <v>7937</v>
      </c>
      <c r="I2474" s="12" t="s">
        <v>8724</v>
      </c>
      <c r="J2474" s="12" t="s">
        <v>10053</v>
      </c>
      <c r="K2474" s="12" t="s">
        <v>12353</v>
      </c>
      <c r="L2474" s="12" t="s">
        <v>12354</v>
      </c>
      <c r="M2474" s="12" t="s">
        <v>12355</v>
      </c>
    </row>
    <row r="2475" spans="1:13" ht="52.8">
      <c r="A2475" s="21" t="s">
        <v>7932</v>
      </c>
      <c r="B2475" s="21" t="s">
        <v>7933</v>
      </c>
      <c r="C2475" s="21" t="s">
        <v>7934</v>
      </c>
      <c r="D2475" s="21" t="s">
        <v>71</v>
      </c>
      <c r="E2475" s="22" t="s">
        <v>7935</v>
      </c>
      <c r="F2475" s="22" t="s">
        <v>7933</v>
      </c>
      <c r="G2475" s="21" t="s">
        <v>7936</v>
      </c>
      <c r="H2475" s="21" t="s">
        <v>7937</v>
      </c>
      <c r="I2475" s="12" t="s">
        <v>8725</v>
      </c>
      <c r="J2475" s="12" t="s">
        <v>10054</v>
      </c>
      <c r="K2475" s="12"/>
      <c r="L2475" s="12" t="s">
        <v>12356</v>
      </c>
      <c r="M2475" s="12" t="s">
        <v>12357</v>
      </c>
    </row>
    <row r="2476" spans="1:13" ht="52.8">
      <c r="A2476" s="21" t="s">
        <v>7932</v>
      </c>
      <c r="B2476" s="21" t="s">
        <v>7933</v>
      </c>
      <c r="C2476" s="21" t="s">
        <v>7934</v>
      </c>
      <c r="D2476" s="21" t="s">
        <v>71</v>
      </c>
      <c r="E2476" s="22" t="s">
        <v>7935</v>
      </c>
      <c r="F2476" s="22" t="s">
        <v>7933</v>
      </c>
      <c r="G2476" s="21" t="s">
        <v>7936</v>
      </c>
      <c r="H2476" s="21" t="s">
        <v>7937</v>
      </c>
      <c r="I2476" s="12" t="s">
        <v>8726</v>
      </c>
      <c r="J2476" s="12" t="s">
        <v>10055</v>
      </c>
      <c r="K2476" s="12"/>
      <c r="L2476" s="12" t="s">
        <v>12358</v>
      </c>
      <c r="M2476" s="12" t="s">
        <v>12359</v>
      </c>
    </row>
    <row r="2477" spans="1:13" ht="52.8">
      <c r="A2477" s="21" t="s">
        <v>7932</v>
      </c>
      <c r="B2477" s="21" t="s">
        <v>7933</v>
      </c>
      <c r="C2477" s="21" t="s">
        <v>7934</v>
      </c>
      <c r="D2477" s="21" t="s">
        <v>71</v>
      </c>
      <c r="E2477" s="22" t="s">
        <v>7935</v>
      </c>
      <c r="F2477" s="22" t="s">
        <v>7933</v>
      </c>
      <c r="G2477" s="21" t="s">
        <v>7936</v>
      </c>
      <c r="H2477" s="21" t="s">
        <v>7937</v>
      </c>
      <c r="I2477" s="12" t="s">
        <v>8727</v>
      </c>
      <c r="J2477" s="12" t="s">
        <v>10056</v>
      </c>
      <c r="K2477" s="12" t="s">
        <v>12360</v>
      </c>
      <c r="L2477" s="12" t="s">
        <v>12361</v>
      </c>
      <c r="M2477" s="12" t="s">
        <v>12360</v>
      </c>
    </row>
    <row r="2478" spans="1:13" ht="52.8">
      <c r="A2478" s="21" t="s">
        <v>7932</v>
      </c>
      <c r="B2478" s="21" t="s">
        <v>7933</v>
      </c>
      <c r="C2478" s="21" t="s">
        <v>7934</v>
      </c>
      <c r="D2478" s="21" t="s">
        <v>71</v>
      </c>
      <c r="E2478" s="22" t="s">
        <v>7935</v>
      </c>
      <c r="F2478" s="22" t="s">
        <v>7933</v>
      </c>
      <c r="G2478" s="21" t="s">
        <v>7936</v>
      </c>
      <c r="H2478" s="21" t="s">
        <v>7937</v>
      </c>
      <c r="I2478" s="12" t="s">
        <v>8728</v>
      </c>
      <c r="J2478" s="12" t="s">
        <v>10057</v>
      </c>
      <c r="K2478" s="12"/>
      <c r="L2478" s="12" t="s">
        <v>12362</v>
      </c>
      <c r="M2478" s="12" t="s">
        <v>12363</v>
      </c>
    </row>
    <row r="2479" spans="1:13" ht="52.8">
      <c r="A2479" s="21" t="s">
        <v>7932</v>
      </c>
      <c r="B2479" s="21" t="s">
        <v>7933</v>
      </c>
      <c r="C2479" s="21" t="s">
        <v>7934</v>
      </c>
      <c r="D2479" s="21" t="s">
        <v>71</v>
      </c>
      <c r="E2479" s="22" t="s">
        <v>7935</v>
      </c>
      <c r="F2479" s="22" t="s">
        <v>7933</v>
      </c>
      <c r="G2479" s="21" t="s">
        <v>7936</v>
      </c>
      <c r="H2479" s="21" t="s">
        <v>7937</v>
      </c>
      <c r="I2479" s="12" t="s">
        <v>8729</v>
      </c>
      <c r="J2479" s="12" t="s">
        <v>10058</v>
      </c>
      <c r="K2479" s="12" t="s">
        <v>12364</v>
      </c>
      <c r="L2479" s="12" t="s">
        <v>12365</v>
      </c>
      <c r="M2479" s="12" t="s">
        <v>12364</v>
      </c>
    </row>
    <row r="2480" spans="1:13" ht="52.8">
      <c r="A2480" s="21" t="s">
        <v>7932</v>
      </c>
      <c r="B2480" s="21" t="s">
        <v>7933</v>
      </c>
      <c r="C2480" s="21" t="s">
        <v>7934</v>
      </c>
      <c r="D2480" s="21" t="s">
        <v>71</v>
      </c>
      <c r="E2480" s="22" t="s">
        <v>7935</v>
      </c>
      <c r="F2480" s="22" t="s">
        <v>7933</v>
      </c>
      <c r="G2480" s="21" t="s">
        <v>7936</v>
      </c>
      <c r="H2480" s="21" t="s">
        <v>7937</v>
      </c>
      <c r="I2480" s="12" t="s">
        <v>8730</v>
      </c>
      <c r="J2480" s="12" t="s">
        <v>10059</v>
      </c>
      <c r="K2480" s="12" t="s">
        <v>12366</v>
      </c>
      <c r="L2480" s="12" t="s">
        <v>12367</v>
      </c>
      <c r="M2480" s="12" t="s">
        <v>12366</v>
      </c>
    </row>
    <row r="2481" spans="1:13" ht="52.8">
      <c r="A2481" s="21" t="s">
        <v>7932</v>
      </c>
      <c r="B2481" s="21" t="s">
        <v>7933</v>
      </c>
      <c r="C2481" s="21" t="s">
        <v>7934</v>
      </c>
      <c r="D2481" s="21" t="s">
        <v>71</v>
      </c>
      <c r="E2481" s="22" t="s">
        <v>7935</v>
      </c>
      <c r="F2481" s="22" t="s">
        <v>7933</v>
      </c>
      <c r="G2481" s="21" t="s">
        <v>7936</v>
      </c>
      <c r="H2481" s="21" t="s">
        <v>7937</v>
      </c>
      <c r="I2481" s="12" t="s">
        <v>8731</v>
      </c>
      <c r="J2481" s="12" t="s">
        <v>10060</v>
      </c>
      <c r="K2481" s="12"/>
      <c r="L2481" s="12" t="s">
        <v>12368</v>
      </c>
      <c r="M2481" s="12" t="s">
        <v>12369</v>
      </c>
    </row>
    <row r="2482" spans="1:13" ht="52.8">
      <c r="A2482" s="21" t="s">
        <v>7932</v>
      </c>
      <c r="B2482" s="21" t="s">
        <v>7933</v>
      </c>
      <c r="C2482" s="21" t="s">
        <v>7934</v>
      </c>
      <c r="D2482" s="21" t="s">
        <v>71</v>
      </c>
      <c r="E2482" s="22" t="s">
        <v>7935</v>
      </c>
      <c r="F2482" s="22" t="s">
        <v>7933</v>
      </c>
      <c r="G2482" s="21" t="s">
        <v>7936</v>
      </c>
      <c r="H2482" s="21" t="s">
        <v>7937</v>
      </c>
      <c r="I2482" s="12" t="s">
        <v>8732</v>
      </c>
      <c r="J2482" s="12" t="s">
        <v>10061</v>
      </c>
      <c r="K2482" s="12" t="s">
        <v>12370</v>
      </c>
      <c r="L2482" s="12" t="s">
        <v>12371</v>
      </c>
      <c r="M2482" s="12" t="s">
        <v>12370</v>
      </c>
    </row>
    <row r="2483" spans="1:13" ht="52.8">
      <c r="A2483" s="21" t="s">
        <v>7932</v>
      </c>
      <c r="B2483" s="21" t="s">
        <v>7933</v>
      </c>
      <c r="C2483" s="21" t="s">
        <v>7934</v>
      </c>
      <c r="D2483" s="21" t="s">
        <v>71</v>
      </c>
      <c r="E2483" s="22" t="s">
        <v>7935</v>
      </c>
      <c r="F2483" s="22" t="s">
        <v>7933</v>
      </c>
      <c r="G2483" s="21" t="s">
        <v>7936</v>
      </c>
      <c r="H2483" s="21" t="s">
        <v>7937</v>
      </c>
      <c r="I2483" s="12" t="s">
        <v>8733</v>
      </c>
      <c r="J2483" s="12" t="s">
        <v>10062</v>
      </c>
      <c r="K2483" s="12"/>
      <c r="L2483" s="12" t="s">
        <v>12372</v>
      </c>
      <c r="M2483" s="12" t="s">
        <v>12373</v>
      </c>
    </row>
    <row r="2484" spans="1:13" ht="52.8">
      <c r="A2484" s="21" t="s">
        <v>7932</v>
      </c>
      <c r="B2484" s="21" t="s">
        <v>7933</v>
      </c>
      <c r="C2484" s="21" t="s">
        <v>7934</v>
      </c>
      <c r="D2484" s="21" t="s">
        <v>71</v>
      </c>
      <c r="E2484" s="22" t="s">
        <v>7935</v>
      </c>
      <c r="F2484" s="22" t="s">
        <v>7933</v>
      </c>
      <c r="G2484" s="21" t="s">
        <v>7936</v>
      </c>
      <c r="H2484" s="21" t="s">
        <v>7937</v>
      </c>
      <c r="I2484" s="12" t="s">
        <v>8734</v>
      </c>
      <c r="J2484" s="12" t="s">
        <v>10063</v>
      </c>
      <c r="K2484" s="12"/>
      <c r="L2484" s="12" t="s">
        <v>12374</v>
      </c>
      <c r="M2484" s="12" t="s">
        <v>12375</v>
      </c>
    </row>
    <row r="2485" spans="1:13" ht="52.8">
      <c r="A2485" s="21" t="s">
        <v>7932</v>
      </c>
      <c r="B2485" s="21" t="s">
        <v>7933</v>
      </c>
      <c r="C2485" s="21" t="s">
        <v>7934</v>
      </c>
      <c r="D2485" s="21" t="s">
        <v>71</v>
      </c>
      <c r="E2485" s="22" t="s">
        <v>7935</v>
      </c>
      <c r="F2485" s="22" t="s">
        <v>7933</v>
      </c>
      <c r="G2485" s="21" t="s">
        <v>7936</v>
      </c>
      <c r="H2485" s="21" t="s">
        <v>7937</v>
      </c>
      <c r="I2485" s="12" t="s">
        <v>8735</v>
      </c>
      <c r="J2485" s="12" t="s">
        <v>10064</v>
      </c>
      <c r="K2485" s="12" t="s">
        <v>12376</v>
      </c>
      <c r="L2485" s="12" t="s">
        <v>12377</v>
      </c>
      <c r="M2485" s="12" t="s">
        <v>12376</v>
      </c>
    </row>
    <row r="2486" spans="1:13" ht="52.8">
      <c r="A2486" s="21" t="s">
        <v>7932</v>
      </c>
      <c r="B2486" s="21" t="s">
        <v>7933</v>
      </c>
      <c r="C2486" s="21" t="s">
        <v>7934</v>
      </c>
      <c r="D2486" s="21" t="s">
        <v>71</v>
      </c>
      <c r="E2486" s="22" t="s">
        <v>7935</v>
      </c>
      <c r="F2486" s="22" t="s">
        <v>7933</v>
      </c>
      <c r="G2486" s="21" t="s">
        <v>7936</v>
      </c>
      <c r="H2486" s="21" t="s">
        <v>7937</v>
      </c>
      <c r="I2486" s="12" t="s">
        <v>8736</v>
      </c>
      <c r="J2486" s="12" t="s">
        <v>10065</v>
      </c>
      <c r="K2486" s="12" t="s">
        <v>12378</v>
      </c>
      <c r="L2486" s="12" t="s">
        <v>12379</v>
      </c>
      <c r="M2486" s="12" t="s">
        <v>12378</v>
      </c>
    </row>
    <row r="2487" spans="1:13" ht="52.8">
      <c r="A2487" s="21" t="s">
        <v>7932</v>
      </c>
      <c r="B2487" s="21" t="s">
        <v>7933</v>
      </c>
      <c r="C2487" s="21" t="s">
        <v>7934</v>
      </c>
      <c r="D2487" s="21" t="s">
        <v>71</v>
      </c>
      <c r="E2487" s="22" t="s">
        <v>7935</v>
      </c>
      <c r="F2487" s="22" t="s">
        <v>7933</v>
      </c>
      <c r="G2487" s="21" t="s">
        <v>7936</v>
      </c>
      <c r="H2487" s="21" t="s">
        <v>7937</v>
      </c>
      <c r="I2487" s="12" t="s">
        <v>8737</v>
      </c>
      <c r="J2487" s="12" t="s">
        <v>10066</v>
      </c>
      <c r="K2487" s="12"/>
      <c r="L2487" s="12" t="s">
        <v>12380</v>
      </c>
      <c r="M2487" s="12" t="s">
        <v>12381</v>
      </c>
    </row>
    <row r="2488" spans="1:13" ht="52.8">
      <c r="A2488" s="21" t="s">
        <v>7932</v>
      </c>
      <c r="B2488" s="21" t="s">
        <v>7933</v>
      </c>
      <c r="C2488" s="21" t="s">
        <v>7934</v>
      </c>
      <c r="D2488" s="21" t="s">
        <v>71</v>
      </c>
      <c r="E2488" s="22" t="s">
        <v>7935</v>
      </c>
      <c r="F2488" s="22" t="s">
        <v>7933</v>
      </c>
      <c r="G2488" s="21" t="s">
        <v>7936</v>
      </c>
      <c r="H2488" s="21" t="s">
        <v>7937</v>
      </c>
      <c r="I2488" s="12" t="s">
        <v>8738</v>
      </c>
      <c r="J2488" s="12" t="s">
        <v>10067</v>
      </c>
      <c r="K2488" s="12"/>
      <c r="L2488" s="12" t="s">
        <v>12382</v>
      </c>
      <c r="M2488" s="12" t="s">
        <v>12383</v>
      </c>
    </row>
    <row r="2489" spans="1:13" ht="52.8">
      <c r="A2489" s="21" t="s">
        <v>7932</v>
      </c>
      <c r="B2489" s="21" t="s">
        <v>7933</v>
      </c>
      <c r="C2489" s="21" t="s">
        <v>7934</v>
      </c>
      <c r="D2489" s="21" t="s">
        <v>71</v>
      </c>
      <c r="E2489" s="22" t="s">
        <v>7935</v>
      </c>
      <c r="F2489" s="22" t="s">
        <v>7933</v>
      </c>
      <c r="G2489" s="21" t="s">
        <v>7936</v>
      </c>
      <c r="H2489" s="21" t="s">
        <v>7937</v>
      </c>
      <c r="I2489" s="12" t="s">
        <v>8739</v>
      </c>
      <c r="J2489" s="12" t="s">
        <v>10068</v>
      </c>
      <c r="K2489" s="12" t="s">
        <v>12384</v>
      </c>
      <c r="L2489" s="12" t="s">
        <v>12385</v>
      </c>
      <c r="M2489" s="12" t="s">
        <v>12384</v>
      </c>
    </row>
    <row r="2490" spans="1:13" ht="52.8">
      <c r="A2490" s="21" t="s">
        <v>7932</v>
      </c>
      <c r="B2490" s="21" t="s">
        <v>7933</v>
      </c>
      <c r="C2490" s="21" t="s">
        <v>7934</v>
      </c>
      <c r="D2490" s="21" t="s">
        <v>71</v>
      </c>
      <c r="E2490" s="22" t="s">
        <v>7935</v>
      </c>
      <c r="F2490" s="22" t="s">
        <v>7933</v>
      </c>
      <c r="G2490" s="21" t="s">
        <v>7936</v>
      </c>
      <c r="H2490" s="21" t="s">
        <v>7937</v>
      </c>
      <c r="I2490" s="12" t="s">
        <v>8740</v>
      </c>
      <c r="J2490" s="12" t="s">
        <v>10069</v>
      </c>
      <c r="K2490" s="12" t="s">
        <v>12386</v>
      </c>
      <c r="L2490" s="12" t="s">
        <v>12387</v>
      </c>
      <c r="M2490" s="12" t="s">
        <v>12388</v>
      </c>
    </row>
    <row r="2491" spans="1:13" ht="52.8">
      <c r="A2491" s="21" t="s">
        <v>7932</v>
      </c>
      <c r="B2491" s="21" t="s">
        <v>7933</v>
      </c>
      <c r="C2491" s="21" t="s">
        <v>7934</v>
      </c>
      <c r="D2491" s="21" t="s">
        <v>71</v>
      </c>
      <c r="E2491" s="22" t="s">
        <v>7935</v>
      </c>
      <c r="F2491" s="22" t="s">
        <v>7933</v>
      </c>
      <c r="G2491" s="21" t="s">
        <v>7936</v>
      </c>
      <c r="H2491" s="21" t="s">
        <v>7937</v>
      </c>
      <c r="I2491" s="12" t="s">
        <v>8741</v>
      </c>
      <c r="J2491" s="12" t="s">
        <v>10070</v>
      </c>
      <c r="K2491" s="12"/>
      <c r="L2491" s="12" t="s">
        <v>12389</v>
      </c>
      <c r="M2491" s="12" t="s">
        <v>12390</v>
      </c>
    </row>
    <row r="2492" spans="1:13" ht="52.8">
      <c r="A2492" s="21" t="s">
        <v>7932</v>
      </c>
      <c r="B2492" s="21" t="s">
        <v>7933</v>
      </c>
      <c r="C2492" s="21" t="s">
        <v>7934</v>
      </c>
      <c r="D2492" s="21" t="s">
        <v>71</v>
      </c>
      <c r="E2492" s="22" t="s">
        <v>7935</v>
      </c>
      <c r="F2492" s="22" t="s">
        <v>7933</v>
      </c>
      <c r="G2492" s="21" t="s">
        <v>7936</v>
      </c>
      <c r="H2492" s="21" t="s">
        <v>7937</v>
      </c>
      <c r="I2492" s="12" t="s">
        <v>8742</v>
      </c>
      <c r="J2492" s="12" t="s">
        <v>10071</v>
      </c>
      <c r="K2492" s="12"/>
      <c r="L2492" s="12" t="s">
        <v>12391</v>
      </c>
      <c r="M2492" s="12" t="s">
        <v>12392</v>
      </c>
    </row>
    <row r="2493" spans="1:13" ht="52.8">
      <c r="A2493" s="21" t="s">
        <v>7932</v>
      </c>
      <c r="B2493" s="21" t="s">
        <v>7933</v>
      </c>
      <c r="C2493" s="21" t="s">
        <v>7934</v>
      </c>
      <c r="D2493" s="21" t="s">
        <v>71</v>
      </c>
      <c r="E2493" s="22" t="s">
        <v>7935</v>
      </c>
      <c r="F2493" s="22" t="s">
        <v>7933</v>
      </c>
      <c r="G2493" s="21" t="s">
        <v>7936</v>
      </c>
      <c r="H2493" s="21" t="s">
        <v>7937</v>
      </c>
      <c r="I2493" s="12" t="s">
        <v>8743</v>
      </c>
      <c r="J2493" s="12" t="s">
        <v>10072</v>
      </c>
      <c r="K2493" s="12" t="s">
        <v>12393</v>
      </c>
      <c r="L2493" s="12" t="s">
        <v>12394</v>
      </c>
      <c r="M2493" s="12" t="s">
        <v>12395</v>
      </c>
    </row>
    <row r="2494" spans="1:13" ht="52.8">
      <c r="A2494" s="21" t="s">
        <v>7932</v>
      </c>
      <c r="B2494" s="21" t="s">
        <v>7933</v>
      </c>
      <c r="C2494" s="21" t="s">
        <v>7934</v>
      </c>
      <c r="D2494" s="21" t="s">
        <v>71</v>
      </c>
      <c r="E2494" s="22" t="s">
        <v>7935</v>
      </c>
      <c r="F2494" s="22" t="s">
        <v>7933</v>
      </c>
      <c r="G2494" s="21" t="s">
        <v>7936</v>
      </c>
      <c r="H2494" s="21" t="s">
        <v>7937</v>
      </c>
      <c r="I2494" s="12" t="s">
        <v>8744</v>
      </c>
      <c r="J2494" s="12" t="s">
        <v>10073</v>
      </c>
      <c r="K2494" s="12"/>
      <c r="L2494" s="12" t="s">
        <v>12396</v>
      </c>
      <c r="M2494" s="12" t="s">
        <v>12397</v>
      </c>
    </row>
    <row r="2495" spans="1:13" ht="52.8">
      <c r="A2495" s="21" t="s">
        <v>7932</v>
      </c>
      <c r="B2495" s="21" t="s">
        <v>7933</v>
      </c>
      <c r="C2495" s="21" t="s">
        <v>7934</v>
      </c>
      <c r="D2495" s="21" t="s">
        <v>71</v>
      </c>
      <c r="E2495" s="22" t="s">
        <v>7935</v>
      </c>
      <c r="F2495" s="22" t="s">
        <v>7933</v>
      </c>
      <c r="G2495" s="21" t="s">
        <v>7936</v>
      </c>
      <c r="H2495" s="21" t="s">
        <v>7937</v>
      </c>
      <c r="I2495" s="12" t="s">
        <v>8745</v>
      </c>
      <c r="J2495" s="12" t="s">
        <v>10074</v>
      </c>
      <c r="K2495" s="12"/>
      <c r="L2495" s="12" t="s">
        <v>12398</v>
      </c>
      <c r="M2495" s="12" t="s">
        <v>12399</v>
      </c>
    </row>
    <row r="2496" spans="1:13" ht="52.8">
      <c r="A2496" s="21" t="s">
        <v>7932</v>
      </c>
      <c r="B2496" s="21" t="s">
        <v>7933</v>
      </c>
      <c r="C2496" s="21" t="s">
        <v>7934</v>
      </c>
      <c r="D2496" s="21" t="s">
        <v>71</v>
      </c>
      <c r="E2496" s="22" t="s">
        <v>7935</v>
      </c>
      <c r="F2496" s="22" t="s">
        <v>7933</v>
      </c>
      <c r="G2496" s="21" t="s">
        <v>7936</v>
      </c>
      <c r="H2496" s="21" t="s">
        <v>7937</v>
      </c>
      <c r="I2496" s="12" t="s">
        <v>8746</v>
      </c>
      <c r="J2496" s="12" t="s">
        <v>10075</v>
      </c>
      <c r="K2496" s="12"/>
      <c r="L2496" s="12" t="s">
        <v>12400</v>
      </c>
      <c r="M2496" s="12" t="s">
        <v>12401</v>
      </c>
    </row>
    <row r="2497" spans="1:13" ht="52.8">
      <c r="A2497" s="21" t="s">
        <v>7932</v>
      </c>
      <c r="B2497" s="21" t="s">
        <v>7933</v>
      </c>
      <c r="C2497" s="21" t="s">
        <v>7934</v>
      </c>
      <c r="D2497" s="21" t="s">
        <v>71</v>
      </c>
      <c r="E2497" s="22" t="s">
        <v>7935</v>
      </c>
      <c r="F2497" s="22" t="s">
        <v>7933</v>
      </c>
      <c r="G2497" s="21" t="s">
        <v>7936</v>
      </c>
      <c r="H2497" s="21" t="s">
        <v>7937</v>
      </c>
      <c r="I2497" s="12" t="s">
        <v>8747</v>
      </c>
      <c r="J2497" s="12" t="s">
        <v>10076</v>
      </c>
      <c r="K2497" s="12"/>
      <c r="L2497" s="12" t="s">
        <v>12402</v>
      </c>
      <c r="M2497" s="12" t="s">
        <v>12403</v>
      </c>
    </row>
    <row r="2498" spans="1:13" ht="52.8">
      <c r="A2498" s="21" t="s">
        <v>7932</v>
      </c>
      <c r="B2498" s="21" t="s">
        <v>7933</v>
      </c>
      <c r="C2498" s="21" t="s">
        <v>7934</v>
      </c>
      <c r="D2498" s="21" t="s">
        <v>71</v>
      </c>
      <c r="E2498" s="22" t="s">
        <v>7935</v>
      </c>
      <c r="F2498" s="22" t="s">
        <v>7933</v>
      </c>
      <c r="G2498" s="21" t="s">
        <v>7936</v>
      </c>
      <c r="H2498" s="21" t="s">
        <v>7937</v>
      </c>
      <c r="I2498" s="12" t="s">
        <v>8748</v>
      </c>
      <c r="J2498" s="12" t="s">
        <v>10077</v>
      </c>
      <c r="K2498" s="12"/>
      <c r="L2498" s="12" t="s">
        <v>12404</v>
      </c>
      <c r="M2498" s="12" t="s">
        <v>12405</v>
      </c>
    </row>
    <row r="2499" spans="1:13" ht="52.8">
      <c r="A2499" s="21" t="s">
        <v>7932</v>
      </c>
      <c r="B2499" s="21" t="s">
        <v>7933</v>
      </c>
      <c r="C2499" s="21" t="s">
        <v>7934</v>
      </c>
      <c r="D2499" s="21" t="s">
        <v>71</v>
      </c>
      <c r="E2499" s="22" t="s">
        <v>7935</v>
      </c>
      <c r="F2499" s="22" t="s">
        <v>7933</v>
      </c>
      <c r="G2499" s="21" t="s">
        <v>7936</v>
      </c>
      <c r="H2499" s="21" t="s">
        <v>7937</v>
      </c>
      <c r="I2499" s="12" t="s">
        <v>8749</v>
      </c>
      <c r="J2499" s="12" t="s">
        <v>10078</v>
      </c>
      <c r="K2499" s="12"/>
      <c r="L2499" s="12" t="s">
        <v>12406</v>
      </c>
      <c r="M2499" s="12" t="s">
        <v>12407</v>
      </c>
    </row>
    <row r="2500" spans="1:13" ht="52.8">
      <c r="A2500" s="21" t="s">
        <v>7932</v>
      </c>
      <c r="B2500" s="21" t="s">
        <v>7933</v>
      </c>
      <c r="C2500" s="21" t="s">
        <v>7934</v>
      </c>
      <c r="D2500" s="21" t="s">
        <v>71</v>
      </c>
      <c r="E2500" s="22" t="s">
        <v>7935</v>
      </c>
      <c r="F2500" s="22" t="s">
        <v>7933</v>
      </c>
      <c r="G2500" s="21" t="s">
        <v>7936</v>
      </c>
      <c r="H2500" s="21" t="s">
        <v>7937</v>
      </c>
      <c r="I2500" s="12" t="s">
        <v>8750</v>
      </c>
      <c r="J2500" s="12" t="s">
        <v>10079</v>
      </c>
      <c r="K2500" s="12"/>
      <c r="L2500" s="12" t="s">
        <v>12408</v>
      </c>
      <c r="M2500" s="12" t="s">
        <v>12409</v>
      </c>
    </row>
    <row r="2501" spans="1:13" ht="52.8">
      <c r="A2501" s="21" t="s">
        <v>7932</v>
      </c>
      <c r="B2501" s="21" t="s">
        <v>7933</v>
      </c>
      <c r="C2501" s="21" t="s">
        <v>7934</v>
      </c>
      <c r="D2501" s="21" t="s">
        <v>71</v>
      </c>
      <c r="E2501" s="22" t="s">
        <v>7935</v>
      </c>
      <c r="F2501" s="22" t="s">
        <v>7933</v>
      </c>
      <c r="G2501" s="21" t="s">
        <v>7936</v>
      </c>
      <c r="H2501" s="21" t="s">
        <v>7937</v>
      </c>
      <c r="I2501" s="12" t="s">
        <v>8751</v>
      </c>
      <c r="J2501" s="12" t="s">
        <v>10080</v>
      </c>
      <c r="K2501" s="12"/>
      <c r="L2501" s="12" t="s">
        <v>12410</v>
      </c>
      <c r="M2501" s="12" t="s">
        <v>12411</v>
      </c>
    </row>
    <row r="2502" spans="1:13" ht="52.8">
      <c r="A2502" s="21" t="s">
        <v>7932</v>
      </c>
      <c r="B2502" s="21" t="s">
        <v>7933</v>
      </c>
      <c r="C2502" s="21" t="s">
        <v>7934</v>
      </c>
      <c r="D2502" s="21" t="s">
        <v>71</v>
      </c>
      <c r="E2502" s="22" t="s">
        <v>7935</v>
      </c>
      <c r="F2502" s="22" t="s">
        <v>7933</v>
      </c>
      <c r="G2502" s="21" t="s">
        <v>7936</v>
      </c>
      <c r="H2502" s="21" t="s">
        <v>7937</v>
      </c>
      <c r="I2502" s="12" t="s">
        <v>8752</v>
      </c>
      <c r="J2502" s="12" t="s">
        <v>10081</v>
      </c>
      <c r="K2502" s="12"/>
      <c r="L2502" s="12" t="s">
        <v>12412</v>
      </c>
      <c r="M2502" s="12" t="s">
        <v>12413</v>
      </c>
    </row>
    <row r="2503" spans="1:13" ht="52.8">
      <c r="A2503" s="21" t="s">
        <v>7932</v>
      </c>
      <c r="B2503" s="21" t="s">
        <v>7933</v>
      </c>
      <c r="C2503" s="21" t="s">
        <v>7934</v>
      </c>
      <c r="D2503" s="21" t="s">
        <v>71</v>
      </c>
      <c r="E2503" s="22" t="s">
        <v>7935</v>
      </c>
      <c r="F2503" s="22" t="s">
        <v>7933</v>
      </c>
      <c r="G2503" s="21" t="s">
        <v>7936</v>
      </c>
      <c r="H2503" s="21" t="s">
        <v>7937</v>
      </c>
      <c r="I2503" s="12" t="s">
        <v>8753</v>
      </c>
      <c r="J2503" s="12" t="s">
        <v>10082</v>
      </c>
      <c r="K2503" s="12" t="s">
        <v>12414</v>
      </c>
      <c r="L2503" s="12" t="s">
        <v>12415</v>
      </c>
      <c r="M2503" s="12" t="s">
        <v>12414</v>
      </c>
    </row>
    <row r="2504" spans="1:13" ht="52.8">
      <c r="A2504" s="21" t="s">
        <v>7932</v>
      </c>
      <c r="B2504" s="21" t="s">
        <v>7933</v>
      </c>
      <c r="C2504" s="21" t="s">
        <v>7934</v>
      </c>
      <c r="D2504" s="21" t="s">
        <v>71</v>
      </c>
      <c r="E2504" s="22" t="s">
        <v>7935</v>
      </c>
      <c r="F2504" s="22" t="s">
        <v>7933</v>
      </c>
      <c r="G2504" s="21" t="s">
        <v>7936</v>
      </c>
      <c r="H2504" s="21" t="s">
        <v>7937</v>
      </c>
      <c r="I2504" s="12" t="s">
        <v>8754</v>
      </c>
      <c r="J2504" s="12" t="s">
        <v>10083</v>
      </c>
      <c r="K2504" s="12"/>
      <c r="L2504" s="12" t="s">
        <v>12416</v>
      </c>
      <c r="M2504" s="12" t="s">
        <v>12417</v>
      </c>
    </row>
    <row r="2505" spans="1:13" ht="52.8">
      <c r="A2505" s="21" t="s">
        <v>7932</v>
      </c>
      <c r="B2505" s="21" t="s">
        <v>7933</v>
      </c>
      <c r="C2505" s="21" t="s">
        <v>7934</v>
      </c>
      <c r="D2505" s="21" t="s">
        <v>71</v>
      </c>
      <c r="E2505" s="22" t="s">
        <v>7935</v>
      </c>
      <c r="F2505" s="22" t="s">
        <v>7933</v>
      </c>
      <c r="G2505" s="21" t="s">
        <v>7936</v>
      </c>
      <c r="H2505" s="21" t="s">
        <v>7937</v>
      </c>
      <c r="I2505" s="12" t="s">
        <v>8755</v>
      </c>
      <c r="J2505" s="12" t="s">
        <v>10084</v>
      </c>
      <c r="K2505" s="12"/>
      <c r="L2505" s="12" t="s">
        <v>12418</v>
      </c>
      <c r="M2505" s="12" t="s">
        <v>12419</v>
      </c>
    </row>
    <row r="2506" spans="1:13" ht="52.8">
      <c r="A2506" s="21" t="s">
        <v>7932</v>
      </c>
      <c r="B2506" s="21" t="s">
        <v>7933</v>
      </c>
      <c r="C2506" s="21" t="s">
        <v>7934</v>
      </c>
      <c r="D2506" s="21" t="s">
        <v>71</v>
      </c>
      <c r="E2506" s="22" t="s">
        <v>7935</v>
      </c>
      <c r="F2506" s="22" t="s">
        <v>7933</v>
      </c>
      <c r="G2506" s="21" t="s">
        <v>7936</v>
      </c>
      <c r="H2506" s="21" t="s">
        <v>7937</v>
      </c>
      <c r="I2506" s="12" t="s">
        <v>8756</v>
      </c>
      <c r="J2506" s="12" t="s">
        <v>10085</v>
      </c>
      <c r="K2506" s="12"/>
      <c r="L2506" s="12" t="s">
        <v>12420</v>
      </c>
      <c r="M2506" s="12" t="s">
        <v>12421</v>
      </c>
    </row>
    <row r="2507" spans="1:13" ht="52.8">
      <c r="A2507" s="21" t="s">
        <v>7932</v>
      </c>
      <c r="B2507" s="21" t="s">
        <v>7933</v>
      </c>
      <c r="C2507" s="21" t="s">
        <v>7934</v>
      </c>
      <c r="D2507" s="21" t="s">
        <v>71</v>
      </c>
      <c r="E2507" s="22" t="s">
        <v>7935</v>
      </c>
      <c r="F2507" s="22" t="s">
        <v>7933</v>
      </c>
      <c r="G2507" s="21" t="s">
        <v>7936</v>
      </c>
      <c r="H2507" s="21" t="s">
        <v>7937</v>
      </c>
      <c r="I2507" s="12" t="s">
        <v>8757</v>
      </c>
      <c r="J2507" s="12" t="s">
        <v>10086</v>
      </c>
      <c r="K2507" s="12"/>
      <c r="L2507" s="12" t="s">
        <v>12422</v>
      </c>
      <c r="M2507" s="12" t="s">
        <v>12423</v>
      </c>
    </row>
    <row r="2508" spans="1:13" ht="52.8">
      <c r="A2508" s="21" t="s">
        <v>7932</v>
      </c>
      <c r="B2508" s="21" t="s">
        <v>7933</v>
      </c>
      <c r="C2508" s="21" t="s">
        <v>7934</v>
      </c>
      <c r="D2508" s="21" t="s">
        <v>71</v>
      </c>
      <c r="E2508" s="22" t="s">
        <v>7935</v>
      </c>
      <c r="F2508" s="22" t="s">
        <v>7933</v>
      </c>
      <c r="G2508" s="21" t="s">
        <v>7936</v>
      </c>
      <c r="H2508" s="21" t="s">
        <v>7937</v>
      </c>
      <c r="I2508" s="12" t="s">
        <v>8758</v>
      </c>
      <c r="J2508" s="12" t="s">
        <v>10087</v>
      </c>
      <c r="K2508" s="12"/>
      <c r="L2508" s="12" t="s">
        <v>12424</v>
      </c>
      <c r="M2508" s="12" t="s">
        <v>12425</v>
      </c>
    </row>
    <row r="2509" spans="1:13" ht="66">
      <c r="A2509" s="21" t="s">
        <v>7932</v>
      </c>
      <c r="B2509" s="21" t="s">
        <v>7933</v>
      </c>
      <c r="C2509" s="21" t="s">
        <v>7934</v>
      </c>
      <c r="D2509" s="21" t="s">
        <v>71</v>
      </c>
      <c r="E2509" s="22" t="s">
        <v>7935</v>
      </c>
      <c r="F2509" s="22" t="s">
        <v>7933</v>
      </c>
      <c r="G2509" s="21" t="s">
        <v>7936</v>
      </c>
      <c r="H2509" s="21" t="s">
        <v>7937</v>
      </c>
      <c r="I2509" s="12" t="s">
        <v>8759</v>
      </c>
      <c r="J2509" s="12" t="s">
        <v>10088</v>
      </c>
      <c r="K2509" s="12"/>
      <c r="L2509" s="12" t="s">
        <v>12426</v>
      </c>
      <c r="M2509" s="12" t="s">
        <v>12427</v>
      </c>
    </row>
    <row r="2510" spans="1:13" ht="52.8">
      <c r="A2510" s="21" t="s">
        <v>7932</v>
      </c>
      <c r="B2510" s="21" t="s">
        <v>7933</v>
      </c>
      <c r="C2510" s="21" t="s">
        <v>7934</v>
      </c>
      <c r="D2510" s="21" t="s">
        <v>71</v>
      </c>
      <c r="E2510" s="22" t="s">
        <v>7935</v>
      </c>
      <c r="F2510" s="22" t="s">
        <v>7933</v>
      </c>
      <c r="G2510" s="21" t="s">
        <v>7936</v>
      </c>
      <c r="H2510" s="21" t="s">
        <v>7937</v>
      </c>
      <c r="I2510" s="12" t="s">
        <v>8760</v>
      </c>
      <c r="J2510" s="12" t="s">
        <v>10089</v>
      </c>
      <c r="K2510" s="12"/>
      <c r="L2510" s="12" t="s">
        <v>12428</v>
      </c>
      <c r="M2510" s="12" t="s">
        <v>12429</v>
      </c>
    </row>
    <row r="2511" spans="1:13" ht="52.8">
      <c r="A2511" s="21" t="s">
        <v>7932</v>
      </c>
      <c r="B2511" s="21" t="s">
        <v>7933</v>
      </c>
      <c r="C2511" s="21" t="s">
        <v>7934</v>
      </c>
      <c r="D2511" s="21" t="s">
        <v>71</v>
      </c>
      <c r="E2511" s="22" t="s">
        <v>7935</v>
      </c>
      <c r="F2511" s="22" t="s">
        <v>7933</v>
      </c>
      <c r="G2511" s="21" t="s">
        <v>7936</v>
      </c>
      <c r="H2511" s="21" t="s">
        <v>7937</v>
      </c>
      <c r="I2511" s="12" t="s">
        <v>8761</v>
      </c>
      <c r="J2511" s="12" t="s">
        <v>10090</v>
      </c>
      <c r="K2511" s="12" t="s">
        <v>12430</v>
      </c>
      <c r="L2511" s="12" t="s">
        <v>12431</v>
      </c>
      <c r="M2511" s="12" t="s">
        <v>12432</v>
      </c>
    </row>
    <row r="2512" spans="1:13" ht="52.8">
      <c r="A2512" s="21" t="s">
        <v>7932</v>
      </c>
      <c r="B2512" s="21" t="s">
        <v>7933</v>
      </c>
      <c r="C2512" s="21" t="s">
        <v>7934</v>
      </c>
      <c r="D2512" s="21" t="s">
        <v>71</v>
      </c>
      <c r="E2512" s="22" t="s">
        <v>7935</v>
      </c>
      <c r="F2512" s="22" t="s">
        <v>7933</v>
      </c>
      <c r="G2512" s="21" t="s">
        <v>7936</v>
      </c>
      <c r="H2512" s="21" t="s">
        <v>7937</v>
      </c>
      <c r="I2512" s="12" t="s">
        <v>8762</v>
      </c>
      <c r="J2512" s="12" t="s">
        <v>10091</v>
      </c>
      <c r="K2512" s="12" t="s">
        <v>12433</v>
      </c>
      <c r="L2512" s="12" t="s">
        <v>12434</v>
      </c>
      <c r="M2512" s="12" t="s">
        <v>12435</v>
      </c>
    </row>
    <row r="2513" spans="1:13" ht="52.8">
      <c r="A2513" s="21" t="s">
        <v>7932</v>
      </c>
      <c r="B2513" s="21" t="s">
        <v>7933</v>
      </c>
      <c r="C2513" s="21" t="s">
        <v>7934</v>
      </c>
      <c r="D2513" s="21" t="s">
        <v>71</v>
      </c>
      <c r="E2513" s="22" t="s">
        <v>7935</v>
      </c>
      <c r="F2513" s="22" t="s">
        <v>7933</v>
      </c>
      <c r="G2513" s="21" t="s">
        <v>7936</v>
      </c>
      <c r="H2513" s="21" t="s">
        <v>7937</v>
      </c>
      <c r="I2513" s="12" t="s">
        <v>8763</v>
      </c>
      <c r="J2513" s="12" t="s">
        <v>10092</v>
      </c>
      <c r="K2513" s="12" t="s">
        <v>12436</v>
      </c>
      <c r="L2513" s="12" t="s">
        <v>12437</v>
      </c>
      <c r="M2513" s="12" t="s">
        <v>12438</v>
      </c>
    </row>
    <row r="2514" spans="1:13" ht="52.8">
      <c r="A2514" s="21" t="s">
        <v>7932</v>
      </c>
      <c r="B2514" s="21" t="s">
        <v>7933</v>
      </c>
      <c r="C2514" s="21" t="s">
        <v>7934</v>
      </c>
      <c r="D2514" s="21" t="s">
        <v>71</v>
      </c>
      <c r="E2514" s="22" t="s">
        <v>7935</v>
      </c>
      <c r="F2514" s="22" t="s">
        <v>7933</v>
      </c>
      <c r="G2514" s="21" t="s">
        <v>7936</v>
      </c>
      <c r="H2514" s="21" t="s">
        <v>7937</v>
      </c>
      <c r="I2514" s="12" t="s">
        <v>8764</v>
      </c>
      <c r="J2514" s="12" t="s">
        <v>10093</v>
      </c>
      <c r="K2514" s="12"/>
      <c r="L2514" s="12" t="s">
        <v>12439</v>
      </c>
      <c r="M2514" s="12" t="s">
        <v>12440</v>
      </c>
    </row>
    <row r="2515" spans="1:13" ht="52.8">
      <c r="A2515" s="21" t="s">
        <v>7932</v>
      </c>
      <c r="B2515" s="21" t="s">
        <v>7933</v>
      </c>
      <c r="C2515" s="21" t="s">
        <v>7934</v>
      </c>
      <c r="D2515" s="21" t="s">
        <v>71</v>
      </c>
      <c r="E2515" s="22" t="s">
        <v>7935</v>
      </c>
      <c r="F2515" s="22" t="s">
        <v>7933</v>
      </c>
      <c r="G2515" s="21" t="s">
        <v>7936</v>
      </c>
      <c r="H2515" s="21" t="s">
        <v>7937</v>
      </c>
      <c r="I2515" s="12" t="s">
        <v>8765</v>
      </c>
      <c r="J2515" s="12" t="s">
        <v>10094</v>
      </c>
      <c r="K2515" s="12"/>
      <c r="L2515" s="12" t="s">
        <v>12441</v>
      </c>
      <c r="M2515" s="12" t="s">
        <v>12442</v>
      </c>
    </row>
    <row r="2516" spans="1:13" ht="52.8">
      <c r="A2516" s="21" t="s">
        <v>7932</v>
      </c>
      <c r="B2516" s="21" t="s">
        <v>7933</v>
      </c>
      <c r="C2516" s="21" t="s">
        <v>7934</v>
      </c>
      <c r="D2516" s="21" t="s">
        <v>71</v>
      </c>
      <c r="E2516" s="22" t="s">
        <v>7935</v>
      </c>
      <c r="F2516" s="22" t="s">
        <v>7933</v>
      </c>
      <c r="G2516" s="21" t="s">
        <v>7936</v>
      </c>
      <c r="H2516" s="21" t="s">
        <v>7937</v>
      </c>
      <c r="I2516" s="12" t="s">
        <v>8766</v>
      </c>
      <c r="J2516" s="12" t="s">
        <v>10095</v>
      </c>
      <c r="K2516" s="12" t="s">
        <v>12443</v>
      </c>
      <c r="L2516" s="12" t="s">
        <v>12444</v>
      </c>
      <c r="M2516" s="12" t="s">
        <v>12445</v>
      </c>
    </row>
    <row r="2517" spans="1:13" ht="52.8">
      <c r="A2517" s="21" t="s">
        <v>7932</v>
      </c>
      <c r="B2517" s="21" t="s">
        <v>7933</v>
      </c>
      <c r="C2517" s="21" t="s">
        <v>7934</v>
      </c>
      <c r="D2517" s="21" t="s">
        <v>71</v>
      </c>
      <c r="E2517" s="22" t="s">
        <v>7935</v>
      </c>
      <c r="F2517" s="22" t="s">
        <v>7933</v>
      </c>
      <c r="G2517" s="21" t="s">
        <v>7936</v>
      </c>
      <c r="H2517" s="21" t="s">
        <v>7937</v>
      </c>
      <c r="I2517" s="12" t="s">
        <v>8767</v>
      </c>
      <c r="J2517" s="12" t="s">
        <v>10096</v>
      </c>
      <c r="K2517" s="12"/>
      <c r="L2517" s="12" t="s">
        <v>12446</v>
      </c>
      <c r="M2517" s="12" t="s">
        <v>12447</v>
      </c>
    </row>
    <row r="2518" spans="1:13" ht="52.8">
      <c r="A2518" s="21" t="s">
        <v>7932</v>
      </c>
      <c r="B2518" s="21" t="s">
        <v>7933</v>
      </c>
      <c r="C2518" s="21" t="s">
        <v>7934</v>
      </c>
      <c r="D2518" s="21" t="s">
        <v>71</v>
      </c>
      <c r="E2518" s="22" t="s">
        <v>7935</v>
      </c>
      <c r="F2518" s="22" t="s">
        <v>7933</v>
      </c>
      <c r="G2518" s="21" t="s">
        <v>7936</v>
      </c>
      <c r="H2518" s="21" t="s">
        <v>7937</v>
      </c>
      <c r="I2518" s="12" t="s">
        <v>8768</v>
      </c>
      <c r="J2518" s="12" t="s">
        <v>10097</v>
      </c>
      <c r="K2518" s="12"/>
      <c r="L2518" s="12" t="s">
        <v>12448</v>
      </c>
      <c r="M2518" s="12" t="s">
        <v>12449</v>
      </c>
    </row>
    <row r="2519" spans="1:13" ht="66">
      <c r="A2519" s="21" t="s">
        <v>7932</v>
      </c>
      <c r="B2519" s="21" t="s">
        <v>7933</v>
      </c>
      <c r="C2519" s="21" t="s">
        <v>7934</v>
      </c>
      <c r="D2519" s="21" t="s">
        <v>71</v>
      </c>
      <c r="E2519" s="22" t="s">
        <v>7935</v>
      </c>
      <c r="F2519" s="22" t="s">
        <v>7933</v>
      </c>
      <c r="G2519" s="21" t="s">
        <v>7936</v>
      </c>
      <c r="H2519" s="21" t="s">
        <v>7937</v>
      </c>
      <c r="I2519" s="12" t="s">
        <v>8769</v>
      </c>
      <c r="J2519" s="12" t="s">
        <v>10098</v>
      </c>
      <c r="K2519" s="12" t="s">
        <v>12450</v>
      </c>
      <c r="L2519" s="12" t="s">
        <v>12451</v>
      </c>
      <c r="M2519" s="12" t="s">
        <v>12452</v>
      </c>
    </row>
    <row r="2520" spans="1:13" ht="52.8">
      <c r="A2520" s="21" t="s">
        <v>7932</v>
      </c>
      <c r="B2520" s="21" t="s">
        <v>7933</v>
      </c>
      <c r="C2520" s="21" t="s">
        <v>7934</v>
      </c>
      <c r="D2520" s="21" t="s">
        <v>71</v>
      </c>
      <c r="E2520" s="22" t="s">
        <v>7935</v>
      </c>
      <c r="F2520" s="22" t="s">
        <v>7933</v>
      </c>
      <c r="G2520" s="21" t="s">
        <v>7936</v>
      </c>
      <c r="H2520" s="21" t="s">
        <v>7937</v>
      </c>
      <c r="I2520" s="12" t="s">
        <v>8770</v>
      </c>
      <c r="J2520" s="12" t="s">
        <v>10099</v>
      </c>
      <c r="K2520" s="12"/>
      <c r="L2520" s="12" t="s">
        <v>12453</v>
      </c>
      <c r="M2520" s="12" t="s">
        <v>12454</v>
      </c>
    </row>
    <row r="2521" spans="1:13" ht="52.8">
      <c r="A2521" s="21" t="s">
        <v>7932</v>
      </c>
      <c r="B2521" s="21" t="s">
        <v>7933</v>
      </c>
      <c r="C2521" s="21" t="s">
        <v>7934</v>
      </c>
      <c r="D2521" s="21" t="s">
        <v>71</v>
      </c>
      <c r="E2521" s="22" t="s">
        <v>7935</v>
      </c>
      <c r="F2521" s="22" t="s">
        <v>7933</v>
      </c>
      <c r="G2521" s="21" t="s">
        <v>7936</v>
      </c>
      <c r="H2521" s="21" t="s">
        <v>7937</v>
      </c>
      <c r="I2521" s="12" t="s">
        <v>8771</v>
      </c>
      <c r="J2521" s="12" t="s">
        <v>10100</v>
      </c>
      <c r="K2521" s="12"/>
      <c r="L2521" s="12" t="s">
        <v>12455</v>
      </c>
      <c r="M2521" s="12" t="s">
        <v>12456</v>
      </c>
    </row>
    <row r="2522" spans="1:13" ht="52.8">
      <c r="A2522" s="21" t="s">
        <v>7932</v>
      </c>
      <c r="B2522" s="21" t="s">
        <v>7933</v>
      </c>
      <c r="C2522" s="21" t="s">
        <v>7934</v>
      </c>
      <c r="D2522" s="21" t="s">
        <v>71</v>
      </c>
      <c r="E2522" s="22" t="s">
        <v>7935</v>
      </c>
      <c r="F2522" s="22" t="s">
        <v>7933</v>
      </c>
      <c r="G2522" s="21" t="s">
        <v>7936</v>
      </c>
      <c r="H2522" s="21" t="s">
        <v>7937</v>
      </c>
      <c r="I2522" s="12" t="s">
        <v>8772</v>
      </c>
      <c r="J2522" s="12" t="s">
        <v>10101</v>
      </c>
      <c r="K2522" s="12" t="s">
        <v>12457</v>
      </c>
      <c r="L2522" s="12" t="s">
        <v>12458</v>
      </c>
      <c r="M2522" s="12" t="s">
        <v>12459</v>
      </c>
    </row>
    <row r="2523" spans="1:13" ht="52.8">
      <c r="A2523" s="21" t="s">
        <v>7932</v>
      </c>
      <c r="B2523" s="21" t="s">
        <v>7933</v>
      </c>
      <c r="C2523" s="21" t="s">
        <v>7934</v>
      </c>
      <c r="D2523" s="21" t="s">
        <v>71</v>
      </c>
      <c r="E2523" s="22" t="s">
        <v>7935</v>
      </c>
      <c r="F2523" s="22" t="s">
        <v>7933</v>
      </c>
      <c r="G2523" s="21" t="s">
        <v>7936</v>
      </c>
      <c r="H2523" s="21" t="s">
        <v>7937</v>
      </c>
      <c r="I2523" s="12" t="s">
        <v>8773</v>
      </c>
      <c r="J2523" s="12" t="s">
        <v>10102</v>
      </c>
      <c r="K2523" s="12"/>
      <c r="L2523" s="12" t="s">
        <v>12460</v>
      </c>
      <c r="M2523" s="12" t="s">
        <v>12461</v>
      </c>
    </row>
    <row r="2524" spans="1:13" ht="79.2">
      <c r="A2524" s="21" t="s">
        <v>7932</v>
      </c>
      <c r="B2524" s="21" t="s">
        <v>7933</v>
      </c>
      <c r="C2524" s="21" t="s">
        <v>7934</v>
      </c>
      <c r="D2524" s="21" t="s">
        <v>71</v>
      </c>
      <c r="E2524" s="22" t="s">
        <v>7935</v>
      </c>
      <c r="F2524" s="22" t="s">
        <v>7933</v>
      </c>
      <c r="G2524" s="21" t="s">
        <v>7936</v>
      </c>
      <c r="H2524" s="21" t="s">
        <v>7937</v>
      </c>
      <c r="I2524" s="12" t="s">
        <v>8774</v>
      </c>
      <c r="J2524" s="12" t="s">
        <v>10103</v>
      </c>
      <c r="K2524" s="12" t="s">
        <v>12462</v>
      </c>
      <c r="L2524" s="12" t="s">
        <v>12463</v>
      </c>
      <c r="M2524" s="12" t="s">
        <v>12462</v>
      </c>
    </row>
    <row r="2525" spans="1:13" ht="52.8">
      <c r="A2525" s="21" t="s">
        <v>7932</v>
      </c>
      <c r="B2525" s="21" t="s">
        <v>7933</v>
      </c>
      <c r="C2525" s="21" t="s">
        <v>7934</v>
      </c>
      <c r="D2525" s="21" t="s">
        <v>71</v>
      </c>
      <c r="E2525" s="22" t="s">
        <v>7935</v>
      </c>
      <c r="F2525" s="22" t="s">
        <v>7933</v>
      </c>
      <c r="G2525" s="21" t="s">
        <v>7936</v>
      </c>
      <c r="H2525" s="21" t="s">
        <v>7937</v>
      </c>
      <c r="I2525" s="12" t="s">
        <v>8775</v>
      </c>
      <c r="J2525" s="12" t="s">
        <v>10104</v>
      </c>
      <c r="K2525" s="12"/>
      <c r="L2525" s="12" t="s">
        <v>12464</v>
      </c>
      <c r="M2525" s="12" t="s">
        <v>12465</v>
      </c>
    </row>
    <row r="2526" spans="1:13" ht="52.8">
      <c r="A2526" s="21" t="s">
        <v>7932</v>
      </c>
      <c r="B2526" s="21" t="s">
        <v>7933</v>
      </c>
      <c r="C2526" s="21" t="s">
        <v>7934</v>
      </c>
      <c r="D2526" s="21" t="s">
        <v>71</v>
      </c>
      <c r="E2526" s="22" t="s">
        <v>7935</v>
      </c>
      <c r="F2526" s="22" t="s">
        <v>7933</v>
      </c>
      <c r="G2526" s="21" t="s">
        <v>7936</v>
      </c>
      <c r="H2526" s="21" t="s">
        <v>7937</v>
      </c>
      <c r="I2526" s="12" t="s">
        <v>8776</v>
      </c>
      <c r="J2526" s="12" t="s">
        <v>10105</v>
      </c>
      <c r="K2526" s="12"/>
      <c r="L2526" s="12" t="s">
        <v>12466</v>
      </c>
      <c r="M2526" s="12" t="s">
        <v>12467</v>
      </c>
    </row>
    <row r="2527" spans="1:13" ht="52.8">
      <c r="A2527" s="21" t="s">
        <v>7932</v>
      </c>
      <c r="B2527" s="21" t="s">
        <v>7933</v>
      </c>
      <c r="C2527" s="21" t="s">
        <v>7934</v>
      </c>
      <c r="D2527" s="21" t="s">
        <v>71</v>
      </c>
      <c r="E2527" s="22" t="s">
        <v>7935</v>
      </c>
      <c r="F2527" s="22" t="s">
        <v>7933</v>
      </c>
      <c r="G2527" s="21" t="s">
        <v>7936</v>
      </c>
      <c r="H2527" s="21" t="s">
        <v>7937</v>
      </c>
      <c r="I2527" s="12" t="s">
        <v>8777</v>
      </c>
      <c r="J2527" s="12" t="s">
        <v>10106</v>
      </c>
      <c r="K2527" s="12"/>
      <c r="L2527" s="12" t="s">
        <v>12468</v>
      </c>
      <c r="M2527" s="12" t="s">
        <v>12469</v>
      </c>
    </row>
    <row r="2528" spans="1:13" ht="52.8">
      <c r="A2528" s="21" t="s">
        <v>7932</v>
      </c>
      <c r="B2528" s="21" t="s">
        <v>7933</v>
      </c>
      <c r="C2528" s="21" t="s">
        <v>7934</v>
      </c>
      <c r="D2528" s="21" t="s">
        <v>71</v>
      </c>
      <c r="E2528" s="22" t="s">
        <v>7935</v>
      </c>
      <c r="F2528" s="22" t="s">
        <v>7933</v>
      </c>
      <c r="G2528" s="21" t="s">
        <v>7936</v>
      </c>
      <c r="H2528" s="21" t="s">
        <v>7937</v>
      </c>
      <c r="I2528" s="12" t="s">
        <v>8778</v>
      </c>
      <c r="J2528" s="12" t="s">
        <v>10107</v>
      </c>
      <c r="K2528" s="12"/>
      <c r="L2528" s="12" t="s">
        <v>12470</v>
      </c>
      <c r="M2528" s="12" t="s">
        <v>12471</v>
      </c>
    </row>
    <row r="2529" spans="1:13" ht="52.8">
      <c r="A2529" s="21" t="s">
        <v>7932</v>
      </c>
      <c r="B2529" s="21" t="s">
        <v>7933</v>
      </c>
      <c r="C2529" s="21" t="s">
        <v>7934</v>
      </c>
      <c r="D2529" s="21" t="s">
        <v>71</v>
      </c>
      <c r="E2529" s="22" t="s">
        <v>7935</v>
      </c>
      <c r="F2529" s="22" t="s">
        <v>7933</v>
      </c>
      <c r="G2529" s="21" t="s">
        <v>7936</v>
      </c>
      <c r="H2529" s="21" t="s">
        <v>7937</v>
      </c>
      <c r="I2529" s="12" t="s">
        <v>8779</v>
      </c>
      <c r="J2529" s="12" t="s">
        <v>10108</v>
      </c>
      <c r="K2529" s="12"/>
      <c r="L2529" s="12" t="s">
        <v>12472</v>
      </c>
      <c r="M2529" s="12" t="s">
        <v>12473</v>
      </c>
    </row>
    <row r="2530" spans="1:13" ht="52.8">
      <c r="A2530" s="21" t="s">
        <v>7932</v>
      </c>
      <c r="B2530" s="21" t="s">
        <v>7933</v>
      </c>
      <c r="C2530" s="21" t="s">
        <v>7934</v>
      </c>
      <c r="D2530" s="21" t="s">
        <v>71</v>
      </c>
      <c r="E2530" s="22" t="s">
        <v>7935</v>
      </c>
      <c r="F2530" s="22" t="s">
        <v>7933</v>
      </c>
      <c r="G2530" s="21" t="s">
        <v>7936</v>
      </c>
      <c r="H2530" s="21" t="s">
        <v>7937</v>
      </c>
      <c r="I2530" s="12" t="s">
        <v>8780</v>
      </c>
      <c r="J2530" s="12" t="s">
        <v>10109</v>
      </c>
      <c r="K2530" s="12"/>
      <c r="L2530" s="12" t="s">
        <v>12474</v>
      </c>
      <c r="M2530" s="12" t="s">
        <v>12475</v>
      </c>
    </row>
    <row r="2531" spans="1:13" ht="52.8">
      <c r="A2531" s="21" t="s">
        <v>7932</v>
      </c>
      <c r="B2531" s="21" t="s">
        <v>7933</v>
      </c>
      <c r="C2531" s="21" t="s">
        <v>7934</v>
      </c>
      <c r="D2531" s="21" t="s">
        <v>71</v>
      </c>
      <c r="E2531" s="22" t="s">
        <v>7935</v>
      </c>
      <c r="F2531" s="22" t="s">
        <v>7933</v>
      </c>
      <c r="G2531" s="21" t="s">
        <v>7936</v>
      </c>
      <c r="H2531" s="21" t="s">
        <v>7937</v>
      </c>
      <c r="I2531" s="12" t="s">
        <v>8781</v>
      </c>
      <c r="J2531" s="12" t="s">
        <v>10110</v>
      </c>
      <c r="K2531" s="12" t="s">
        <v>12476</v>
      </c>
      <c r="L2531" s="12" t="s">
        <v>12477</v>
      </c>
      <c r="M2531" s="12" t="s">
        <v>12476</v>
      </c>
    </row>
    <row r="2532" spans="1:13" ht="52.8">
      <c r="A2532" s="21" t="s">
        <v>7932</v>
      </c>
      <c r="B2532" s="21" t="s">
        <v>7933</v>
      </c>
      <c r="C2532" s="21" t="s">
        <v>7934</v>
      </c>
      <c r="D2532" s="21" t="s">
        <v>71</v>
      </c>
      <c r="E2532" s="22" t="s">
        <v>7935</v>
      </c>
      <c r="F2532" s="22" t="s">
        <v>7933</v>
      </c>
      <c r="G2532" s="21" t="s">
        <v>7936</v>
      </c>
      <c r="H2532" s="21" t="s">
        <v>7937</v>
      </c>
      <c r="I2532" s="12" t="s">
        <v>8782</v>
      </c>
      <c r="J2532" s="12" t="s">
        <v>10111</v>
      </c>
      <c r="K2532" s="12" t="s">
        <v>12478</v>
      </c>
      <c r="L2532" s="12" t="s">
        <v>12479</v>
      </c>
      <c r="M2532" s="12" t="s">
        <v>12480</v>
      </c>
    </row>
    <row r="2533" spans="1:13" ht="66">
      <c r="A2533" s="21" t="s">
        <v>7932</v>
      </c>
      <c r="B2533" s="21" t="s">
        <v>7933</v>
      </c>
      <c r="C2533" s="21" t="s">
        <v>7934</v>
      </c>
      <c r="D2533" s="21" t="s">
        <v>71</v>
      </c>
      <c r="E2533" s="22" t="s">
        <v>7935</v>
      </c>
      <c r="F2533" s="22" t="s">
        <v>7933</v>
      </c>
      <c r="G2533" s="21" t="s">
        <v>7936</v>
      </c>
      <c r="H2533" s="21" t="s">
        <v>7937</v>
      </c>
      <c r="I2533" s="12" t="s">
        <v>8783</v>
      </c>
      <c r="J2533" s="12" t="s">
        <v>10112</v>
      </c>
      <c r="K2533" s="12" t="s">
        <v>12481</v>
      </c>
      <c r="L2533" s="12" t="s">
        <v>12482</v>
      </c>
      <c r="M2533" s="12" t="s">
        <v>12481</v>
      </c>
    </row>
    <row r="2534" spans="1:13" ht="52.8">
      <c r="A2534" s="21" t="s">
        <v>7932</v>
      </c>
      <c r="B2534" s="21" t="s">
        <v>7933</v>
      </c>
      <c r="C2534" s="21" t="s">
        <v>7934</v>
      </c>
      <c r="D2534" s="21" t="s">
        <v>71</v>
      </c>
      <c r="E2534" s="22" t="s">
        <v>7935</v>
      </c>
      <c r="F2534" s="22" t="s">
        <v>7933</v>
      </c>
      <c r="G2534" s="21" t="s">
        <v>7936</v>
      </c>
      <c r="H2534" s="21" t="s">
        <v>7937</v>
      </c>
      <c r="I2534" s="12" t="s">
        <v>8784</v>
      </c>
      <c r="J2534" s="12" t="s">
        <v>10113</v>
      </c>
      <c r="K2534" s="12" t="s">
        <v>12483</v>
      </c>
      <c r="L2534" s="12" t="s">
        <v>12484</v>
      </c>
      <c r="M2534" s="12" t="s">
        <v>12483</v>
      </c>
    </row>
    <row r="2535" spans="1:13" ht="52.8">
      <c r="A2535" s="21" t="s">
        <v>7932</v>
      </c>
      <c r="B2535" s="21" t="s">
        <v>7933</v>
      </c>
      <c r="C2535" s="21" t="s">
        <v>7934</v>
      </c>
      <c r="D2535" s="21" t="s">
        <v>71</v>
      </c>
      <c r="E2535" s="22" t="s">
        <v>7935</v>
      </c>
      <c r="F2535" s="22" t="s">
        <v>7933</v>
      </c>
      <c r="G2535" s="21" t="s">
        <v>7936</v>
      </c>
      <c r="H2535" s="21" t="s">
        <v>7937</v>
      </c>
      <c r="I2535" s="12" t="s">
        <v>8785</v>
      </c>
      <c r="J2535" s="12" t="s">
        <v>10114</v>
      </c>
      <c r="K2535" s="12"/>
      <c r="L2535" s="12" t="s">
        <v>12485</v>
      </c>
      <c r="M2535" s="12" t="s">
        <v>12486</v>
      </c>
    </row>
    <row r="2536" spans="1:13" ht="52.8">
      <c r="A2536" s="21" t="s">
        <v>7932</v>
      </c>
      <c r="B2536" s="21" t="s">
        <v>7933</v>
      </c>
      <c r="C2536" s="21" t="s">
        <v>7934</v>
      </c>
      <c r="D2536" s="21" t="s">
        <v>71</v>
      </c>
      <c r="E2536" s="22" t="s">
        <v>7935</v>
      </c>
      <c r="F2536" s="22" t="s">
        <v>7933</v>
      </c>
      <c r="G2536" s="21" t="s">
        <v>7936</v>
      </c>
      <c r="H2536" s="21" t="s">
        <v>7937</v>
      </c>
      <c r="I2536" s="12" t="s">
        <v>8786</v>
      </c>
      <c r="J2536" s="12" t="s">
        <v>10115</v>
      </c>
      <c r="K2536" s="12" t="s">
        <v>12487</v>
      </c>
      <c r="L2536" s="12" t="s">
        <v>12488</v>
      </c>
      <c r="M2536" s="12" t="s">
        <v>12487</v>
      </c>
    </row>
    <row r="2537" spans="1:13" ht="52.8">
      <c r="A2537" s="21" t="s">
        <v>7932</v>
      </c>
      <c r="B2537" s="21" t="s">
        <v>7933</v>
      </c>
      <c r="C2537" s="21" t="s">
        <v>7934</v>
      </c>
      <c r="D2537" s="21" t="s">
        <v>71</v>
      </c>
      <c r="E2537" s="22" t="s">
        <v>7935</v>
      </c>
      <c r="F2537" s="22" t="s">
        <v>7933</v>
      </c>
      <c r="G2537" s="21" t="s">
        <v>7936</v>
      </c>
      <c r="H2537" s="21" t="s">
        <v>7937</v>
      </c>
      <c r="I2537" s="12" t="s">
        <v>8787</v>
      </c>
      <c r="J2537" s="12" t="s">
        <v>10116</v>
      </c>
      <c r="K2537" s="12"/>
      <c r="L2537" s="12" t="s">
        <v>12489</v>
      </c>
      <c r="M2537" s="12" t="s">
        <v>12490</v>
      </c>
    </row>
    <row r="2538" spans="1:13" ht="52.8">
      <c r="A2538" s="21" t="s">
        <v>7932</v>
      </c>
      <c r="B2538" s="21" t="s">
        <v>7933</v>
      </c>
      <c r="C2538" s="21" t="s">
        <v>7934</v>
      </c>
      <c r="D2538" s="21" t="s">
        <v>71</v>
      </c>
      <c r="E2538" s="22" t="s">
        <v>7935</v>
      </c>
      <c r="F2538" s="22" t="s">
        <v>7933</v>
      </c>
      <c r="G2538" s="21" t="s">
        <v>7936</v>
      </c>
      <c r="H2538" s="21" t="s">
        <v>7937</v>
      </c>
      <c r="I2538" s="12" t="s">
        <v>8788</v>
      </c>
      <c r="J2538" s="12" t="s">
        <v>10117</v>
      </c>
      <c r="K2538" s="12"/>
      <c r="L2538" s="12" t="s">
        <v>12491</v>
      </c>
      <c r="M2538" s="12" t="s">
        <v>12492</v>
      </c>
    </row>
    <row r="2539" spans="1:13" ht="52.8">
      <c r="A2539" s="21" t="s">
        <v>7932</v>
      </c>
      <c r="B2539" s="21" t="s">
        <v>7933</v>
      </c>
      <c r="C2539" s="21" t="s">
        <v>7934</v>
      </c>
      <c r="D2539" s="21" t="s">
        <v>71</v>
      </c>
      <c r="E2539" s="22" t="s">
        <v>7935</v>
      </c>
      <c r="F2539" s="22" t="s">
        <v>7933</v>
      </c>
      <c r="G2539" s="21" t="s">
        <v>7936</v>
      </c>
      <c r="H2539" s="21" t="s">
        <v>7937</v>
      </c>
      <c r="I2539" s="12" t="s">
        <v>8789</v>
      </c>
      <c r="J2539" s="12" t="s">
        <v>10118</v>
      </c>
      <c r="K2539" s="12" t="s">
        <v>12493</v>
      </c>
      <c r="L2539" s="12" t="s">
        <v>12494</v>
      </c>
      <c r="M2539" s="12" t="s">
        <v>12495</v>
      </c>
    </row>
    <row r="2540" spans="1:13" ht="52.8">
      <c r="A2540" s="21" t="s">
        <v>7932</v>
      </c>
      <c r="B2540" s="21" t="s">
        <v>7933</v>
      </c>
      <c r="C2540" s="21" t="s">
        <v>7934</v>
      </c>
      <c r="D2540" s="21" t="s">
        <v>71</v>
      </c>
      <c r="E2540" s="22" t="s">
        <v>7935</v>
      </c>
      <c r="F2540" s="22" t="s">
        <v>7933</v>
      </c>
      <c r="G2540" s="21" t="s">
        <v>7936</v>
      </c>
      <c r="H2540" s="21" t="s">
        <v>7937</v>
      </c>
      <c r="I2540" s="12" t="s">
        <v>8790</v>
      </c>
      <c r="J2540" s="12" t="s">
        <v>10119</v>
      </c>
      <c r="K2540" s="12"/>
      <c r="L2540" s="12" t="s">
        <v>12496</v>
      </c>
      <c r="M2540" s="12" t="s">
        <v>12497</v>
      </c>
    </row>
    <row r="2541" spans="1:13" ht="52.8">
      <c r="A2541" s="21" t="s">
        <v>7932</v>
      </c>
      <c r="B2541" s="21" t="s">
        <v>7933</v>
      </c>
      <c r="C2541" s="21" t="s">
        <v>7934</v>
      </c>
      <c r="D2541" s="21" t="s">
        <v>71</v>
      </c>
      <c r="E2541" s="22" t="s">
        <v>7935</v>
      </c>
      <c r="F2541" s="22" t="s">
        <v>7933</v>
      </c>
      <c r="G2541" s="21" t="s">
        <v>7936</v>
      </c>
      <c r="H2541" s="21" t="s">
        <v>7937</v>
      </c>
      <c r="I2541" s="12" t="s">
        <v>8791</v>
      </c>
      <c r="J2541" s="12" t="s">
        <v>10120</v>
      </c>
      <c r="K2541" s="12"/>
      <c r="L2541" s="12" t="s">
        <v>12498</v>
      </c>
      <c r="M2541" s="12" t="s">
        <v>12499</v>
      </c>
    </row>
    <row r="2542" spans="1:13" ht="52.8">
      <c r="A2542" s="21" t="s">
        <v>7932</v>
      </c>
      <c r="B2542" s="21" t="s">
        <v>7933</v>
      </c>
      <c r="C2542" s="21" t="s">
        <v>7934</v>
      </c>
      <c r="D2542" s="21" t="s">
        <v>71</v>
      </c>
      <c r="E2542" s="22" t="s">
        <v>7935</v>
      </c>
      <c r="F2542" s="22" t="s">
        <v>7933</v>
      </c>
      <c r="G2542" s="21" t="s">
        <v>7936</v>
      </c>
      <c r="H2542" s="21" t="s">
        <v>7937</v>
      </c>
      <c r="I2542" s="12" t="s">
        <v>8792</v>
      </c>
      <c r="J2542" s="12" t="s">
        <v>10121</v>
      </c>
      <c r="K2542" s="12"/>
      <c r="L2542" s="12" t="s">
        <v>12500</v>
      </c>
      <c r="M2542" s="12" t="s">
        <v>12501</v>
      </c>
    </row>
    <row r="2543" spans="1:13" ht="52.8">
      <c r="A2543" s="21" t="s">
        <v>7932</v>
      </c>
      <c r="B2543" s="21" t="s">
        <v>7933</v>
      </c>
      <c r="C2543" s="21" t="s">
        <v>7934</v>
      </c>
      <c r="D2543" s="21" t="s">
        <v>71</v>
      </c>
      <c r="E2543" s="22" t="s">
        <v>7935</v>
      </c>
      <c r="F2543" s="22" t="s">
        <v>7933</v>
      </c>
      <c r="G2543" s="21" t="s">
        <v>7936</v>
      </c>
      <c r="H2543" s="21" t="s">
        <v>7937</v>
      </c>
      <c r="I2543" s="12" t="s">
        <v>8793</v>
      </c>
      <c r="J2543" s="12" t="s">
        <v>10122</v>
      </c>
      <c r="K2543" s="12" t="s">
        <v>12502</v>
      </c>
      <c r="L2543" s="12" t="s">
        <v>12503</v>
      </c>
      <c r="M2543" s="12" t="s">
        <v>12502</v>
      </c>
    </row>
    <row r="2544" spans="1:13" ht="52.8">
      <c r="A2544" s="21" t="s">
        <v>7932</v>
      </c>
      <c r="B2544" s="21" t="s">
        <v>7933</v>
      </c>
      <c r="C2544" s="21" t="s">
        <v>7934</v>
      </c>
      <c r="D2544" s="21" t="s">
        <v>71</v>
      </c>
      <c r="E2544" s="22" t="s">
        <v>7935</v>
      </c>
      <c r="F2544" s="22" t="s">
        <v>7933</v>
      </c>
      <c r="G2544" s="21" t="s">
        <v>7936</v>
      </c>
      <c r="H2544" s="21" t="s">
        <v>7937</v>
      </c>
      <c r="I2544" s="12" t="s">
        <v>8794</v>
      </c>
      <c r="J2544" s="12" t="s">
        <v>10123</v>
      </c>
      <c r="K2544" s="12"/>
      <c r="L2544" s="12" t="s">
        <v>12504</v>
      </c>
      <c r="M2544" s="12" t="s">
        <v>12505</v>
      </c>
    </row>
    <row r="2545" spans="1:13" ht="118.8">
      <c r="A2545" s="21" t="s">
        <v>7932</v>
      </c>
      <c r="B2545" s="21" t="s">
        <v>7933</v>
      </c>
      <c r="C2545" s="21" t="s">
        <v>7934</v>
      </c>
      <c r="D2545" s="21" t="s">
        <v>71</v>
      </c>
      <c r="E2545" s="22" t="s">
        <v>7935</v>
      </c>
      <c r="F2545" s="22" t="s">
        <v>7933</v>
      </c>
      <c r="G2545" s="21" t="s">
        <v>7936</v>
      </c>
      <c r="H2545" s="21" t="s">
        <v>7937</v>
      </c>
      <c r="I2545" s="12" t="s">
        <v>8795</v>
      </c>
      <c r="J2545" s="12" t="s">
        <v>10124</v>
      </c>
      <c r="K2545" s="12"/>
      <c r="L2545" s="12" t="s">
        <v>12506</v>
      </c>
      <c r="M2545" s="12" t="s">
        <v>12507</v>
      </c>
    </row>
    <row r="2546" spans="1:13" ht="66">
      <c r="A2546" s="21" t="s">
        <v>7932</v>
      </c>
      <c r="B2546" s="21" t="s">
        <v>7933</v>
      </c>
      <c r="C2546" s="21" t="s">
        <v>7934</v>
      </c>
      <c r="D2546" s="21" t="s">
        <v>71</v>
      </c>
      <c r="E2546" s="22" t="s">
        <v>7935</v>
      </c>
      <c r="F2546" s="22" t="s">
        <v>7933</v>
      </c>
      <c r="G2546" s="21" t="s">
        <v>7936</v>
      </c>
      <c r="H2546" s="21" t="s">
        <v>7937</v>
      </c>
      <c r="I2546" s="12" t="s">
        <v>8796</v>
      </c>
      <c r="J2546" s="12" t="s">
        <v>10125</v>
      </c>
      <c r="K2546" s="12" t="s">
        <v>12508</v>
      </c>
      <c r="L2546" s="12" t="s">
        <v>12509</v>
      </c>
      <c r="M2546" s="12" t="s">
        <v>12510</v>
      </c>
    </row>
    <row r="2547" spans="1:13" ht="52.8">
      <c r="A2547" s="21" t="s">
        <v>7932</v>
      </c>
      <c r="B2547" s="21" t="s">
        <v>7933</v>
      </c>
      <c r="C2547" s="21" t="s">
        <v>7934</v>
      </c>
      <c r="D2547" s="21" t="s">
        <v>71</v>
      </c>
      <c r="E2547" s="22" t="s">
        <v>7935</v>
      </c>
      <c r="F2547" s="22" t="s">
        <v>7933</v>
      </c>
      <c r="G2547" s="21" t="s">
        <v>7936</v>
      </c>
      <c r="H2547" s="21" t="s">
        <v>7937</v>
      </c>
      <c r="I2547" s="12" t="s">
        <v>8797</v>
      </c>
      <c r="J2547" s="12" t="s">
        <v>10126</v>
      </c>
      <c r="K2547" s="12"/>
      <c r="L2547" s="12" t="s">
        <v>12511</v>
      </c>
      <c r="M2547" s="12" t="s">
        <v>12512</v>
      </c>
    </row>
    <row r="2548" spans="1:13" ht="52.8">
      <c r="A2548" s="21" t="s">
        <v>7932</v>
      </c>
      <c r="B2548" s="21" t="s">
        <v>7933</v>
      </c>
      <c r="C2548" s="21" t="s">
        <v>7934</v>
      </c>
      <c r="D2548" s="21" t="s">
        <v>71</v>
      </c>
      <c r="E2548" s="22" t="s">
        <v>7935</v>
      </c>
      <c r="F2548" s="22" t="s">
        <v>7933</v>
      </c>
      <c r="G2548" s="21" t="s">
        <v>7936</v>
      </c>
      <c r="H2548" s="21" t="s">
        <v>7937</v>
      </c>
      <c r="I2548" s="12" t="s">
        <v>8798</v>
      </c>
      <c r="J2548" s="12" t="s">
        <v>10127</v>
      </c>
      <c r="K2548" s="12"/>
      <c r="L2548" s="12" t="s">
        <v>12513</v>
      </c>
      <c r="M2548" s="12" t="s">
        <v>12514</v>
      </c>
    </row>
    <row r="2549" spans="1:13" ht="52.8">
      <c r="A2549" s="21" t="s">
        <v>7932</v>
      </c>
      <c r="B2549" s="21" t="s">
        <v>7933</v>
      </c>
      <c r="C2549" s="21" t="s">
        <v>7934</v>
      </c>
      <c r="D2549" s="21" t="s">
        <v>71</v>
      </c>
      <c r="E2549" s="22" t="s">
        <v>7935</v>
      </c>
      <c r="F2549" s="22" t="s">
        <v>7933</v>
      </c>
      <c r="G2549" s="21" t="s">
        <v>7936</v>
      </c>
      <c r="H2549" s="21" t="s">
        <v>7937</v>
      </c>
      <c r="I2549" s="12" t="s">
        <v>8799</v>
      </c>
      <c r="J2549" s="12" t="s">
        <v>10128</v>
      </c>
      <c r="K2549" s="12"/>
      <c r="L2549" s="12" t="s">
        <v>12515</v>
      </c>
      <c r="M2549" s="12" t="s">
        <v>12516</v>
      </c>
    </row>
    <row r="2550" spans="1:13" ht="52.8">
      <c r="A2550" s="21" t="s">
        <v>7932</v>
      </c>
      <c r="B2550" s="21" t="s">
        <v>7933</v>
      </c>
      <c r="C2550" s="21" t="s">
        <v>7934</v>
      </c>
      <c r="D2550" s="21" t="s">
        <v>71</v>
      </c>
      <c r="E2550" s="22" t="s">
        <v>7935</v>
      </c>
      <c r="F2550" s="22" t="s">
        <v>7933</v>
      </c>
      <c r="G2550" s="21" t="s">
        <v>7936</v>
      </c>
      <c r="H2550" s="21" t="s">
        <v>7937</v>
      </c>
      <c r="I2550" s="12" t="s">
        <v>8800</v>
      </c>
      <c r="J2550" s="12" t="s">
        <v>10129</v>
      </c>
      <c r="K2550" s="12"/>
      <c r="L2550" s="12" t="s">
        <v>12517</v>
      </c>
      <c r="M2550" s="12" t="s">
        <v>12518</v>
      </c>
    </row>
    <row r="2551" spans="1:13" ht="52.8">
      <c r="A2551" s="21" t="s">
        <v>7932</v>
      </c>
      <c r="B2551" s="21" t="s">
        <v>7933</v>
      </c>
      <c r="C2551" s="21" t="s">
        <v>7934</v>
      </c>
      <c r="D2551" s="21" t="s">
        <v>71</v>
      </c>
      <c r="E2551" s="22" t="s">
        <v>7935</v>
      </c>
      <c r="F2551" s="22" t="s">
        <v>7933</v>
      </c>
      <c r="G2551" s="21" t="s">
        <v>7936</v>
      </c>
      <c r="H2551" s="21" t="s">
        <v>7937</v>
      </c>
      <c r="I2551" s="12" t="s">
        <v>8801</v>
      </c>
      <c r="J2551" s="12" t="s">
        <v>10130</v>
      </c>
      <c r="K2551" s="12"/>
      <c r="L2551" s="12" t="s">
        <v>12519</v>
      </c>
      <c r="M2551" s="12" t="s">
        <v>12520</v>
      </c>
    </row>
    <row r="2552" spans="1:13" ht="52.8">
      <c r="A2552" s="21" t="s">
        <v>7932</v>
      </c>
      <c r="B2552" s="21" t="s">
        <v>7933</v>
      </c>
      <c r="C2552" s="21" t="s">
        <v>7934</v>
      </c>
      <c r="D2552" s="21" t="s">
        <v>71</v>
      </c>
      <c r="E2552" s="22" t="s">
        <v>7935</v>
      </c>
      <c r="F2552" s="22" t="s">
        <v>7933</v>
      </c>
      <c r="G2552" s="21" t="s">
        <v>7936</v>
      </c>
      <c r="H2552" s="21" t="s">
        <v>7937</v>
      </c>
      <c r="I2552" s="12" t="s">
        <v>8802</v>
      </c>
      <c r="J2552" s="12" t="s">
        <v>10131</v>
      </c>
      <c r="K2552" s="12" t="s">
        <v>12521</v>
      </c>
      <c r="L2552" s="12" t="s">
        <v>12522</v>
      </c>
      <c r="M2552" s="12" t="s">
        <v>12523</v>
      </c>
    </row>
    <row r="2553" spans="1:13" ht="52.8">
      <c r="A2553" s="21" t="s">
        <v>7932</v>
      </c>
      <c r="B2553" s="21" t="s">
        <v>7933</v>
      </c>
      <c r="C2553" s="21" t="s">
        <v>7934</v>
      </c>
      <c r="D2553" s="21" t="s">
        <v>71</v>
      </c>
      <c r="E2553" s="22" t="s">
        <v>7935</v>
      </c>
      <c r="F2553" s="22" t="s">
        <v>7933</v>
      </c>
      <c r="G2553" s="21" t="s">
        <v>7936</v>
      </c>
      <c r="H2553" s="21" t="s">
        <v>7937</v>
      </c>
      <c r="I2553" s="12" t="s">
        <v>8803</v>
      </c>
      <c r="J2553" s="12" t="s">
        <v>10132</v>
      </c>
      <c r="K2553" s="12"/>
      <c r="L2553" s="12" t="s">
        <v>12524</v>
      </c>
      <c r="M2553" s="12" t="s">
        <v>12525</v>
      </c>
    </row>
    <row r="2554" spans="1:13" ht="52.8">
      <c r="A2554" s="21" t="s">
        <v>7932</v>
      </c>
      <c r="B2554" s="21" t="s">
        <v>7933</v>
      </c>
      <c r="C2554" s="21" t="s">
        <v>7934</v>
      </c>
      <c r="D2554" s="21" t="s">
        <v>71</v>
      </c>
      <c r="E2554" s="22" t="s">
        <v>7935</v>
      </c>
      <c r="F2554" s="22" t="s">
        <v>7933</v>
      </c>
      <c r="G2554" s="21" t="s">
        <v>7936</v>
      </c>
      <c r="H2554" s="21" t="s">
        <v>7937</v>
      </c>
      <c r="I2554" s="12" t="s">
        <v>8804</v>
      </c>
      <c r="J2554" s="12" t="s">
        <v>10133</v>
      </c>
      <c r="K2554" s="12" t="s">
        <v>12526</v>
      </c>
      <c r="L2554" s="12" t="s">
        <v>12527</v>
      </c>
      <c r="M2554" s="12" t="s">
        <v>12526</v>
      </c>
    </row>
    <row r="2555" spans="1:13" ht="52.8">
      <c r="A2555" s="21" t="s">
        <v>7932</v>
      </c>
      <c r="B2555" s="21" t="s">
        <v>7933</v>
      </c>
      <c r="C2555" s="21" t="s">
        <v>7934</v>
      </c>
      <c r="D2555" s="21" t="s">
        <v>71</v>
      </c>
      <c r="E2555" s="22" t="s">
        <v>7935</v>
      </c>
      <c r="F2555" s="22" t="s">
        <v>7933</v>
      </c>
      <c r="G2555" s="21" t="s">
        <v>7936</v>
      </c>
      <c r="H2555" s="21" t="s">
        <v>7937</v>
      </c>
      <c r="I2555" s="12" t="s">
        <v>8805</v>
      </c>
      <c r="J2555" s="12" t="s">
        <v>10134</v>
      </c>
      <c r="K2555" s="12" t="s">
        <v>12528</v>
      </c>
      <c r="L2555" s="12" t="s">
        <v>12529</v>
      </c>
      <c r="M2555" s="12" t="s">
        <v>12528</v>
      </c>
    </row>
    <row r="2556" spans="1:13" ht="52.8">
      <c r="A2556" s="21" t="s">
        <v>7932</v>
      </c>
      <c r="B2556" s="21" t="s">
        <v>7933</v>
      </c>
      <c r="C2556" s="21" t="s">
        <v>7934</v>
      </c>
      <c r="D2556" s="21" t="s">
        <v>71</v>
      </c>
      <c r="E2556" s="22" t="s">
        <v>7935</v>
      </c>
      <c r="F2556" s="22" t="s">
        <v>7933</v>
      </c>
      <c r="G2556" s="21" t="s">
        <v>7936</v>
      </c>
      <c r="H2556" s="21" t="s">
        <v>7937</v>
      </c>
      <c r="I2556" s="12" t="s">
        <v>8806</v>
      </c>
      <c r="J2556" s="12" t="s">
        <v>10135</v>
      </c>
      <c r="K2556" s="12"/>
      <c r="L2556" s="12" t="s">
        <v>12530</v>
      </c>
      <c r="M2556" s="12" t="s">
        <v>12531</v>
      </c>
    </row>
    <row r="2557" spans="1:13" ht="52.8">
      <c r="A2557" s="21" t="s">
        <v>7932</v>
      </c>
      <c r="B2557" s="21" t="s">
        <v>7933</v>
      </c>
      <c r="C2557" s="21" t="s">
        <v>7934</v>
      </c>
      <c r="D2557" s="21" t="s">
        <v>71</v>
      </c>
      <c r="E2557" s="22" t="s">
        <v>7935</v>
      </c>
      <c r="F2557" s="22" t="s">
        <v>7933</v>
      </c>
      <c r="G2557" s="21" t="s">
        <v>7936</v>
      </c>
      <c r="H2557" s="21" t="s">
        <v>7937</v>
      </c>
      <c r="I2557" s="12" t="s">
        <v>8807</v>
      </c>
      <c r="J2557" s="12" t="s">
        <v>10136</v>
      </c>
      <c r="K2557" s="12"/>
      <c r="L2557" s="12" t="s">
        <v>12532</v>
      </c>
      <c r="M2557" s="12" t="s">
        <v>12533</v>
      </c>
    </row>
    <row r="2558" spans="1:13" ht="52.8">
      <c r="A2558" s="21" t="s">
        <v>7932</v>
      </c>
      <c r="B2558" s="21" t="s">
        <v>7933</v>
      </c>
      <c r="C2558" s="21" t="s">
        <v>7934</v>
      </c>
      <c r="D2558" s="21" t="s">
        <v>71</v>
      </c>
      <c r="E2558" s="22" t="s">
        <v>7935</v>
      </c>
      <c r="F2558" s="22" t="s">
        <v>7933</v>
      </c>
      <c r="G2558" s="21" t="s">
        <v>7936</v>
      </c>
      <c r="H2558" s="21" t="s">
        <v>7937</v>
      </c>
      <c r="I2558" s="12" t="s">
        <v>8808</v>
      </c>
      <c r="J2558" s="12" t="s">
        <v>10137</v>
      </c>
      <c r="K2558" s="12"/>
      <c r="L2558" s="12" t="s">
        <v>12534</v>
      </c>
      <c r="M2558" s="12" t="s">
        <v>12535</v>
      </c>
    </row>
    <row r="2559" spans="1:13" ht="52.8">
      <c r="A2559" s="21" t="s">
        <v>7932</v>
      </c>
      <c r="B2559" s="21" t="s">
        <v>7933</v>
      </c>
      <c r="C2559" s="21" t="s">
        <v>7934</v>
      </c>
      <c r="D2559" s="21" t="s">
        <v>71</v>
      </c>
      <c r="E2559" s="22" t="s">
        <v>7935</v>
      </c>
      <c r="F2559" s="22" t="s">
        <v>7933</v>
      </c>
      <c r="G2559" s="21" t="s">
        <v>7936</v>
      </c>
      <c r="H2559" s="21" t="s">
        <v>7937</v>
      </c>
      <c r="I2559" s="12" t="s">
        <v>8809</v>
      </c>
      <c r="J2559" s="12" t="s">
        <v>10138</v>
      </c>
      <c r="K2559" s="12"/>
      <c r="L2559" s="12" t="s">
        <v>12536</v>
      </c>
      <c r="M2559" s="12" t="s">
        <v>12537</v>
      </c>
    </row>
    <row r="2560" spans="1:13" ht="52.8">
      <c r="A2560" s="21" t="s">
        <v>7932</v>
      </c>
      <c r="B2560" s="21" t="s">
        <v>7933</v>
      </c>
      <c r="C2560" s="21" t="s">
        <v>7934</v>
      </c>
      <c r="D2560" s="21" t="s">
        <v>71</v>
      </c>
      <c r="E2560" s="22" t="s">
        <v>7935</v>
      </c>
      <c r="F2560" s="22" t="s">
        <v>7933</v>
      </c>
      <c r="G2560" s="21" t="s">
        <v>7936</v>
      </c>
      <c r="H2560" s="21" t="s">
        <v>7937</v>
      </c>
      <c r="I2560" s="12" t="s">
        <v>8810</v>
      </c>
      <c r="J2560" s="12" t="s">
        <v>10139</v>
      </c>
      <c r="K2560" s="12"/>
      <c r="L2560" s="12" t="s">
        <v>12538</v>
      </c>
      <c r="M2560" s="12" t="s">
        <v>12539</v>
      </c>
    </row>
    <row r="2561" spans="1:13" ht="52.8">
      <c r="A2561" s="21" t="s">
        <v>7932</v>
      </c>
      <c r="B2561" s="21" t="s">
        <v>7933</v>
      </c>
      <c r="C2561" s="21" t="s">
        <v>7934</v>
      </c>
      <c r="D2561" s="21" t="s">
        <v>71</v>
      </c>
      <c r="E2561" s="22" t="s">
        <v>7935</v>
      </c>
      <c r="F2561" s="22" t="s">
        <v>7933</v>
      </c>
      <c r="G2561" s="21" t="s">
        <v>7936</v>
      </c>
      <c r="H2561" s="21" t="s">
        <v>7937</v>
      </c>
      <c r="I2561" s="12" t="s">
        <v>8811</v>
      </c>
      <c r="J2561" s="12" t="s">
        <v>10140</v>
      </c>
      <c r="K2561" s="12"/>
      <c r="L2561" s="12" t="s">
        <v>12540</v>
      </c>
      <c r="M2561" s="12" t="s">
        <v>12541</v>
      </c>
    </row>
    <row r="2562" spans="1:13" ht="105.6">
      <c r="A2562" s="21" t="s">
        <v>7932</v>
      </c>
      <c r="B2562" s="21" t="s">
        <v>7933</v>
      </c>
      <c r="C2562" s="21" t="s">
        <v>7934</v>
      </c>
      <c r="D2562" s="21" t="s">
        <v>71</v>
      </c>
      <c r="E2562" s="22" t="s">
        <v>7935</v>
      </c>
      <c r="F2562" s="22" t="s">
        <v>7933</v>
      </c>
      <c r="G2562" s="21" t="s">
        <v>7936</v>
      </c>
      <c r="H2562" s="21" t="s">
        <v>7937</v>
      </c>
      <c r="I2562" s="12" t="s">
        <v>8812</v>
      </c>
      <c r="J2562" s="12" t="s">
        <v>10141</v>
      </c>
      <c r="K2562" s="12"/>
      <c r="L2562" s="12" t="s">
        <v>12542</v>
      </c>
      <c r="M2562" s="12" t="s">
        <v>12543</v>
      </c>
    </row>
    <row r="2563" spans="1:13" ht="66">
      <c r="A2563" s="21" t="s">
        <v>7932</v>
      </c>
      <c r="B2563" s="21" t="s">
        <v>7933</v>
      </c>
      <c r="C2563" s="21" t="s">
        <v>7934</v>
      </c>
      <c r="D2563" s="21" t="s">
        <v>71</v>
      </c>
      <c r="E2563" s="22" t="s">
        <v>7935</v>
      </c>
      <c r="F2563" s="22" t="s">
        <v>7933</v>
      </c>
      <c r="G2563" s="21" t="s">
        <v>7936</v>
      </c>
      <c r="H2563" s="21" t="s">
        <v>7937</v>
      </c>
      <c r="I2563" s="12" t="s">
        <v>8813</v>
      </c>
      <c r="J2563" s="12" t="s">
        <v>10142</v>
      </c>
      <c r="K2563" s="12"/>
      <c r="L2563" s="12" t="s">
        <v>12544</v>
      </c>
      <c r="M2563" s="12" t="s">
        <v>12545</v>
      </c>
    </row>
    <row r="2564" spans="1:13" ht="52.8">
      <c r="A2564" s="21" t="s">
        <v>7932</v>
      </c>
      <c r="B2564" s="21" t="s">
        <v>7933</v>
      </c>
      <c r="C2564" s="21" t="s">
        <v>7934</v>
      </c>
      <c r="D2564" s="21" t="s">
        <v>71</v>
      </c>
      <c r="E2564" s="22" t="s">
        <v>7935</v>
      </c>
      <c r="F2564" s="22" t="s">
        <v>7933</v>
      </c>
      <c r="G2564" s="21" t="s">
        <v>7936</v>
      </c>
      <c r="H2564" s="21" t="s">
        <v>7937</v>
      </c>
      <c r="I2564" s="12" t="s">
        <v>8814</v>
      </c>
      <c r="J2564" s="12" t="s">
        <v>10143</v>
      </c>
      <c r="K2564" s="12" t="s">
        <v>12546</v>
      </c>
      <c r="L2564" s="12" t="s">
        <v>12547</v>
      </c>
      <c r="M2564" s="12" t="s">
        <v>12546</v>
      </c>
    </row>
    <row r="2565" spans="1:13" ht="52.8">
      <c r="A2565" s="21" t="s">
        <v>7932</v>
      </c>
      <c r="B2565" s="21" t="s">
        <v>7933</v>
      </c>
      <c r="C2565" s="21" t="s">
        <v>7934</v>
      </c>
      <c r="D2565" s="21" t="s">
        <v>71</v>
      </c>
      <c r="E2565" s="22" t="s">
        <v>7935</v>
      </c>
      <c r="F2565" s="22" t="s">
        <v>7933</v>
      </c>
      <c r="G2565" s="21" t="s">
        <v>7936</v>
      </c>
      <c r="H2565" s="21" t="s">
        <v>7937</v>
      </c>
      <c r="I2565" s="12" t="s">
        <v>8815</v>
      </c>
      <c r="J2565" s="12" t="s">
        <v>10144</v>
      </c>
      <c r="K2565" s="12" t="s">
        <v>12548</v>
      </c>
      <c r="L2565" s="12" t="s">
        <v>12549</v>
      </c>
      <c r="M2565" s="12" t="s">
        <v>12548</v>
      </c>
    </row>
    <row r="2566" spans="1:13" ht="52.8">
      <c r="A2566" s="21" t="s">
        <v>7932</v>
      </c>
      <c r="B2566" s="21" t="s">
        <v>7933</v>
      </c>
      <c r="C2566" s="21" t="s">
        <v>7934</v>
      </c>
      <c r="D2566" s="21" t="s">
        <v>71</v>
      </c>
      <c r="E2566" s="22" t="s">
        <v>7935</v>
      </c>
      <c r="F2566" s="22" t="s">
        <v>7933</v>
      </c>
      <c r="G2566" s="21" t="s">
        <v>7936</v>
      </c>
      <c r="H2566" s="21" t="s">
        <v>7937</v>
      </c>
      <c r="I2566" s="12" t="s">
        <v>8816</v>
      </c>
      <c r="J2566" s="12" t="s">
        <v>10145</v>
      </c>
      <c r="K2566" s="12"/>
      <c r="L2566" s="12" t="s">
        <v>12550</v>
      </c>
      <c r="M2566" s="12" t="s">
        <v>12551</v>
      </c>
    </row>
    <row r="2567" spans="1:13" ht="52.8">
      <c r="A2567" s="21" t="s">
        <v>7932</v>
      </c>
      <c r="B2567" s="21" t="s">
        <v>7933</v>
      </c>
      <c r="C2567" s="21" t="s">
        <v>7934</v>
      </c>
      <c r="D2567" s="21" t="s">
        <v>71</v>
      </c>
      <c r="E2567" s="22" t="s">
        <v>7935</v>
      </c>
      <c r="F2567" s="22" t="s">
        <v>7933</v>
      </c>
      <c r="G2567" s="21" t="s">
        <v>7936</v>
      </c>
      <c r="H2567" s="21" t="s">
        <v>7937</v>
      </c>
      <c r="I2567" s="12" t="s">
        <v>8817</v>
      </c>
      <c r="J2567" s="12" t="s">
        <v>10146</v>
      </c>
      <c r="K2567" s="12" t="s">
        <v>12552</v>
      </c>
      <c r="L2567" s="12" t="s">
        <v>12553</v>
      </c>
      <c r="M2567" s="12" t="s">
        <v>12554</v>
      </c>
    </row>
    <row r="2568" spans="1:13" ht="52.8">
      <c r="A2568" s="21" t="s">
        <v>7932</v>
      </c>
      <c r="B2568" s="21" t="s">
        <v>7933</v>
      </c>
      <c r="C2568" s="21" t="s">
        <v>7934</v>
      </c>
      <c r="D2568" s="21" t="s">
        <v>71</v>
      </c>
      <c r="E2568" s="22" t="s">
        <v>7935</v>
      </c>
      <c r="F2568" s="22" t="s">
        <v>7933</v>
      </c>
      <c r="G2568" s="21" t="s">
        <v>7936</v>
      </c>
      <c r="H2568" s="21" t="s">
        <v>7937</v>
      </c>
      <c r="I2568" s="12" t="s">
        <v>8818</v>
      </c>
      <c r="J2568" s="12" t="s">
        <v>10147</v>
      </c>
      <c r="K2568" s="12"/>
      <c r="L2568" s="12" t="s">
        <v>12555</v>
      </c>
      <c r="M2568" s="12" t="s">
        <v>12556</v>
      </c>
    </row>
    <row r="2569" spans="1:13" ht="52.8">
      <c r="A2569" s="21" t="s">
        <v>7932</v>
      </c>
      <c r="B2569" s="21" t="s">
        <v>7933</v>
      </c>
      <c r="C2569" s="21" t="s">
        <v>7934</v>
      </c>
      <c r="D2569" s="21" t="s">
        <v>71</v>
      </c>
      <c r="E2569" s="22" t="s">
        <v>7935</v>
      </c>
      <c r="F2569" s="22" t="s">
        <v>7933</v>
      </c>
      <c r="G2569" s="21" t="s">
        <v>7936</v>
      </c>
      <c r="H2569" s="21" t="s">
        <v>7937</v>
      </c>
      <c r="I2569" s="12" t="s">
        <v>8819</v>
      </c>
      <c r="J2569" s="12" t="s">
        <v>10148</v>
      </c>
      <c r="K2569" s="12"/>
      <c r="L2569" s="12" t="s">
        <v>12557</v>
      </c>
      <c r="M2569" s="12" t="s">
        <v>12558</v>
      </c>
    </row>
    <row r="2570" spans="1:13" ht="52.8">
      <c r="A2570" s="21" t="s">
        <v>7932</v>
      </c>
      <c r="B2570" s="21" t="s">
        <v>7933</v>
      </c>
      <c r="C2570" s="21" t="s">
        <v>7934</v>
      </c>
      <c r="D2570" s="21" t="s">
        <v>71</v>
      </c>
      <c r="E2570" s="22" t="s">
        <v>7935</v>
      </c>
      <c r="F2570" s="22" t="s">
        <v>7933</v>
      </c>
      <c r="G2570" s="21" t="s">
        <v>7936</v>
      </c>
      <c r="H2570" s="21" t="s">
        <v>7937</v>
      </c>
      <c r="I2570" s="12" t="s">
        <v>8820</v>
      </c>
      <c r="J2570" s="12" t="s">
        <v>10149</v>
      </c>
      <c r="K2570" s="12"/>
      <c r="L2570" s="12" t="s">
        <v>12559</v>
      </c>
      <c r="M2570" s="12" t="s">
        <v>12560</v>
      </c>
    </row>
    <row r="2571" spans="1:13" ht="52.8">
      <c r="A2571" s="21" t="s">
        <v>7932</v>
      </c>
      <c r="B2571" s="21" t="s">
        <v>7933</v>
      </c>
      <c r="C2571" s="21" t="s">
        <v>7934</v>
      </c>
      <c r="D2571" s="21" t="s">
        <v>71</v>
      </c>
      <c r="E2571" s="22" t="s">
        <v>7935</v>
      </c>
      <c r="F2571" s="22" t="s">
        <v>7933</v>
      </c>
      <c r="G2571" s="21" t="s">
        <v>7936</v>
      </c>
      <c r="H2571" s="21" t="s">
        <v>7937</v>
      </c>
      <c r="I2571" s="12" t="s">
        <v>8821</v>
      </c>
      <c r="J2571" s="12" t="s">
        <v>10150</v>
      </c>
      <c r="K2571" s="12"/>
      <c r="L2571" s="12" t="s">
        <v>12561</v>
      </c>
      <c r="M2571" s="12" t="s">
        <v>12562</v>
      </c>
    </row>
    <row r="2572" spans="1:13" ht="52.8">
      <c r="A2572" s="21" t="s">
        <v>7932</v>
      </c>
      <c r="B2572" s="21" t="s">
        <v>7933</v>
      </c>
      <c r="C2572" s="21" t="s">
        <v>7934</v>
      </c>
      <c r="D2572" s="21" t="s">
        <v>71</v>
      </c>
      <c r="E2572" s="22" t="s">
        <v>7935</v>
      </c>
      <c r="F2572" s="22" t="s">
        <v>7933</v>
      </c>
      <c r="G2572" s="21" t="s">
        <v>7936</v>
      </c>
      <c r="H2572" s="21" t="s">
        <v>7937</v>
      </c>
      <c r="I2572" s="12" t="s">
        <v>8822</v>
      </c>
      <c r="J2572" s="12" t="s">
        <v>10151</v>
      </c>
      <c r="K2572" s="12"/>
      <c r="L2572" s="12" t="s">
        <v>12563</v>
      </c>
      <c r="M2572" s="12" t="s">
        <v>12564</v>
      </c>
    </row>
    <row r="2573" spans="1:13" ht="52.8">
      <c r="A2573" s="21" t="s">
        <v>7932</v>
      </c>
      <c r="B2573" s="21" t="s">
        <v>7933</v>
      </c>
      <c r="C2573" s="21" t="s">
        <v>7934</v>
      </c>
      <c r="D2573" s="21" t="s">
        <v>71</v>
      </c>
      <c r="E2573" s="22" t="s">
        <v>7935</v>
      </c>
      <c r="F2573" s="22" t="s">
        <v>7933</v>
      </c>
      <c r="G2573" s="21" t="s">
        <v>7936</v>
      </c>
      <c r="H2573" s="21" t="s">
        <v>7937</v>
      </c>
      <c r="I2573" s="12" t="s">
        <v>8823</v>
      </c>
      <c r="J2573" s="12" t="s">
        <v>10152</v>
      </c>
      <c r="K2573" s="12"/>
      <c r="L2573" s="12" t="s">
        <v>12565</v>
      </c>
      <c r="M2573" s="12" t="s">
        <v>12566</v>
      </c>
    </row>
    <row r="2574" spans="1:13" ht="52.8">
      <c r="A2574" s="21" t="s">
        <v>7932</v>
      </c>
      <c r="B2574" s="21" t="s">
        <v>7933</v>
      </c>
      <c r="C2574" s="21" t="s">
        <v>7934</v>
      </c>
      <c r="D2574" s="21" t="s">
        <v>71</v>
      </c>
      <c r="E2574" s="22" t="s">
        <v>7935</v>
      </c>
      <c r="F2574" s="22" t="s">
        <v>7933</v>
      </c>
      <c r="G2574" s="21" t="s">
        <v>7936</v>
      </c>
      <c r="H2574" s="21" t="s">
        <v>7937</v>
      </c>
      <c r="I2574" s="12" t="s">
        <v>8824</v>
      </c>
      <c r="J2574" s="12" t="s">
        <v>10153</v>
      </c>
      <c r="K2574" s="12"/>
      <c r="L2574" s="12" t="s">
        <v>12567</v>
      </c>
      <c r="M2574" s="12" t="s">
        <v>12568</v>
      </c>
    </row>
    <row r="2575" spans="1:13" ht="52.8">
      <c r="A2575" s="21" t="s">
        <v>7932</v>
      </c>
      <c r="B2575" s="21" t="s">
        <v>7933</v>
      </c>
      <c r="C2575" s="21" t="s">
        <v>7934</v>
      </c>
      <c r="D2575" s="21" t="s">
        <v>71</v>
      </c>
      <c r="E2575" s="22" t="s">
        <v>7935</v>
      </c>
      <c r="F2575" s="22" t="s">
        <v>7933</v>
      </c>
      <c r="G2575" s="21" t="s">
        <v>7936</v>
      </c>
      <c r="H2575" s="21" t="s">
        <v>7937</v>
      </c>
      <c r="I2575" s="12" t="s">
        <v>8825</v>
      </c>
      <c r="J2575" s="12" t="s">
        <v>10154</v>
      </c>
      <c r="K2575" s="12"/>
      <c r="L2575" s="12" t="s">
        <v>12569</v>
      </c>
      <c r="M2575" s="12" t="s">
        <v>12570</v>
      </c>
    </row>
    <row r="2576" spans="1:13" ht="52.8">
      <c r="A2576" s="21" t="s">
        <v>7932</v>
      </c>
      <c r="B2576" s="21" t="s">
        <v>7933</v>
      </c>
      <c r="C2576" s="21" t="s">
        <v>7934</v>
      </c>
      <c r="D2576" s="21" t="s">
        <v>71</v>
      </c>
      <c r="E2576" s="22" t="s">
        <v>7935</v>
      </c>
      <c r="F2576" s="22" t="s">
        <v>7933</v>
      </c>
      <c r="G2576" s="21" t="s">
        <v>7936</v>
      </c>
      <c r="H2576" s="21" t="s">
        <v>7937</v>
      </c>
      <c r="I2576" s="12" t="s">
        <v>8826</v>
      </c>
      <c r="J2576" s="12" t="s">
        <v>10155</v>
      </c>
      <c r="K2576" s="12"/>
      <c r="L2576" s="12" t="s">
        <v>12571</v>
      </c>
      <c r="M2576" s="12" t="s">
        <v>12572</v>
      </c>
    </row>
    <row r="2577" spans="1:13" ht="52.8">
      <c r="A2577" s="21" t="s">
        <v>7932</v>
      </c>
      <c r="B2577" s="21" t="s">
        <v>7933</v>
      </c>
      <c r="C2577" s="21" t="s">
        <v>7934</v>
      </c>
      <c r="D2577" s="21" t="s">
        <v>71</v>
      </c>
      <c r="E2577" s="22" t="s">
        <v>7935</v>
      </c>
      <c r="F2577" s="22" t="s">
        <v>7933</v>
      </c>
      <c r="G2577" s="21" t="s">
        <v>7936</v>
      </c>
      <c r="H2577" s="21" t="s">
        <v>7937</v>
      </c>
      <c r="I2577" s="12" t="s">
        <v>8827</v>
      </c>
      <c r="J2577" s="12" t="s">
        <v>10156</v>
      </c>
      <c r="K2577" s="12"/>
      <c r="L2577" s="12" t="s">
        <v>12573</v>
      </c>
      <c r="M2577" s="12" t="s">
        <v>12574</v>
      </c>
    </row>
    <row r="2578" spans="1:13" ht="52.8">
      <c r="A2578" s="21" t="s">
        <v>7932</v>
      </c>
      <c r="B2578" s="21" t="s">
        <v>7933</v>
      </c>
      <c r="C2578" s="21" t="s">
        <v>7934</v>
      </c>
      <c r="D2578" s="21" t="s">
        <v>71</v>
      </c>
      <c r="E2578" s="22" t="s">
        <v>7935</v>
      </c>
      <c r="F2578" s="22" t="s">
        <v>7933</v>
      </c>
      <c r="G2578" s="21" t="s">
        <v>7936</v>
      </c>
      <c r="H2578" s="21" t="s">
        <v>7937</v>
      </c>
      <c r="I2578" s="12" t="s">
        <v>8828</v>
      </c>
      <c r="J2578" s="12" t="s">
        <v>10157</v>
      </c>
      <c r="K2578" s="12"/>
      <c r="L2578" s="12" t="s">
        <v>12575</v>
      </c>
      <c r="M2578" s="12" t="s">
        <v>12576</v>
      </c>
    </row>
    <row r="2579" spans="1:13" ht="52.8">
      <c r="A2579" s="21" t="s">
        <v>7932</v>
      </c>
      <c r="B2579" s="21" t="s">
        <v>7933</v>
      </c>
      <c r="C2579" s="21" t="s">
        <v>7934</v>
      </c>
      <c r="D2579" s="21" t="s">
        <v>71</v>
      </c>
      <c r="E2579" s="22" t="s">
        <v>7935</v>
      </c>
      <c r="F2579" s="22" t="s">
        <v>7933</v>
      </c>
      <c r="G2579" s="21" t="s">
        <v>7936</v>
      </c>
      <c r="H2579" s="21" t="s">
        <v>7937</v>
      </c>
      <c r="I2579" s="12" t="s">
        <v>8829</v>
      </c>
      <c r="J2579" s="12" t="s">
        <v>10158</v>
      </c>
      <c r="K2579" s="12"/>
      <c r="L2579" s="12" t="s">
        <v>12577</v>
      </c>
      <c r="M2579" s="12" t="s">
        <v>12578</v>
      </c>
    </row>
    <row r="2580" spans="1:13" ht="52.8">
      <c r="A2580" s="21" t="s">
        <v>7932</v>
      </c>
      <c r="B2580" s="21" t="s">
        <v>7933</v>
      </c>
      <c r="C2580" s="21" t="s">
        <v>7934</v>
      </c>
      <c r="D2580" s="21" t="s">
        <v>71</v>
      </c>
      <c r="E2580" s="22" t="s">
        <v>7935</v>
      </c>
      <c r="F2580" s="22" t="s">
        <v>7933</v>
      </c>
      <c r="G2580" s="21" t="s">
        <v>7936</v>
      </c>
      <c r="H2580" s="21" t="s">
        <v>7937</v>
      </c>
      <c r="I2580" s="12" t="s">
        <v>8830</v>
      </c>
      <c r="J2580" s="12" t="s">
        <v>10159</v>
      </c>
      <c r="K2580" s="12"/>
      <c r="L2580" s="12" t="s">
        <v>12579</v>
      </c>
      <c r="M2580" s="12" t="s">
        <v>12580</v>
      </c>
    </row>
    <row r="2581" spans="1:13" ht="52.8">
      <c r="A2581" s="21" t="s">
        <v>7932</v>
      </c>
      <c r="B2581" s="21" t="s">
        <v>7933</v>
      </c>
      <c r="C2581" s="21" t="s">
        <v>7934</v>
      </c>
      <c r="D2581" s="21" t="s">
        <v>71</v>
      </c>
      <c r="E2581" s="22" t="s">
        <v>7935</v>
      </c>
      <c r="F2581" s="22" t="s">
        <v>7933</v>
      </c>
      <c r="G2581" s="21" t="s">
        <v>7936</v>
      </c>
      <c r="H2581" s="21" t="s">
        <v>7937</v>
      </c>
      <c r="I2581" s="12" t="s">
        <v>8831</v>
      </c>
      <c r="J2581" s="12" t="s">
        <v>10160</v>
      </c>
      <c r="K2581" s="12"/>
      <c r="L2581" s="12" t="s">
        <v>12581</v>
      </c>
      <c r="M2581" s="12" t="s">
        <v>12582</v>
      </c>
    </row>
    <row r="2582" spans="1:13" ht="52.8">
      <c r="A2582" s="21" t="s">
        <v>7932</v>
      </c>
      <c r="B2582" s="21" t="s">
        <v>7933</v>
      </c>
      <c r="C2582" s="21" t="s">
        <v>7934</v>
      </c>
      <c r="D2582" s="21" t="s">
        <v>71</v>
      </c>
      <c r="E2582" s="22" t="s">
        <v>7935</v>
      </c>
      <c r="F2582" s="22" t="s">
        <v>7933</v>
      </c>
      <c r="G2582" s="21" t="s">
        <v>7936</v>
      </c>
      <c r="H2582" s="21" t="s">
        <v>7937</v>
      </c>
      <c r="I2582" s="12" t="s">
        <v>8832</v>
      </c>
      <c r="J2582" s="12" t="s">
        <v>10161</v>
      </c>
      <c r="K2582" s="12" t="s">
        <v>12583</v>
      </c>
      <c r="L2582" s="12" t="s">
        <v>12584</v>
      </c>
      <c r="M2582" s="12" t="s">
        <v>12583</v>
      </c>
    </row>
    <row r="2583" spans="1:13" ht="52.8">
      <c r="A2583" s="21" t="s">
        <v>7932</v>
      </c>
      <c r="B2583" s="21" t="s">
        <v>7933</v>
      </c>
      <c r="C2583" s="21" t="s">
        <v>7934</v>
      </c>
      <c r="D2583" s="21" t="s">
        <v>71</v>
      </c>
      <c r="E2583" s="22" t="s">
        <v>7935</v>
      </c>
      <c r="F2583" s="22" t="s">
        <v>7933</v>
      </c>
      <c r="G2583" s="21" t="s">
        <v>7936</v>
      </c>
      <c r="H2583" s="21" t="s">
        <v>7937</v>
      </c>
      <c r="I2583" s="12" t="s">
        <v>8833</v>
      </c>
      <c r="J2583" s="12" t="s">
        <v>10162</v>
      </c>
      <c r="K2583" s="12"/>
      <c r="L2583" s="12" t="s">
        <v>12585</v>
      </c>
      <c r="M2583" s="12" t="s">
        <v>12586</v>
      </c>
    </row>
    <row r="2584" spans="1:13" ht="52.8">
      <c r="A2584" s="21" t="s">
        <v>7932</v>
      </c>
      <c r="B2584" s="21" t="s">
        <v>7933</v>
      </c>
      <c r="C2584" s="21" t="s">
        <v>7934</v>
      </c>
      <c r="D2584" s="21" t="s">
        <v>71</v>
      </c>
      <c r="E2584" s="22" t="s">
        <v>7935</v>
      </c>
      <c r="F2584" s="22" t="s">
        <v>7933</v>
      </c>
      <c r="G2584" s="21" t="s">
        <v>7936</v>
      </c>
      <c r="H2584" s="21" t="s">
        <v>7937</v>
      </c>
      <c r="I2584" s="12" t="s">
        <v>8834</v>
      </c>
      <c r="J2584" s="12" t="s">
        <v>10163</v>
      </c>
      <c r="K2584" s="12"/>
      <c r="L2584" s="12" t="s">
        <v>12587</v>
      </c>
      <c r="M2584" s="12" t="s">
        <v>12588</v>
      </c>
    </row>
    <row r="2585" spans="1:13" ht="52.8">
      <c r="A2585" s="21" t="s">
        <v>7932</v>
      </c>
      <c r="B2585" s="21" t="s">
        <v>7933</v>
      </c>
      <c r="C2585" s="21" t="s">
        <v>7934</v>
      </c>
      <c r="D2585" s="21" t="s">
        <v>71</v>
      </c>
      <c r="E2585" s="22" t="s">
        <v>7935</v>
      </c>
      <c r="F2585" s="22" t="s">
        <v>7933</v>
      </c>
      <c r="G2585" s="21" t="s">
        <v>7936</v>
      </c>
      <c r="H2585" s="21" t="s">
        <v>7937</v>
      </c>
      <c r="I2585" s="12" t="s">
        <v>8835</v>
      </c>
      <c r="J2585" s="12" t="s">
        <v>10164</v>
      </c>
      <c r="K2585" s="12"/>
      <c r="L2585" s="12" t="s">
        <v>12589</v>
      </c>
      <c r="M2585" s="12" t="s">
        <v>12590</v>
      </c>
    </row>
    <row r="2586" spans="1:13" ht="52.8">
      <c r="A2586" s="21" t="s">
        <v>7932</v>
      </c>
      <c r="B2586" s="21" t="s">
        <v>7933</v>
      </c>
      <c r="C2586" s="21" t="s">
        <v>7934</v>
      </c>
      <c r="D2586" s="21" t="s">
        <v>71</v>
      </c>
      <c r="E2586" s="22" t="s">
        <v>7935</v>
      </c>
      <c r="F2586" s="22" t="s">
        <v>7933</v>
      </c>
      <c r="G2586" s="21" t="s">
        <v>7936</v>
      </c>
      <c r="H2586" s="21" t="s">
        <v>7937</v>
      </c>
      <c r="I2586" s="12" t="s">
        <v>8836</v>
      </c>
      <c r="J2586" s="12" t="s">
        <v>10165</v>
      </c>
      <c r="K2586" s="12"/>
      <c r="L2586" s="12" t="s">
        <v>12591</v>
      </c>
      <c r="M2586" s="12" t="s">
        <v>12592</v>
      </c>
    </row>
    <row r="2587" spans="1:13" ht="52.8">
      <c r="A2587" s="21" t="s">
        <v>7932</v>
      </c>
      <c r="B2587" s="21" t="s">
        <v>7933</v>
      </c>
      <c r="C2587" s="21" t="s">
        <v>7934</v>
      </c>
      <c r="D2587" s="21" t="s">
        <v>71</v>
      </c>
      <c r="E2587" s="22" t="s">
        <v>7935</v>
      </c>
      <c r="F2587" s="22" t="s">
        <v>7933</v>
      </c>
      <c r="G2587" s="21" t="s">
        <v>7936</v>
      </c>
      <c r="H2587" s="21" t="s">
        <v>7937</v>
      </c>
      <c r="I2587" s="12" t="s">
        <v>8837</v>
      </c>
      <c r="J2587" s="12" t="s">
        <v>10166</v>
      </c>
      <c r="K2587" s="12"/>
      <c r="L2587" s="12" t="s">
        <v>12593</v>
      </c>
      <c r="M2587" s="12" t="s">
        <v>12594</v>
      </c>
    </row>
    <row r="2588" spans="1:13" ht="52.8">
      <c r="A2588" s="21" t="s">
        <v>7932</v>
      </c>
      <c r="B2588" s="21" t="s">
        <v>7933</v>
      </c>
      <c r="C2588" s="21" t="s">
        <v>7934</v>
      </c>
      <c r="D2588" s="21" t="s">
        <v>71</v>
      </c>
      <c r="E2588" s="22" t="s">
        <v>7935</v>
      </c>
      <c r="F2588" s="22" t="s">
        <v>7933</v>
      </c>
      <c r="G2588" s="21" t="s">
        <v>7936</v>
      </c>
      <c r="H2588" s="21" t="s">
        <v>7937</v>
      </c>
      <c r="I2588" s="12" t="s">
        <v>8838</v>
      </c>
      <c r="J2588" s="12" t="s">
        <v>10167</v>
      </c>
      <c r="K2588" s="12"/>
      <c r="L2588" s="12" t="s">
        <v>12595</v>
      </c>
      <c r="M2588" s="12" t="s">
        <v>12596</v>
      </c>
    </row>
    <row r="2589" spans="1:13" ht="52.8">
      <c r="A2589" s="21" t="s">
        <v>7932</v>
      </c>
      <c r="B2589" s="21" t="s">
        <v>7933</v>
      </c>
      <c r="C2589" s="21" t="s">
        <v>7934</v>
      </c>
      <c r="D2589" s="21" t="s">
        <v>71</v>
      </c>
      <c r="E2589" s="22" t="s">
        <v>7935</v>
      </c>
      <c r="F2589" s="22" t="s">
        <v>7933</v>
      </c>
      <c r="G2589" s="21" t="s">
        <v>7936</v>
      </c>
      <c r="H2589" s="21" t="s">
        <v>7937</v>
      </c>
      <c r="I2589" s="12" t="s">
        <v>8839</v>
      </c>
      <c r="J2589" s="12" t="s">
        <v>10168</v>
      </c>
      <c r="K2589" s="12"/>
      <c r="L2589" s="12" t="s">
        <v>12597</v>
      </c>
      <c r="M2589" s="12" t="s">
        <v>12598</v>
      </c>
    </row>
    <row r="2590" spans="1:13" ht="52.8">
      <c r="A2590" s="21" t="s">
        <v>7932</v>
      </c>
      <c r="B2590" s="21" t="s">
        <v>7933</v>
      </c>
      <c r="C2590" s="21" t="s">
        <v>7934</v>
      </c>
      <c r="D2590" s="21" t="s">
        <v>71</v>
      </c>
      <c r="E2590" s="22" t="s">
        <v>7935</v>
      </c>
      <c r="F2590" s="22" t="s">
        <v>7933</v>
      </c>
      <c r="G2590" s="21" t="s">
        <v>7936</v>
      </c>
      <c r="H2590" s="21" t="s">
        <v>7937</v>
      </c>
      <c r="I2590" s="12" t="s">
        <v>8840</v>
      </c>
      <c r="J2590" s="12" t="s">
        <v>10169</v>
      </c>
      <c r="K2590" s="12"/>
      <c r="L2590" s="12" t="s">
        <v>12599</v>
      </c>
      <c r="M2590" s="12" t="s">
        <v>12600</v>
      </c>
    </row>
    <row r="2591" spans="1:13" ht="52.8">
      <c r="A2591" s="21" t="s">
        <v>7932</v>
      </c>
      <c r="B2591" s="21" t="s">
        <v>7933</v>
      </c>
      <c r="C2591" s="21" t="s">
        <v>7934</v>
      </c>
      <c r="D2591" s="21" t="s">
        <v>71</v>
      </c>
      <c r="E2591" s="22" t="s">
        <v>7935</v>
      </c>
      <c r="F2591" s="22" t="s">
        <v>7933</v>
      </c>
      <c r="G2591" s="21" t="s">
        <v>7936</v>
      </c>
      <c r="H2591" s="21" t="s">
        <v>7937</v>
      </c>
      <c r="I2591" s="12" t="s">
        <v>8841</v>
      </c>
      <c r="J2591" s="12" t="s">
        <v>10170</v>
      </c>
      <c r="K2591" s="12"/>
      <c r="L2591" s="12" t="s">
        <v>12601</v>
      </c>
      <c r="M2591" s="12" t="s">
        <v>12602</v>
      </c>
    </row>
    <row r="2592" spans="1:13" ht="52.8">
      <c r="A2592" s="21" t="s">
        <v>7932</v>
      </c>
      <c r="B2592" s="21" t="s">
        <v>7933</v>
      </c>
      <c r="C2592" s="21" t="s">
        <v>7934</v>
      </c>
      <c r="D2592" s="21" t="s">
        <v>71</v>
      </c>
      <c r="E2592" s="22" t="s">
        <v>7935</v>
      </c>
      <c r="F2592" s="22" t="s">
        <v>7933</v>
      </c>
      <c r="G2592" s="21" t="s">
        <v>7936</v>
      </c>
      <c r="H2592" s="21" t="s">
        <v>7937</v>
      </c>
      <c r="I2592" s="12" t="s">
        <v>8842</v>
      </c>
      <c r="J2592" s="12" t="s">
        <v>10171</v>
      </c>
      <c r="K2592" s="12"/>
      <c r="L2592" s="12" t="s">
        <v>12603</v>
      </c>
      <c r="M2592" s="12" t="s">
        <v>12604</v>
      </c>
    </row>
    <row r="2593" spans="1:13" ht="52.8">
      <c r="A2593" s="21" t="s">
        <v>7932</v>
      </c>
      <c r="B2593" s="21" t="s">
        <v>7933</v>
      </c>
      <c r="C2593" s="21" t="s">
        <v>7934</v>
      </c>
      <c r="D2593" s="21" t="s">
        <v>71</v>
      </c>
      <c r="E2593" s="22" t="s">
        <v>7935</v>
      </c>
      <c r="F2593" s="22" t="s">
        <v>7933</v>
      </c>
      <c r="G2593" s="21" t="s">
        <v>7936</v>
      </c>
      <c r="H2593" s="21" t="s">
        <v>7937</v>
      </c>
      <c r="I2593" s="12" t="s">
        <v>8843</v>
      </c>
      <c r="J2593" s="12" t="s">
        <v>10172</v>
      </c>
      <c r="K2593" s="12"/>
      <c r="L2593" s="12" t="s">
        <v>12605</v>
      </c>
      <c r="M2593" s="12" t="s">
        <v>12606</v>
      </c>
    </row>
    <row r="2594" spans="1:13" ht="52.8">
      <c r="A2594" s="21" t="s">
        <v>7932</v>
      </c>
      <c r="B2594" s="21" t="s">
        <v>7933</v>
      </c>
      <c r="C2594" s="21" t="s">
        <v>7934</v>
      </c>
      <c r="D2594" s="21" t="s">
        <v>71</v>
      </c>
      <c r="E2594" s="22" t="s">
        <v>7935</v>
      </c>
      <c r="F2594" s="22" t="s">
        <v>7933</v>
      </c>
      <c r="G2594" s="21" t="s">
        <v>7936</v>
      </c>
      <c r="H2594" s="21" t="s">
        <v>7937</v>
      </c>
      <c r="I2594" s="12" t="s">
        <v>8844</v>
      </c>
      <c r="J2594" s="12" t="s">
        <v>10173</v>
      </c>
      <c r="K2594" s="12" t="s">
        <v>12607</v>
      </c>
      <c r="L2594" s="12" t="s">
        <v>12608</v>
      </c>
      <c r="M2594" s="12" t="s">
        <v>12609</v>
      </c>
    </row>
    <row r="2595" spans="1:13" ht="66">
      <c r="A2595" s="21" t="s">
        <v>7932</v>
      </c>
      <c r="B2595" s="21" t="s">
        <v>7933</v>
      </c>
      <c r="C2595" s="21" t="s">
        <v>7934</v>
      </c>
      <c r="D2595" s="21" t="s">
        <v>71</v>
      </c>
      <c r="E2595" s="22" t="s">
        <v>7935</v>
      </c>
      <c r="F2595" s="22" t="s">
        <v>7933</v>
      </c>
      <c r="G2595" s="21" t="s">
        <v>7936</v>
      </c>
      <c r="H2595" s="21" t="s">
        <v>7937</v>
      </c>
      <c r="I2595" s="12" t="s">
        <v>8845</v>
      </c>
      <c r="J2595" s="12" t="s">
        <v>10174</v>
      </c>
      <c r="K2595" s="12"/>
      <c r="L2595" s="12" t="s">
        <v>12610</v>
      </c>
      <c r="M2595" s="12" t="s">
        <v>12611</v>
      </c>
    </row>
    <row r="2596" spans="1:13" ht="66">
      <c r="A2596" s="21" t="s">
        <v>7932</v>
      </c>
      <c r="B2596" s="21" t="s">
        <v>7933</v>
      </c>
      <c r="C2596" s="21" t="s">
        <v>7934</v>
      </c>
      <c r="D2596" s="21" t="s">
        <v>71</v>
      </c>
      <c r="E2596" s="22" t="s">
        <v>7935</v>
      </c>
      <c r="F2596" s="22" t="s">
        <v>7933</v>
      </c>
      <c r="G2596" s="21" t="s">
        <v>7936</v>
      </c>
      <c r="H2596" s="21" t="s">
        <v>7937</v>
      </c>
      <c r="I2596" s="12" t="s">
        <v>8846</v>
      </c>
      <c r="J2596" s="12" t="s">
        <v>10175</v>
      </c>
      <c r="K2596" s="12"/>
      <c r="L2596" s="12" t="s">
        <v>12612</v>
      </c>
      <c r="M2596" s="12" t="s">
        <v>12613</v>
      </c>
    </row>
    <row r="2597" spans="1:13" ht="52.8">
      <c r="A2597" s="21" t="s">
        <v>7932</v>
      </c>
      <c r="B2597" s="21" t="s">
        <v>7933</v>
      </c>
      <c r="C2597" s="21" t="s">
        <v>7934</v>
      </c>
      <c r="D2597" s="21" t="s">
        <v>71</v>
      </c>
      <c r="E2597" s="22" t="s">
        <v>7935</v>
      </c>
      <c r="F2597" s="22" t="s">
        <v>7933</v>
      </c>
      <c r="G2597" s="21" t="s">
        <v>7936</v>
      </c>
      <c r="H2597" s="21" t="s">
        <v>7937</v>
      </c>
      <c r="I2597" s="12" t="s">
        <v>8847</v>
      </c>
      <c r="J2597" s="12" t="s">
        <v>10176</v>
      </c>
      <c r="K2597" s="12" t="s">
        <v>12614</v>
      </c>
      <c r="L2597" s="12" t="s">
        <v>12615</v>
      </c>
      <c r="M2597" s="12" t="s">
        <v>12616</v>
      </c>
    </row>
    <row r="2598" spans="1:13" ht="52.8">
      <c r="A2598" s="21" t="s">
        <v>7932</v>
      </c>
      <c r="B2598" s="21" t="s">
        <v>7933</v>
      </c>
      <c r="C2598" s="21" t="s">
        <v>7934</v>
      </c>
      <c r="D2598" s="21" t="s">
        <v>71</v>
      </c>
      <c r="E2598" s="22" t="s">
        <v>7935</v>
      </c>
      <c r="F2598" s="22" t="s">
        <v>7933</v>
      </c>
      <c r="G2598" s="21" t="s">
        <v>7936</v>
      </c>
      <c r="H2598" s="21" t="s">
        <v>7937</v>
      </c>
      <c r="I2598" s="12" t="s">
        <v>8848</v>
      </c>
      <c r="J2598" s="12" t="s">
        <v>10177</v>
      </c>
      <c r="K2598" s="12"/>
      <c r="L2598" s="12" t="s">
        <v>12617</v>
      </c>
      <c r="M2598" s="12" t="s">
        <v>12618</v>
      </c>
    </row>
    <row r="2599" spans="1:13" ht="52.8">
      <c r="A2599" s="21" t="s">
        <v>7932</v>
      </c>
      <c r="B2599" s="21" t="s">
        <v>7933</v>
      </c>
      <c r="C2599" s="21" t="s">
        <v>7934</v>
      </c>
      <c r="D2599" s="21" t="s">
        <v>71</v>
      </c>
      <c r="E2599" s="22" t="s">
        <v>7935</v>
      </c>
      <c r="F2599" s="22" t="s">
        <v>7933</v>
      </c>
      <c r="G2599" s="21" t="s">
        <v>7936</v>
      </c>
      <c r="H2599" s="21" t="s">
        <v>7937</v>
      </c>
      <c r="I2599" s="12" t="s">
        <v>8849</v>
      </c>
      <c r="J2599" s="12" t="s">
        <v>10178</v>
      </c>
      <c r="K2599" s="12" t="s">
        <v>12619</v>
      </c>
      <c r="L2599" s="12" t="s">
        <v>12620</v>
      </c>
      <c r="M2599" s="12" t="s">
        <v>12621</v>
      </c>
    </row>
    <row r="2600" spans="1:13" ht="52.8">
      <c r="A2600" s="21" t="s">
        <v>7932</v>
      </c>
      <c r="B2600" s="21" t="s">
        <v>7933</v>
      </c>
      <c r="C2600" s="21" t="s">
        <v>7934</v>
      </c>
      <c r="D2600" s="21" t="s">
        <v>71</v>
      </c>
      <c r="E2600" s="22" t="s">
        <v>7935</v>
      </c>
      <c r="F2600" s="22" t="s">
        <v>7933</v>
      </c>
      <c r="G2600" s="21" t="s">
        <v>7936</v>
      </c>
      <c r="H2600" s="21" t="s">
        <v>7937</v>
      </c>
      <c r="I2600" s="12" t="s">
        <v>8850</v>
      </c>
      <c r="J2600" s="12" t="s">
        <v>10179</v>
      </c>
      <c r="K2600" s="12" t="s">
        <v>12622</v>
      </c>
      <c r="L2600" s="12" t="s">
        <v>12623</v>
      </c>
      <c r="M2600" s="12" t="s">
        <v>12622</v>
      </c>
    </row>
    <row r="2601" spans="1:13" ht="52.8">
      <c r="A2601" s="21" t="s">
        <v>7932</v>
      </c>
      <c r="B2601" s="21" t="s">
        <v>7933</v>
      </c>
      <c r="C2601" s="21" t="s">
        <v>7934</v>
      </c>
      <c r="D2601" s="21" t="s">
        <v>71</v>
      </c>
      <c r="E2601" s="22" t="s">
        <v>7935</v>
      </c>
      <c r="F2601" s="22" t="s">
        <v>7933</v>
      </c>
      <c r="G2601" s="21" t="s">
        <v>7936</v>
      </c>
      <c r="H2601" s="21" t="s">
        <v>7937</v>
      </c>
      <c r="I2601" s="12" t="s">
        <v>8851</v>
      </c>
      <c r="J2601" s="12" t="s">
        <v>10180</v>
      </c>
      <c r="K2601" s="12" t="s">
        <v>12624</v>
      </c>
      <c r="L2601" s="12" t="s">
        <v>12625</v>
      </c>
      <c r="M2601" s="12" t="s">
        <v>12626</v>
      </c>
    </row>
    <row r="2602" spans="1:13" ht="52.8">
      <c r="A2602" s="21" t="s">
        <v>7932</v>
      </c>
      <c r="B2602" s="21" t="s">
        <v>7933</v>
      </c>
      <c r="C2602" s="21" t="s">
        <v>7934</v>
      </c>
      <c r="D2602" s="21" t="s">
        <v>71</v>
      </c>
      <c r="E2602" s="22" t="s">
        <v>7935</v>
      </c>
      <c r="F2602" s="22" t="s">
        <v>7933</v>
      </c>
      <c r="G2602" s="21" t="s">
        <v>7936</v>
      </c>
      <c r="H2602" s="21" t="s">
        <v>7937</v>
      </c>
      <c r="I2602" s="12" t="s">
        <v>8852</v>
      </c>
      <c r="J2602" s="12" t="s">
        <v>10181</v>
      </c>
      <c r="K2602" s="12"/>
      <c r="L2602" s="12" t="s">
        <v>12627</v>
      </c>
      <c r="M2602" s="12" t="s">
        <v>12628</v>
      </c>
    </row>
    <row r="2603" spans="1:13" ht="52.8">
      <c r="A2603" s="21" t="s">
        <v>7932</v>
      </c>
      <c r="B2603" s="21" t="s">
        <v>7933</v>
      </c>
      <c r="C2603" s="21" t="s">
        <v>7934</v>
      </c>
      <c r="D2603" s="21" t="s">
        <v>71</v>
      </c>
      <c r="E2603" s="22" t="s">
        <v>7935</v>
      </c>
      <c r="F2603" s="22" t="s">
        <v>7933</v>
      </c>
      <c r="G2603" s="21" t="s">
        <v>7936</v>
      </c>
      <c r="H2603" s="21" t="s">
        <v>7937</v>
      </c>
      <c r="I2603" s="12" t="s">
        <v>8853</v>
      </c>
      <c r="J2603" s="12" t="s">
        <v>10182</v>
      </c>
      <c r="K2603" s="12"/>
      <c r="L2603" s="12" t="s">
        <v>12629</v>
      </c>
      <c r="M2603" s="12" t="s">
        <v>12630</v>
      </c>
    </row>
    <row r="2604" spans="1:13" ht="52.8">
      <c r="A2604" s="21" t="s">
        <v>7932</v>
      </c>
      <c r="B2604" s="21" t="s">
        <v>7933</v>
      </c>
      <c r="C2604" s="21" t="s">
        <v>7934</v>
      </c>
      <c r="D2604" s="21" t="s">
        <v>71</v>
      </c>
      <c r="E2604" s="22" t="s">
        <v>7935</v>
      </c>
      <c r="F2604" s="22" t="s">
        <v>7933</v>
      </c>
      <c r="G2604" s="21" t="s">
        <v>7936</v>
      </c>
      <c r="H2604" s="21" t="s">
        <v>7937</v>
      </c>
      <c r="I2604" s="12" t="s">
        <v>8854</v>
      </c>
      <c r="J2604" s="12" t="s">
        <v>10183</v>
      </c>
      <c r="K2604" s="12"/>
      <c r="L2604" s="12" t="s">
        <v>12631</v>
      </c>
      <c r="M2604" s="12" t="s">
        <v>12632</v>
      </c>
    </row>
    <row r="2605" spans="1:13" ht="52.8">
      <c r="A2605" s="21" t="s">
        <v>7932</v>
      </c>
      <c r="B2605" s="21" t="s">
        <v>7933</v>
      </c>
      <c r="C2605" s="21" t="s">
        <v>7934</v>
      </c>
      <c r="D2605" s="21" t="s">
        <v>71</v>
      </c>
      <c r="E2605" s="22" t="s">
        <v>7935</v>
      </c>
      <c r="F2605" s="22" t="s">
        <v>7933</v>
      </c>
      <c r="G2605" s="21" t="s">
        <v>7936</v>
      </c>
      <c r="H2605" s="21" t="s">
        <v>7937</v>
      </c>
      <c r="I2605" s="12" t="s">
        <v>8855</v>
      </c>
      <c r="J2605" s="12" t="s">
        <v>10184</v>
      </c>
      <c r="K2605" s="12"/>
      <c r="L2605" s="12" t="s">
        <v>12633</v>
      </c>
      <c r="M2605" s="12" t="s">
        <v>12634</v>
      </c>
    </row>
    <row r="2606" spans="1:13" ht="52.8">
      <c r="A2606" s="21" t="s">
        <v>7932</v>
      </c>
      <c r="B2606" s="21" t="s">
        <v>7933</v>
      </c>
      <c r="C2606" s="21" t="s">
        <v>7934</v>
      </c>
      <c r="D2606" s="21" t="s">
        <v>71</v>
      </c>
      <c r="E2606" s="22" t="s">
        <v>7935</v>
      </c>
      <c r="F2606" s="22" t="s">
        <v>7933</v>
      </c>
      <c r="G2606" s="21" t="s">
        <v>7936</v>
      </c>
      <c r="H2606" s="21" t="s">
        <v>7937</v>
      </c>
      <c r="I2606" s="12" t="s">
        <v>8856</v>
      </c>
      <c r="J2606" s="12" t="s">
        <v>10185</v>
      </c>
      <c r="K2606" s="12" t="s">
        <v>12635</v>
      </c>
      <c r="L2606" s="12" t="s">
        <v>12636</v>
      </c>
      <c r="M2606" s="12" t="s">
        <v>12635</v>
      </c>
    </row>
    <row r="2607" spans="1:13" ht="52.8">
      <c r="A2607" s="21" t="s">
        <v>7932</v>
      </c>
      <c r="B2607" s="21" t="s">
        <v>7933</v>
      </c>
      <c r="C2607" s="21" t="s">
        <v>7934</v>
      </c>
      <c r="D2607" s="21" t="s">
        <v>71</v>
      </c>
      <c r="E2607" s="22" t="s">
        <v>7935</v>
      </c>
      <c r="F2607" s="22" t="s">
        <v>7933</v>
      </c>
      <c r="G2607" s="21" t="s">
        <v>7936</v>
      </c>
      <c r="H2607" s="21" t="s">
        <v>7937</v>
      </c>
      <c r="I2607" s="12" t="s">
        <v>8857</v>
      </c>
      <c r="J2607" s="12" t="s">
        <v>10186</v>
      </c>
      <c r="K2607" s="12"/>
      <c r="L2607" s="12" t="s">
        <v>12637</v>
      </c>
      <c r="M2607" s="12" t="s">
        <v>12638</v>
      </c>
    </row>
    <row r="2608" spans="1:13" ht="52.8">
      <c r="A2608" s="21" t="s">
        <v>7932</v>
      </c>
      <c r="B2608" s="21" t="s">
        <v>7933</v>
      </c>
      <c r="C2608" s="21" t="s">
        <v>7934</v>
      </c>
      <c r="D2608" s="21" t="s">
        <v>71</v>
      </c>
      <c r="E2608" s="22" t="s">
        <v>7935</v>
      </c>
      <c r="F2608" s="22" t="s">
        <v>7933</v>
      </c>
      <c r="G2608" s="21" t="s">
        <v>7936</v>
      </c>
      <c r="H2608" s="21" t="s">
        <v>7937</v>
      </c>
      <c r="I2608" s="12" t="s">
        <v>8858</v>
      </c>
      <c r="J2608" s="12" t="s">
        <v>10187</v>
      </c>
      <c r="K2608" s="12"/>
      <c r="L2608" s="12" t="s">
        <v>12639</v>
      </c>
      <c r="M2608" s="12" t="s">
        <v>12640</v>
      </c>
    </row>
    <row r="2609" spans="1:13" ht="52.8">
      <c r="A2609" s="21" t="s">
        <v>7932</v>
      </c>
      <c r="B2609" s="21" t="s">
        <v>7933</v>
      </c>
      <c r="C2609" s="21" t="s">
        <v>7934</v>
      </c>
      <c r="D2609" s="21" t="s">
        <v>71</v>
      </c>
      <c r="E2609" s="22" t="s">
        <v>7935</v>
      </c>
      <c r="F2609" s="22" t="s">
        <v>7933</v>
      </c>
      <c r="G2609" s="21" t="s">
        <v>7936</v>
      </c>
      <c r="H2609" s="21" t="s">
        <v>7937</v>
      </c>
      <c r="I2609" s="12" t="s">
        <v>8859</v>
      </c>
      <c r="J2609" s="12" t="s">
        <v>10188</v>
      </c>
      <c r="K2609" s="12"/>
      <c r="L2609" s="12" t="s">
        <v>12641</v>
      </c>
      <c r="M2609" s="12" t="s">
        <v>12642</v>
      </c>
    </row>
    <row r="2610" spans="1:13" ht="52.8">
      <c r="A2610" s="21" t="s">
        <v>7932</v>
      </c>
      <c r="B2610" s="21" t="s">
        <v>7933</v>
      </c>
      <c r="C2610" s="21" t="s">
        <v>7934</v>
      </c>
      <c r="D2610" s="21" t="s">
        <v>71</v>
      </c>
      <c r="E2610" s="22" t="s">
        <v>7935</v>
      </c>
      <c r="F2610" s="22" t="s">
        <v>7933</v>
      </c>
      <c r="G2610" s="21" t="s">
        <v>7936</v>
      </c>
      <c r="H2610" s="21" t="s">
        <v>7937</v>
      </c>
      <c r="I2610" s="12" t="s">
        <v>8860</v>
      </c>
      <c r="J2610" s="12" t="s">
        <v>10189</v>
      </c>
      <c r="K2610" s="12"/>
      <c r="L2610" s="12" t="s">
        <v>12643</v>
      </c>
      <c r="M2610" s="12" t="s">
        <v>12644</v>
      </c>
    </row>
    <row r="2611" spans="1:13" ht="52.8">
      <c r="A2611" s="21" t="s">
        <v>7932</v>
      </c>
      <c r="B2611" s="21" t="s">
        <v>7933</v>
      </c>
      <c r="C2611" s="21" t="s">
        <v>7934</v>
      </c>
      <c r="D2611" s="21" t="s">
        <v>71</v>
      </c>
      <c r="E2611" s="22" t="s">
        <v>7935</v>
      </c>
      <c r="F2611" s="22" t="s">
        <v>7933</v>
      </c>
      <c r="G2611" s="21" t="s">
        <v>7936</v>
      </c>
      <c r="H2611" s="21" t="s">
        <v>7937</v>
      </c>
      <c r="I2611" s="12" t="s">
        <v>8861</v>
      </c>
      <c r="J2611" s="12" t="s">
        <v>10190</v>
      </c>
      <c r="K2611" s="12"/>
      <c r="L2611" s="12" t="s">
        <v>12645</v>
      </c>
      <c r="M2611" s="12" t="s">
        <v>12646</v>
      </c>
    </row>
    <row r="2612" spans="1:13" ht="52.8">
      <c r="A2612" s="21" t="s">
        <v>7932</v>
      </c>
      <c r="B2612" s="21" t="s">
        <v>7933</v>
      </c>
      <c r="C2612" s="21" t="s">
        <v>7934</v>
      </c>
      <c r="D2612" s="21" t="s">
        <v>71</v>
      </c>
      <c r="E2612" s="22" t="s">
        <v>7935</v>
      </c>
      <c r="F2612" s="22" t="s">
        <v>7933</v>
      </c>
      <c r="G2612" s="21" t="s">
        <v>7936</v>
      </c>
      <c r="H2612" s="21" t="s">
        <v>7937</v>
      </c>
      <c r="I2612" s="12" t="s">
        <v>8862</v>
      </c>
      <c r="J2612" s="12" t="s">
        <v>10191</v>
      </c>
      <c r="K2612" s="12"/>
      <c r="L2612" s="12" t="s">
        <v>12647</v>
      </c>
      <c r="M2612" s="12" t="s">
        <v>12648</v>
      </c>
    </row>
    <row r="2613" spans="1:13" ht="52.8">
      <c r="A2613" s="21" t="s">
        <v>7932</v>
      </c>
      <c r="B2613" s="21" t="s">
        <v>7933</v>
      </c>
      <c r="C2613" s="21" t="s">
        <v>7934</v>
      </c>
      <c r="D2613" s="21" t="s">
        <v>71</v>
      </c>
      <c r="E2613" s="22" t="s">
        <v>7935</v>
      </c>
      <c r="F2613" s="22" t="s">
        <v>7933</v>
      </c>
      <c r="G2613" s="21" t="s">
        <v>7936</v>
      </c>
      <c r="H2613" s="21" t="s">
        <v>7937</v>
      </c>
      <c r="I2613" s="12" t="s">
        <v>8863</v>
      </c>
      <c r="J2613" s="12" t="s">
        <v>10192</v>
      </c>
      <c r="K2613" s="12" t="s">
        <v>12649</v>
      </c>
      <c r="L2613" s="12" t="s">
        <v>12650</v>
      </c>
      <c r="M2613" s="12" t="s">
        <v>12651</v>
      </c>
    </row>
    <row r="2614" spans="1:13" ht="52.8">
      <c r="A2614" s="21" t="s">
        <v>7932</v>
      </c>
      <c r="B2614" s="21" t="s">
        <v>7933</v>
      </c>
      <c r="C2614" s="21" t="s">
        <v>7934</v>
      </c>
      <c r="D2614" s="21" t="s">
        <v>71</v>
      </c>
      <c r="E2614" s="22" t="s">
        <v>7935</v>
      </c>
      <c r="F2614" s="22" t="s">
        <v>7933</v>
      </c>
      <c r="G2614" s="21" t="s">
        <v>7936</v>
      </c>
      <c r="H2614" s="21" t="s">
        <v>7937</v>
      </c>
      <c r="I2614" s="12" t="s">
        <v>8864</v>
      </c>
      <c r="J2614" s="12" t="s">
        <v>10193</v>
      </c>
      <c r="K2614" s="12" t="s">
        <v>12652</v>
      </c>
      <c r="L2614" s="12" t="s">
        <v>12653</v>
      </c>
      <c r="M2614" s="12" t="s">
        <v>12654</v>
      </c>
    </row>
    <row r="2615" spans="1:13" ht="52.8">
      <c r="A2615" s="21" t="s">
        <v>7932</v>
      </c>
      <c r="B2615" s="21" t="s">
        <v>7933</v>
      </c>
      <c r="C2615" s="21" t="s">
        <v>7934</v>
      </c>
      <c r="D2615" s="21" t="s">
        <v>71</v>
      </c>
      <c r="E2615" s="22" t="s">
        <v>7935</v>
      </c>
      <c r="F2615" s="22" t="s">
        <v>7933</v>
      </c>
      <c r="G2615" s="21" t="s">
        <v>7936</v>
      </c>
      <c r="H2615" s="21" t="s">
        <v>7937</v>
      </c>
      <c r="I2615" s="12" t="s">
        <v>8865</v>
      </c>
      <c r="J2615" s="12" t="s">
        <v>10194</v>
      </c>
      <c r="K2615" s="12"/>
      <c r="L2615" s="12" t="s">
        <v>12655</v>
      </c>
      <c r="M2615" s="12" t="s">
        <v>12656</v>
      </c>
    </row>
    <row r="2616" spans="1:13" ht="52.8">
      <c r="A2616" s="21" t="s">
        <v>7932</v>
      </c>
      <c r="B2616" s="21" t="s">
        <v>7933</v>
      </c>
      <c r="C2616" s="21" t="s">
        <v>7934</v>
      </c>
      <c r="D2616" s="21" t="s">
        <v>71</v>
      </c>
      <c r="E2616" s="22" t="s">
        <v>7935</v>
      </c>
      <c r="F2616" s="22" t="s">
        <v>7933</v>
      </c>
      <c r="G2616" s="21" t="s">
        <v>7936</v>
      </c>
      <c r="H2616" s="21" t="s">
        <v>7937</v>
      </c>
      <c r="I2616" s="12" t="s">
        <v>8866</v>
      </c>
      <c r="J2616" s="12" t="s">
        <v>10195</v>
      </c>
      <c r="K2616" s="12" t="s">
        <v>12657</v>
      </c>
      <c r="L2616" s="12" t="s">
        <v>12658</v>
      </c>
      <c r="M2616" s="12" t="s">
        <v>12659</v>
      </c>
    </row>
    <row r="2617" spans="1:13" ht="52.8">
      <c r="A2617" s="21" t="s">
        <v>7932</v>
      </c>
      <c r="B2617" s="21" t="s">
        <v>7933</v>
      </c>
      <c r="C2617" s="21" t="s">
        <v>7934</v>
      </c>
      <c r="D2617" s="21" t="s">
        <v>71</v>
      </c>
      <c r="E2617" s="22" t="s">
        <v>7935</v>
      </c>
      <c r="F2617" s="22" t="s">
        <v>7933</v>
      </c>
      <c r="G2617" s="21" t="s">
        <v>7936</v>
      </c>
      <c r="H2617" s="21" t="s">
        <v>7937</v>
      </c>
      <c r="I2617" s="12" t="s">
        <v>8867</v>
      </c>
      <c r="J2617" s="12" t="s">
        <v>10196</v>
      </c>
      <c r="K2617" s="12"/>
      <c r="L2617" s="12" t="s">
        <v>12660</v>
      </c>
      <c r="M2617" s="12" t="s">
        <v>12661</v>
      </c>
    </row>
    <row r="2618" spans="1:13" ht="52.8">
      <c r="A2618" s="21" t="s">
        <v>7932</v>
      </c>
      <c r="B2618" s="21" t="s">
        <v>7933</v>
      </c>
      <c r="C2618" s="21" t="s">
        <v>7934</v>
      </c>
      <c r="D2618" s="21" t="s">
        <v>71</v>
      </c>
      <c r="E2618" s="22" t="s">
        <v>7935</v>
      </c>
      <c r="F2618" s="22" t="s">
        <v>7933</v>
      </c>
      <c r="G2618" s="21" t="s">
        <v>7936</v>
      </c>
      <c r="H2618" s="21" t="s">
        <v>7937</v>
      </c>
      <c r="I2618" s="12" t="s">
        <v>8868</v>
      </c>
      <c r="J2618" s="12" t="s">
        <v>10197</v>
      </c>
      <c r="K2618" s="12"/>
      <c r="L2618" s="12" t="s">
        <v>12662</v>
      </c>
      <c r="M2618" s="12" t="s">
        <v>12663</v>
      </c>
    </row>
    <row r="2619" spans="1:13" ht="52.8">
      <c r="A2619" s="21" t="s">
        <v>7932</v>
      </c>
      <c r="B2619" s="21" t="s">
        <v>7933</v>
      </c>
      <c r="C2619" s="21" t="s">
        <v>7934</v>
      </c>
      <c r="D2619" s="21" t="s">
        <v>71</v>
      </c>
      <c r="E2619" s="22" t="s">
        <v>7935</v>
      </c>
      <c r="F2619" s="22" t="s">
        <v>7933</v>
      </c>
      <c r="G2619" s="21" t="s">
        <v>7936</v>
      </c>
      <c r="H2619" s="21" t="s">
        <v>7937</v>
      </c>
      <c r="I2619" s="12" t="s">
        <v>8869</v>
      </c>
      <c r="J2619" s="12" t="s">
        <v>10198</v>
      </c>
      <c r="K2619" s="12"/>
      <c r="L2619" s="12" t="s">
        <v>12664</v>
      </c>
      <c r="M2619" s="12" t="s">
        <v>12665</v>
      </c>
    </row>
    <row r="2620" spans="1:13" ht="92.4">
      <c r="A2620" s="21" t="s">
        <v>7932</v>
      </c>
      <c r="B2620" s="21" t="s">
        <v>7933</v>
      </c>
      <c r="C2620" s="21" t="s">
        <v>7934</v>
      </c>
      <c r="D2620" s="21" t="s">
        <v>71</v>
      </c>
      <c r="E2620" s="22" t="s">
        <v>7935</v>
      </c>
      <c r="F2620" s="22" t="s">
        <v>7933</v>
      </c>
      <c r="G2620" s="21" t="s">
        <v>7936</v>
      </c>
      <c r="H2620" s="21" t="s">
        <v>7937</v>
      </c>
      <c r="I2620" s="12" t="s">
        <v>8870</v>
      </c>
      <c r="J2620" s="12" t="s">
        <v>10199</v>
      </c>
      <c r="K2620" s="12" t="s">
        <v>12666</v>
      </c>
      <c r="L2620" s="12" t="s">
        <v>12667</v>
      </c>
      <c r="M2620" s="12" t="s">
        <v>12668</v>
      </c>
    </row>
    <row r="2621" spans="1:13" ht="52.8">
      <c r="A2621" s="21" t="s">
        <v>7932</v>
      </c>
      <c r="B2621" s="21" t="s">
        <v>7933</v>
      </c>
      <c r="C2621" s="21" t="s">
        <v>7934</v>
      </c>
      <c r="D2621" s="21" t="s">
        <v>71</v>
      </c>
      <c r="E2621" s="22" t="s">
        <v>7935</v>
      </c>
      <c r="F2621" s="22" t="s">
        <v>7933</v>
      </c>
      <c r="G2621" s="21" t="s">
        <v>7936</v>
      </c>
      <c r="H2621" s="21" t="s">
        <v>7937</v>
      </c>
      <c r="I2621" s="12" t="s">
        <v>8871</v>
      </c>
      <c r="J2621" s="12" t="s">
        <v>10200</v>
      </c>
      <c r="K2621" s="12" t="s">
        <v>12669</v>
      </c>
      <c r="L2621" s="12" t="s">
        <v>12670</v>
      </c>
      <c r="M2621" s="12" t="s">
        <v>12671</v>
      </c>
    </row>
    <row r="2622" spans="1:13" ht="52.8">
      <c r="A2622" s="21" t="s">
        <v>7932</v>
      </c>
      <c r="B2622" s="21" t="s">
        <v>7933</v>
      </c>
      <c r="C2622" s="21" t="s">
        <v>7934</v>
      </c>
      <c r="D2622" s="21" t="s">
        <v>71</v>
      </c>
      <c r="E2622" s="22" t="s">
        <v>7935</v>
      </c>
      <c r="F2622" s="22" t="s">
        <v>7933</v>
      </c>
      <c r="G2622" s="21" t="s">
        <v>7936</v>
      </c>
      <c r="H2622" s="21" t="s">
        <v>7937</v>
      </c>
      <c r="I2622" s="12" t="s">
        <v>8872</v>
      </c>
      <c r="J2622" s="12" t="s">
        <v>10201</v>
      </c>
      <c r="K2622" s="12"/>
      <c r="L2622" s="12" t="s">
        <v>12672</v>
      </c>
      <c r="M2622" s="12" t="s">
        <v>12673</v>
      </c>
    </row>
    <row r="2623" spans="1:13" ht="52.8">
      <c r="A2623" s="21" t="s">
        <v>7932</v>
      </c>
      <c r="B2623" s="21" t="s">
        <v>7933</v>
      </c>
      <c r="C2623" s="21" t="s">
        <v>7934</v>
      </c>
      <c r="D2623" s="21" t="s">
        <v>71</v>
      </c>
      <c r="E2623" s="22" t="s">
        <v>7935</v>
      </c>
      <c r="F2623" s="22" t="s">
        <v>7933</v>
      </c>
      <c r="G2623" s="21" t="s">
        <v>7936</v>
      </c>
      <c r="H2623" s="21" t="s">
        <v>7937</v>
      </c>
      <c r="I2623" s="12" t="s">
        <v>8873</v>
      </c>
      <c r="J2623" s="12" t="s">
        <v>10202</v>
      </c>
      <c r="K2623" s="12"/>
      <c r="L2623" s="12" t="s">
        <v>12674</v>
      </c>
      <c r="M2623" s="12" t="s">
        <v>12675</v>
      </c>
    </row>
    <row r="2624" spans="1:13" ht="52.8">
      <c r="A2624" s="21" t="s">
        <v>7932</v>
      </c>
      <c r="B2624" s="21" t="s">
        <v>7933</v>
      </c>
      <c r="C2624" s="21" t="s">
        <v>7934</v>
      </c>
      <c r="D2624" s="21" t="s">
        <v>71</v>
      </c>
      <c r="E2624" s="22" t="s">
        <v>7935</v>
      </c>
      <c r="F2624" s="22" t="s">
        <v>7933</v>
      </c>
      <c r="G2624" s="21" t="s">
        <v>7936</v>
      </c>
      <c r="H2624" s="21" t="s">
        <v>7937</v>
      </c>
      <c r="I2624" s="12" t="s">
        <v>8874</v>
      </c>
      <c r="J2624" s="12" t="s">
        <v>10203</v>
      </c>
      <c r="K2624" s="12"/>
      <c r="L2624" s="12" t="s">
        <v>12676</v>
      </c>
      <c r="M2624" s="12" t="s">
        <v>12677</v>
      </c>
    </row>
    <row r="2625" spans="1:13" ht="52.8">
      <c r="A2625" s="21" t="s">
        <v>7932</v>
      </c>
      <c r="B2625" s="21" t="s">
        <v>7933</v>
      </c>
      <c r="C2625" s="21" t="s">
        <v>7934</v>
      </c>
      <c r="D2625" s="21" t="s">
        <v>71</v>
      </c>
      <c r="E2625" s="22" t="s">
        <v>7935</v>
      </c>
      <c r="F2625" s="22" t="s">
        <v>7933</v>
      </c>
      <c r="G2625" s="21" t="s">
        <v>7936</v>
      </c>
      <c r="H2625" s="21" t="s">
        <v>7937</v>
      </c>
      <c r="I2625" s="12" t="s">
        <v>8875</v>
      </c>
      <c r="J2625" s="12" t="s">
        <v>10204</v>
      </c>
      <c r="K2625" s="12"/>
      <c r="L2625" s="12" t="s">
        <v>12678</v>
      </c>
      <c r="M2625" s="12" t="s">
        <v>12679</v>
      </c>
    </row>
    <row r="2626" spans="1:13" ht="52.8">
      <c r="A2626" s="21" t="s">
        <v>7932</v>
      </c>
      <c r="B2626" s="21" t="s">
        <v>7933</v>
      </c>
      <c r="C2626" s="21" t="s">
        <v>7934</v>
      </c>
      <c r="D2626" s="21" t="s">
        <v>71</v>
      </c>
      <c r="E2626" s="22" t="s">
        <v>7935</v>
      </c>
      <c r="F2626" s="22" t="s">
        <v>7933</v>
      </c>
      <c r="G2626" s="21" t="s">
        <v>7936</v>
      </c>
      <c r="H2626" s="21" t="s">
        <v>7937</v>
      </c>
      <c r="I2626" s="12" t="s">
        <v>8876</v>
      </c>
      <c r="J2626" s="12" t="s">
        <v>10205</v>
      </c>
      <c r="K2626" s="12"/>
      <c r="L2626" s="12" t="s">
        <v>12680</v>
      </c>
      <c r="M2626" s="12" t="s">
        <v>12681</v>
      </c>
    </row>
    <row r="2627" spans="1:13" ht="52.8">
      <c r="A2627" s="21" t="s">
        <v>7932</v>
      </c>
      <c r="B2627" s="21" t="s">
        <v>7933</v>
      </c>
      <c r="C2627" s="21" t="s">
        <v>7934</v>
      </c>
      <c r="D2627" s="21" t="s">
        <v>71</v>
      </c>
      <c r="E2627" s="22" t="s">
        <v>7935</v>
      </c>
      <c r="F2627" s="22" t="s">
        <v>7933</v>
      </c>
      <c r="G2627" s="21" t="s">
        <v>7936</v>
      </c>
      <c r="H2627" s="21" t="s">
        <v>7937</v>
      </c>
      <c r="I2627" s="12" t="s">
        <v>8877</v>
      </c>
      <c r="J2627" s="12" t="s">
        <v>10206</v>
      </c>
      <c r="K2627" s="12"/>
      <c r="L2627" s="12" t="s">
        <v>12682</v>
      </c>
      <c r="M2627" s="12" t="s">
        <v>12683</v>
      </c>
    </row>
    <row r="2628" spans="1:13" ht="52.8">
      <c r="A2628" s="21" t="s">
        <v>7932</v>
      </c>
      <c r="B2628" s="21" t="s">
        <v>7933</v>
      </c>
      <c r="C2628" s="21" t="s">
        <v>7934</v>
      </c>
      <c r="D2628" s="21" t="s">
        <v>71</v>
      </c>
      <c r="E2628" s="22" t="s">
        <v>7935</v>
      </c>
      <c r="F2628" s="22" t="s">
        <v>7933</v>
      </c>
      <c r="G2628" s="21" t="s">
        <v>7936</v>
      </c>
      <c r="H2628" s="21" t="s">
        <v>7937</v>
      </c>
      <c r="I2628" s="12" t="s">
        <v>8878</v>
      </c>
      <c r="J2628" s="12" t="s">
        <v>10207</v>
      </c>
      <c r="K2628" s="12"/>
      <c r="L2628" s="12" t="s">
        <v>12684</v>
      </c>
      <c r="M2628" s="12" t="s">
        <v>12685</v>
      </c>
    </row>
    <row r="2629" spans="1:13" ht="52.8">
      <c r="A2629" s="21" t="s">
        <v>7932</v>
      </c>
      <c r="B2629" s="21" t="s">
        <v>7933</v>
      </c>
      <c r="C2629" s="21" t="s">
        <v>7934</v>
      </c>
      <c r="D2629" s="21" t="s">
        <v>71</v>
      </c>
      <c r="E2629" s="22" t="s">
        <v>7935</v>
      </c>
      <c r="F2629" s="22" t="s">
        <v>7933</v>
      </c>
      <c r="G2629" s="21" t="s">
        <v>7936</v>
      </c>
      <c r="H2629" s="21" t="s">
        <v>7937</v>
      </c>
      <c r="I2629" s="12" t="s">
        <v>8879</v>
      </c>
      <c r="J2629" s="12" t="s">
        <v>10208</v>
      </c>
      <c r="K2629" s="12"/>
      <c r="L2629" s="12" t="s">
        <v>12686</v>
      </c>
      <c r="M2629" s="12" t="s">
        <v>12687</v>
      </c>
    </row>
    <row r="2630" spans="1:13" ht="52.8">
      <c r="A2630" s="21" t="s">
        <v>7932</v>
      </c>
      <c r="B2630" s="21" t="s">
        <v>7933</v>
      </c>
      <c r="C2630" s="21" t="s">
        <v>7934</v>
      </c>
      <c r="D2630" s="21" t="s">
        <v>71</v>
      </c>
      <c r="E2630" s="22" t="s">
        <v>7935</v>
      </c>
      <c r="F2630" s="22" t="s">
        <v>7933</v>
      </c>
      <c r="G2630" s="21" t="s">
        <v>7936</v>
      </c>
      <c r="H2630" s="21" t="s">
        <v>7937</v>
      </c>
      <c r="I2630" s="12" t="s">
        <v>8880</v>
      </c>
      <c r="J2630" s="12" t="s">
        <v>10209</v>
      </c>
      <c r="K2630" s="12"/>
      <c r="L2630" s="12" t="s">
        <v>12688</v>
      </c>
      <c r="M2630" s="12" t="s">
        <v>12689</v>
      </c>
    </row>
    <row r="2631" spans="1:13" ht="52.8">
      <c r="A2631" s="21" t="s">
        <v>7932</v>
      </c>
      <c r="B2631" s="21" t="s">
        <v>7933</v>
      </c>
      <c r="C2631" s="21" t="s">
        <v>7934</v>
      </c>
      <c r="D2631" s="21" t="s">
        <v>71</v>
      </c>
      <c r="E2631" s="22" t="s">
        <v>7935</v>
      </c>
      <c r="F2631" s="22" t="s">
        <v>7933</v>
      </c>
      <c r="G2631" s="21" t="s">
        <v>7936</v>
      </c>
      <c r="H2631" s="21" t="s">
        <v>7937</v>
      </c>
      <c r="I2631" s="12" t="s">
        <v>8881</v>
      </c>
      <c r="J2631" s="12" t="s">
        <v>10210</v>
      </c>
      <c r="K2631" s="12"/>
      <c r="L2631" s="12" t="s">
        <v>12690</v>
      </c>
      <c r="M2631" s="12" t="s">
        <v>12691</v>
      </c>
    </row>
    <row r="2632" spans="1:13" ht="52.8">
      <c r="A2632" s="21" t="s">
        <v>7932</v>
      </c>
      <c r="B2632" s="21" t="s">
        <v>7933</v>
      </c>
      <c r="C2632" s="21" t="s">
        <v>7934</v>
      </c>
      <c r="D2632" s="21" t="s">
        <v>71</v>
      </c>
      <c r="E2632" s="22" t="s">
        <v>7935</v>
      </c>
      <c r="F2632" s="22" t="s">
        <v>7933</v>
      </c>
      <c r="G2632" s="21" t="s">
        <v>7936</v>
      </c>
      <c r="H2632" s="21" t="s">
        <v>7937</v>
      </c>
      <c r="I2632" s="12" t="s">
        <v>8882</v>
      </c>
      <c r="J2632" s="12" t="s">
        <v>10211</v>
      </c>
      <c r="K2632" s="12"/>
      <c r="L2632" s="12" t="s">
        <v>12692</v>
      </c>
      <c r="M2632" s="12" t="s">
        <v>12693</v>
      </c>
    </row>
    <row r="2633" spans="1:13" ht="52.8">
      <c r="A2633" s="21" t="s">
        <v>7932</v>
      </c>
      <c r="B2633" s="21" t="s">
        <v>7933</v>
      </c>
      <c r="C2633" s="21" t="s">
        <v>7934</v>
      </c>
      <c r="D2633" s="21" t="s">
        <v>71</v>
      </c>
      <c r="E2633" s="22" t="s">
        <v>7935</v>
      </c>
      <c r="F2633" s="22" t="s">
        <v>7933</v>
      </c>
      <c r="G2633" s="21" t="s">
        <v>7936</v>
      </c>
      <c r="H2633" s="21" t="s">
        <v>7937</v>
      </c>
      <c r="I2633" s="12" t="s">
        <v>8883</v>
      </c>
      <c r="J2633" s="12" t="s">
        <v>10212</v>
      </c>
      <c r="K2633" s="12"/>
      <c r="L2633" s="12" t="s">
        <v>12694</v>
      </c>
      <c r="M2633" s="12" t="s">
        <v>12695</v>
      </c>
    </row>
    <row r="2634" spans="1:13" ht="52.8">
      <c r="A2634" s="21" t="s">
        <v>7932</v>
      </c>
      <c r="B2634" s="21" t="s">
        <v>7933</v>
      </c>
      <c r="C2634" s="21" t="s">
        <v>7934</v>
      </c>
      <c r="D2634" s="21" t="s">
        <v>71</v>
      </c>
      <c r="E2634" s="22" t="s">
        <v>7935</v>
      </c>
      <c r="F2634" s="22" t="s">
        <v>7933</v>
      </c>
      <c r="G2634" s="21" t="s">
        <v>7936</v>
      </c>
      <c r="H2634" s="21" t="s">
        <v>7937</v>
      </c>
      <c r="I2634" s="12" t="s">
        <v>8884</v>
      </c>
      <c r="J2634" s="12" t="s">
        <v>10213</v>
      </c>
      <c r="K2634" s="12"/>
      <c r="L2634" s="12" t="s">
        <v>12696</v>
      </c>
      <c r="M2634" s="12" t="s">
        <v>12697</v>
      </c>
    </row>
    <row r="2635" spans="1:13" ht="52.8">
      <c r="A2635" s="21" t="s">
        <v>7932</v>
      </c>
      <c r="B2635" s="21" t="s">
        <v>7933</v>
      </c>
      <c r="C2635" s="21" t="s">
        <v>7934</v>
      </c>
      <c r="D2635" s="21" t="s">
        <v>71</v>
      </c>
      <c r="E2635" s="22" t="s">
        <v>7935</v>
      </c>
      <c r="F2635" s="22" t="s">
        <v>7933</v>
      </c>
      <c r="G2635" s="21" t="s">
        <v>7936</v>
      </c>
      <c r="H2635" s="21" t="s">
        <v>7937</v>
      </c>
      <c r="I2635" s="12" t="s">
        <v>8885</v>
      </c>
      <c r="J2635" s="12" t="s">
        <v>10214</v>
      </c>
      <c r="K2635" s="12"/>
      <c r="L2635" s="12" t="s">
        <v>12698</v>
      </c>
      <c r="M2635" s="12" t="s">
        <v>12699</v>
      </c>
    </row>
    <row r="2636" spans="1:13" ht="52.8">
      <c r="A2636" s="21" t="s">
        <v>7932</v>
      </c>
      <c r="B2636" s="21" t="s">
        <v>7933</v>
      </c>
      <c r="C2636" s="21" t="s">
        <v>7934</v>
      </c>
      <c r="D2636" s="21" t="s">
        <v>71</v>
      </c>
      <c r="E2636" s="22" t="s">
        <v>7935</v>
      </c>
      <c r="F2636" s="22" t="s">
        <v>7933</v>
      </c>
      <c r="G2636" s="21" t="s">
        <v>7936</v>
      </c>
      <c r="H2636" s="21" t="s">
        <v>7937</v>
      </c>
      <c r="I2636" s="12" t="s">
        <v>8886</v>
      </c>
      <c r="J2636" s="12" t="s">
        <v>10215</v>
      </c>
      <c r="K2636" s="12"/>
      <c r="L2636" s="12" t="s">
        <v>12700</v>
      </c>
      <c r="M2636" s="12" t="s">
        <v>12701</v>
      </c>
    </row>
    <row r="2637" spans="1:13" ht="52.8">
      <c r="A2637" s="21" t="s">
        <v>7932</v>
      </c>
      <c r="B2637" s="21" t="s">
        <v>7933</v>
      </c>
      <c r="C2637" s="21" t="s">
        <v>7934</v>
      </c>
      <c r="D2637" s="21" t="s">
        <v>71</v>
      </c>
      <c r="E2637" s="22" t="s">
        <v>7935</v>
      </c>
      <c r="F2637" s="22" t="s">
        <v>7933</v>
      </c>
      <c r="G2637" s="21" t="s">
        <v>7936</v>
      </c>
      <c r="H2637" s="21" t="s">
        <v>7937</v>
      </c>
      <c r="I2637" s="12" t="s">
        <v>8887</v>
      </c>
      <c r="J2637" s="12" t="s">
        <v>10216</v>
      </c>
      <c r="K2637" s="12"/>
      <c r="L2637" s="12" t="s">
        <v>12702</v>
      </c>
      <c r="M2637" s="12" t="s">
        <v>12703</v>
      </c>
    </row>
    <row r="2638" spans="1:13" ht="52.8">
      <c r="A2638" s="21" t="s">
        <v>7932</v>
      </c>
      <c r="B2638" s="21" t="s">
        <v>7933</v>
      </c>
      <c r="C2638" s="21" t="s">
        <v>7934</v>
      </c>
      <c r="D2638" s="21" t="s">
        <v>71</v>
      </c>
      <c r="E2638" s="22" t="s">
        <v>7935</v>
      </c>
      <c r="F2638" s="22" t="s">
        <v>7933</v>
      </c>
      <c r="G2638" s="21" t="s">
        <v>7936</v>
      </c>
      <c r="H2638" s="21" t="s">
        <v>7937</v>
      </c>
      <c r="I2638" s="12" t="s">
        <v>8888</v>
      </c>
      <c r="J2638" s="12" t="s">
        <v>10217</v>
      </c>
      <c r="K2638" s="12"/>
      <c r="L2638" s="12" t="s">
        <v>12704</v>
      </c>
      <c r="M2638" s="12" t="s">
        <v>12705</v>
      </c>
    </row>
    <row r="2639" spans="1:13" ht="52.8">
      <c r="A2639" s="21" t="s">
        <v>7932</v>
      </c>
      <c r="B2639" s="21" t="s">
        <v>7933</v>
      </c>
      <c r="C2639" s="21" t="s">
        <v>7934</v>
      </c>
      <c r="D2639" s="21" t="s">
        <v>71</v>
      </c>
      <c r="E2639" s="22" t="s">
        <v>7935</v>
      </c>
      <c r="F2639" s="22" t="s">
        <v>7933</v>
      </c>
      <c r="G2639" s="21" t="s">
        <v>7936</v>
      </c>
      <c r="H2639" s="21" t="s">
        <v>7937</v>
      </c>
      <c r="I2639" s="12" t="s">
        <v>8889</v>
      </c>
      <c r="J2639" s="12" t="s">
        <v>10218</v>
      </c>
      <c r="K2639" s="12"/>
      <c r="L2639" s="12" t="s">
        <v>12706</v>
      </c>
      <c r="M2639" s="12" t="s">
        <v>12707</v>
      </c>
    </row>
    <row r="2640" spans="1:13" ht="52.8">
      <c r="A2640" s="21" t="s">
        <v>7932</v>
      </c>
      <c r="B2640" s="21" t="s">
        <v>7933</v>
      </c>
      <c r="C2640" s="21" t="s">
        <v>7934</v>
      </c>
      <c r="D2640" s="21" t="s">
        <v>71</v>
      </c>
      <c r="E2640" s="22" t="s">
        <v>7935</v>
      </c>
      <c r="F2640" s="22" t="s">
        <v>7933</v>
      </c>
      <c r="G2640" s="21" t="s">
        <v>7936</v>
      </c>
      <c r="H2640" s="21" t="s">
        <v>7937</v>
      </c>
      <c r="I2640" s="12" t="s">
        <v>8890</v>
      </c>
      <c r="J2640" s="12" t="s">
        <v>10219</v>
      </c>
      <c r="K2640" s="12"/>
      <c r="L2640" s="12" t="s">
        <v>12708</v>
      </c>
      <c r="M2640" s="12" t="s">
        <v>12709</v>
      </c>
    </row>
    <row r="2641" spans="1:13" ht="52.8">
      <c r="A2641" s="21" t="s">
        <v>7932</v>
      </c>
      <c r="B2641" s="21" t="s">
        <v>7933</v>
      </c>
      <c r="C2641" s="21" t="s">
        <v>7934</v>
      </c>
      <c r="D2641" s="21" t="s">
        <v>71</v>
      </c>
      <c r="E2641" s="22" t="s">
        <v>7935</v>
      </c>
      <c r="F2641" s="22" t="s">
        <v>7933</v>
      </c>
      <c r="G2641" s="21" t="s">
        <v>7936</v>
      </c>
      <c r="H2641" s="21" t="s">
        <v>7937</v>
      </c>
      <c r="I2641" s="12" t="s">
        <v>8891</v>
      </c>
      <c r="J2641" s="12" t="s">
        <v>10220</v>
      </c>
      <c r="K2641" s="12" t="s">
        <v>12710</v>
      </c>
      <c r="L2641" s="12" t="s">
        <v>12711</v>
      </c>
      <c r="M2641" s="12" t="s">
        <v>12710</v>
      </c>
    </row>
    <row r="2642" spans="1:13" ht="52.8">
      <c r="A2642" s="21" t="s">
        <v>7932</v>
      </c>
      <c r="B2642" s="21" t="s">
        <v>7933</v>
      </c>
      <c r="C2642" s="21" t="s">
        <v>7934</v>
      </c>
      <c r="D2642" s="21" t="s">
        <v>71</v>
      </c>
      <c r="E2642" s="22" t="s">
        <v>7935</v>
      </c>
      <c r="F2642" s="22" t="s">
        <v>7933</v>
      </c>
      <c r="G2642" s="21" t="s">
        <v>7936</v>
      </c>
      <c r="H2642" s="21" t="s">
        <v>7937</v>
      </c>
      <c r="I2642" s="12" t="s">
        <v>8892</v>
      </c>
      <c r="J2642" s="12" t="s">
        <v>10221</v>
      </c>
      <c r="K2642" s="12"/>
      <c r="L2642" s="12" t="s">
        <v>12712</v>
      </c>
      <c r="M2642" s="12" t="s">
        <v>12713</v>
      </c>
    </row>
    <row r="2643" spans="1:13" ht="52.8">
      <c r="A2643" s="21" t="s">
        <v>7932</v>
      </c>
      <c r="B2643" s="21" t="s">
        <v>7933</v>
      </c>
      <c r="C2643" s="21" t="s">
        <v>7934</v>
      </c>
      <c r="D2643" s="21" t="s">
        <v>71</v>
      </c>
      <c r="E2643" s="22" t="s">
        <v>7935</v>
      </c>
      <c r="F2643" s="22" t="s">
        <v>7933</v>
      </c>
      <c r="G2643" s="21" t="s">
        <v>7936</v>
      </c>
      <c r="H2643" s="21" t="s">
        <v>7937</v>
      </c>
      <c r="I2643" s="12" t="s">
        <v>8893</v>
      </c>
      <c r="J2643" s="12" t="s">
        <v>10222</v>
      </c>
      <c r="K2643" s="12"/>
      <c r="L2643" s="12" t="s">
        <v>12714</v>
      </c>
      <c r="M2643" s="12" t="s">
        <v>12715</v>
      </c>
    </row>
    <row r="2644" spans="1:13" ht="52.8">
      <c r="A2644" s="21" t="s">
        <v>7932</v>
      </c>
      <c r="B2644" s="21" t="s">
        <v>7933</v>
      </c>
      <c r="C2644" s="21" t="s">
        <v>7934</v>
      </c>
      <c r="D2644" s="21" t="s">
        <v>71</v>
      </c>
      <c r="E2644" s="22" t="s">
        <v>7935</v>
      </c>
      <c r="F2644" s="22" t="s">
        <v>7933</v>
      </c>
      <c r="G2644" s="21" t="s">
        <v>7936</v>
      </c>
      <c r="H2644" s="21" t="s">
        <v>7937</v>
      </c>
      <c r="I2644" s="12" t="s">
        <v>8894</v>
      </c>
      <c r="J2644" s="12" t="s">
        <v>10223</v>
      </c>
      <c r="K2644" s="12"/>
      <c r="L2644" s="12" t="s">
        <v>12716</v>
      </c>
      <c r="M2644" s="12" t="s">
        <v>12717</v>
      </c>
    </row>
    <row r="2645" spans="1:13" ht="52.8">
      <c r="A2645" s="21" t="s">
        <v>7932</v>
      </c>
      <c r="B2645" s="21" t="s">
        <v>7933</v>
      </c>
      <c r="C2645" s="21" t="s">
        <v>7934</v>
      </c>
      <c r="D2645" s="21" t="s">
        <v>71</v>
      </c>
      <c r="E2645" s="22" t="s">
        <v>7935</v>
      </c>
      <c r="F2645" s="22" t="s">
        <v>7933</v>
      </c>
      <c r="G2645" s="21" t="s">
        <v>7936</v>
      </c>
      <c r="H2645" s="21" t="s">
        <v>7937</v>
      </c>
      <c r="I2645" s="12" t="s">
        <v>8895</v>
      </c>
      <c r="J2645" s="12" t="s">
        <v>10224</v>
      </c>
      <c r="K2645" s="12" t="s">
        <v>12718</v>
      </c>
      <c r="L2645" s="12" t="s">
        <v>12719</v>
      </c>
      <c r="M2645" s="12" t="s">
        <v>12718</v>
      </c>
    </row>
    <row r="2646" spans="1:13" ht="52.8">
      <c r="A2646" s="21" t="s">
        <v>7932</v>
      </c>
      <c r="B2646" s="21" t="s">
        <v>7933</v>
      </c>
      <c r="C2646" s="21" t="s">
        <v>7934</v>
      </c>
      <c r="D2646" s="21" t="s">
        <v>71</v>
      </c>
      <c r="E2646" s="22" t="s">
        <v>7935</v>
      </c>
      <c r="F2646" s="22" t="s">
        <v>7933</v>
      </c>
      <c r="G2646" s="21" t="s">
        <v>7936</v>
      </c>
      <c r="H2646" s="21" t="s">
        <v>7937</v>
      </c>
      <c r="I2646" s="12" t="s">
        <v>8896</v>
      </c>
      <c r="J2646" s="12" t="s">
        <v>10225</v>
      </c>
      <c r="K2646" s="12" t="s">
        <v>12720</v>
      </c>
      <c r="L2646" s="12" t="s">
        <v>12721</v>
      </c>
      <c r="M2646" s="12" t="s">
        <v>12720</v>
      </c>
    </row>
    <row r="2647" spans="1:13" ht="52.8">
      <c r="A2647" s="21" t="s">
        <v>7932</v>
      </c>
      <c r="B2647" s="21" t="s">
        <v>7933</v>
      </c>
      <c r="C2647" s="21" t="s">
        <v>7934</v>
      </c>
      <c r="D2647" s="21" t="s">
        <v>71</v>
      </c>
      <c r="E2647" s="22" t="s">
        <v>7935</v>
      </c>
      <c r="F2647" s="22" t="s">
        <v>7933</v>
      </c>
      <c r="G2647" s="21" t="s">
        <v>7936</v>
      </c>
      <c r="H2647" s="21" t="s">
        <v>7937</v>
      </c>
      <c r="I2647" s="12" t="s">
        <v>8897</v>
      </c>
      <c r="J2647" s="12" t="s">
        <v>10226</v>
      </c>
      <c r="K2647" s="12" t="s">
        <v>12722</v>
      </c>
      <c r="L2647" s="12" t="s">
        <v>12723</v>
      </c>
      <c r="M2647" s="12" t="s">
        <v>12722</v>
      </c>
    </row>
    <row r="2648" spans="1:13" ht="66">
      <c r="A2648" s="21" t="s">
        <v>7932</v>
      </c>
      <c r="B2648" s="21" t="s">
        <v>7933</v>
      </c>
      <c r="C2648" s="21" t="s">
        <v>7934</v>
      </c>
      <c r="D2648" s="21" t="s">
        <v>71</v>
      </c>
      <c r="E2648" s="22" t="s">
        <v>7935</v>
      </c>
      <c r="F2648" s="22" t="s">
        <v>7933</v>
      </c>
      <c r="G2648" s="21" t="s">
        <v>7936</v>
      </c>
      <c r="H2648" s="21" t="s">
        <v>7937</v>
      </c>
      <c r="I2648" s="12" t="s">
        <v>8898</v>
      </c>
      <c r="J2648" s="12" t="s">
        <v>10227</v>
      </c>
      <c r="K2648" s="12" t="s">
        <v>12724</v>
      </c>
      <c r="L2648" s="12" t="s">
        <v>12725</v>
      </c>
      <c r="M2648" s="12" t="s">
        <v>12726</v>
      </c>
    </row>
    <row r="2649" spans="1:13" ht="52.8">
      <c r="A2649" s="21" t="s">
        <v>7932</v>
      </c>
      <c r="B2649" s="21" t="s">
        <v>7933</v>
      </c>
      <c r="C2649" s="21" t="s">
        <v>7934</v>
      </c>
      <c r="D2649" s="21" t="s">
        <v>71</v>
      </c>
      <c r="E2649" s="22" t="s">
        <v>7935</v>
      </c>
      <c r="F2649" s="22" t="s">
        <v>7933</v>
      </c>
      <c r="G2649" s="21" t="s">
        <v>7936</v>
      </c>
      <c r="H2649" s="21" t="s">
        <v>7937</v>
      </c>
      <c r="I2649" s="12" t="s">
        <v>8899</v>
      </c>
      <c r="J2649" s="12" t="s">
        <v>10228</v>
      </c>
      <c r="K2649" s="12" t="s">
        <v>12727</v>
      </c>
      <c r="L2649" s="12" t="s">
        <v>12728</v>
      </c>
      <c r="M2649" s="12" t="s">
        <v>12729</v>
      </c>
    </row>
    <row r="2650" spans="1:13" ht="52.8">
      <c r="A2650" s="21" t="s">
        <v>7932</v>
      </c>
      <c r="B2650" s="21" t="s">
        <v>7933</v>
      </c>
      <c r="C2650" s="21" t="s">
        <v>7934</v>
      </c>
      <c r="D2650" s="21" t="s">
        <v>71</v>
      </c>
      <c r="E2650" s="22" t="s">
        <v>7935</v>
      </c>
      <c r="F2650" s="22" t="s">
        <v>7933</v>
      </c>
      <c r="G2650" s="21" t="s">
        <v>7936</v>
      </c>
      <c r="H2650" s="21" t="s">
        <v>7937</v>
      </c>
      <c r="I2650" s="12" t="s">
        <v>8900</v>
      </c>
      <c r="J2650" s="12" t="s">
        <v>10229</v>
      </c>
      <c r="K2650" s="12" t="s">
        <v>12730</v>
      </c>
      <c r="L2650" s="12" t="s">
        <v>12731</v>
      </c>
      <c r="M2650" s="12" t="s">
        <v>12732</v>
      </c>
    </row>
    <row r="2651" spans="1:13" ht="52.8">
      <c r="A2651" s="21" t="s">
        <v>7932</v>
      </c>
      <c r="B2651" s="21" t="s">
        <v>7933</v>
      </c>
      <c r="C2651" s="21" t="s">
        <v>7934</v>
      </c>
      <c r="D2651" s="21" t="s">
        <v>71</v>
      </c>
      <c r="E2651" s="22" t="s">
        <v>7935</v>
      </c>
      <c r="F2651" s="22" t="s">
        <v>7933</v>
      </c>
      <c r="G2651" s="21" t="s">
        <v>7936</v>
      </c>
      <c r="H2651" s="21" t="s">
        <v>7937</v>
      </c>
      <c r="I2651" s="12" t="s">
        <v>8901</v>
      </c>
      <c r="J2651" s="12" t="s">
        <v>10230</v>
      </c>
      <c r="K2651" s="12" t="s">
        <v>12733</v>
      </c>
      <c r="L2651" s="12" t="s">
        <v>12734</v>
      </c>
      <c r="M2651" s="12" t="s">
        <v>12735</v>
      </c>
    </row>
    <row r="2652" spans="1:13" ht="52.8">
      <c r="A2652" s="21" t="s">
        <v>7932</v>
      </c>
      <c r="B2652" s="21" t="s">
        <v>7933</v>
      </c>
      <c r="C2652" s="21" t="s">
        <v>7934</v>
      </c>
      <c r="D2652" s="21" t="s">
        <v>71</v>
      </c>
      <c r="E2652" s="22" t="s">
        <v>7935</v>
      </c>
      <c r="F2652" s="22" t="s">
        <v>7933</v>
      </c>
      <c r="G2652" s="21" t="s">
        <v>7936</v>
      </c>
      <c r="H2652" s="21" t="s">
        <v>7937</v>
      </c>
      <c r="I2652" s="12" t="s">
        <v>8902</v>
      </c>
      <c r="J2652" s="12" t="s">
        <v>10231</v>
      </c>
      <c r="K2652" s="12" t="s">
        <v>12736</v>
      </c>
      <c r="L2652" s="12" t="s">
        <v>12737</v>
      </c>
      <c r="M2652" s="12" t="s">
        <v>12738</v>
      </c>
    </row>
    <row r="2653" spans="1:13" ht="52.8">
      <c r="A2653" s="21" t="s">
        <v>7932</v>
      </c>
      <c r="B2653" s="21" t="s">
        <v>7933</v>
      </c>
      <c r="C2653" s="21" t="s">
        <v>7934</v>
      </c>
      <c r="D2653" s="21" t="s">
        <v>71</v>
      </c>
      <c r="E2653" s="22" t="s">
        <v>7935</v>
      </c>
      <c r="F2653" s="22" t="s">
        <v>7933</v>
      </c>
      <c r="G2653" s="21" t="s">
        <v>7936</v>
      </c>
      <c r="H2653" s="21" t="s">
        <v>7937</v>
      </c>
      <c r="I2653" s="12" t="s">
        <v>8903</v>
      </c>
      <c r="J2653" s="12" t="s">
        <v>10232</v>
      </c>
      <c r="K2653" s="12" t="s">
        <v>12739</v>
      </c>
      <c r="L2653" s="12" t="s">
        <v>12740</v>
      </c>
      <c r="M2653" s="12" t="s">
        <v>12741</v>
      </c>
    </row>
    <row r="2654" spans="1:13" ht="52.8">
      <c r="A2654" s="21" t="s">
        <v>7932</v>
      </c>
      <c r="B2654" s="21" t="s">
        <v>7933</v>
      </c>
      <c r="C2654" s="21" t="s">
        <v>7934</v>
      </c>
      <c r="D2654" s="21" t="s">
        <v>71</v>
      </c>
      <c r="E2654" s="22" t="s">
        <v>7935</v>
      </c>
      <c r="F2654" s="22" t="s">
        <v>7933</v>
      </c>
      <c r="G2654" s="21" t="s">
        <v>7936</v>
      </c>
      <c r="H2654" s="21" t="s">
        <v>7937</v>
      </c>
      <c r="I2654" s="12" t="s">
        <v>8904</v>
      </c>
      <c r="J2654" s="12" t="s">
        <v>10233</v>
      </c>
      <c r="K2654" s="12" t="s">
        <v>12742</v>
      </c>
      <c r="L2654" s="12" t="s">
        <v>12743</v>
      </c>
      <c r="M2654" s="12" t="s">
        <v>12744</v>
      </c>
    </row>
    <row r="2655" spans="1:13" ht="52.8">
      <c r="A2655" s="21" t="s">
        <v>7932</v>
      </c>
      <c r="B2655" s="21" t="s">
        <v>7933</v>
      </c>
      <c r="C2655" s="21" t="s">
        <v>7934</v>
      </c>
      <c r="D2655" s="21" t="s">
        <v>71</v>
      </c>
      <c r="E2655" s="22" t="s">
        <v>7935</v>
      </c>
      <c r="F2655" s="22" t="s">
        <v>7933</v>
      </c>
      <c r="G2655" s="21" t="s">
        <v>7936</v>
      </c>
      <c r="H2655" s="21" t="s">
        <v>7937</v>
      </c>
      <c r="I2655" s="12" t="s">
        <v>8905</v>
      </c>
      <c r="J2655" s="12" t="s">
        <v>10234</v>
      </c>
      <c r="K2655" s="12" t="s">
        <v>12745</v>
      </c>
      <c r="L2655" s="12" t="s">
        <v>12746</v>
      </c>
      <c r="M2655" s="12" t="s">
        <v>12747</v>
      </c>
    </row>
    <row r="2656" spans="1:13" ht="52.8">
      <c r="A2656" s="21" t="s">
        <v>7932</v>
      </c>
      <c r="B2656" s="21" t="s">
        <v>7933</v>
      </c>
      <c r="C2656" s="21" t="s">
        <v>7934</v>
      </c>
      <c r="D2656" s="21" t="s">
        <v>71</v>
      </c>
      <c r="E2656" s="22" t="s">
        <v>7935</v>
      </c>
      <c r="F2656" s="22" t="s">
        <v>7933</v>
      </c>
      <c r="G2656" s="21" t="s">
        <v>7936</v>
      </c>
      <c r="H2656" s="21" t="s">
        <v>7937</v>
      </c>
      <c r="I2656" s="12" t="s">
        <v>8906</v>
      </c>
      <c r="J2656" s="12" t="s">
        <v>10235</v>
      </c>
      <c r="K2656" s="12" t="s">
        <v>12748</v>
      </c>
      <c r="L2656" s="12" t="s">
        <v>12749</v>
      </c>
      <c r="M2656" s="12" t="s">
        <v>12750</v>
      </c>
    </row>
    <row r="2657" spans="1:13" ht="52.8">
      <c r="A2657" s="21" t="s">
        <v>7932</v>
      </c>
      <c r="B2657" s="21" t="s">
        <v>7933</v>
      </c>
      <c r="C2657" s="21" t="s">
        <v>7934</v>
      </c>
      <c r="D2657" s="21" t="s">
        <v>71</v>
      </c>
      <c r="E2657" s="22" t="s">
        <v>7935</v>
      </c>
      <c r="F2657" s="22" t="s">
        <v>7933</v>
      </c>
      <c r="G2657" s="21" t="s">
        <v>7936</v>
      </c>
      <c r="H2657" s="21" t="s">
        <v>7937</v>
      </c>
      <c r="I2657" s="12" t="s">
        <v>8907</v>
      </c>
      <c r="J2657" s="12" t="s">
        <v>10236</v>
      </c>
      <c r="K2657" s="12" t="s">
        <v>12751</v>
      </c>
      <c r="L2657" s="12" t="s">
        <v>12746</v>
      </c>
      <c r="M2657" s="12" t="s">
        <v>12752</v>
      </c>
    </row>
    <row r="2658" spans="1:13" ht="52.8">
      <c r="A2658" s="21" t="s">
        <v>7932</v>
      </c>
      <c r="B2658" s="21" t="s">
        <v>7933</v>
      </c>
      <c r="C2658" s="21" t="s">
        <v>7934</v>
      </c>
      <c r="D2658" s="21" t="s">
        <v>71</v>
      </c>
      <c r="E2658" s="22" t="s">
        <v>7935</v>
      </c>
      <c r="F2658" s="22" t="s">
        <v>7933</v>
      </c>
      <c r="G2658" s="21" t="s">
        <v>7936</v>
      </c>
      <c r="H2658" s="21" t="s">
        <v>7937</v>
      </c>
      <c r="I2658" s="12" t="s">
        <v>8908</v>
      </c>
      <c r="J2658" s="12" t="s">
        <v>10237</v>
      </c>
      <c r="K2658" s="12" t="s">
        <v>12753</v>
      </c>
      <c r="L2658" s="12" t="s">
        <v>12754</v>
      </c>
      <c r="M2658" s="12" t="s">
        <v>12755</v>
      </c>
    </row>
    <row r="2659" spans="1:13" ht="52.8">
      <c r="A2659" s="21" t="s">
        <v>7932</v>
      </c>
      <c r="B2659" s="21" t="s">
        <v>7933</v>
      </c>
      <c r="C2659" s="21" t="s">
        <v>7934</v>
      </c>
      <c r="D2659" s="21" t="s">
        <v>71</v>
      </c>
      <c r="E2659" s="22" t="s">
        <v>7935</v>
      </c>
      <c r="F2659" s="22" t="s">
        <v>7933</v>
      </c>
      <c r="G2659" s="21" t="s">
        <v>7936</v>
      </c>
      <c r="H2659" s="21" t="s">
        <v>7937</v>
      </c>
      <c r="I2659" s="12" t="s">
        <v>8909</v>
      </c>
      <c r="J2659" s="12" t="s">
        <v>10238</v>
      </c>
      <c r="K2659" s="12" t="s">
        <v>12756</v>
      </c>
      <c r="L2659" s="12" t="s">
        <v>12757</v>
      </c>
      <c r="M2659" s="12" t="s">
        <v>12758</v>
      </c>
    </row>
    <row r="2660" spans="1:13" ht="52.8">
      <c r="A2660" s="21" t="s">
        <v>7932</v>
      </c>
      <c r="B2660" s="21" t="s">
        <v>7933</v>
      </c>
      <c r="C2660" s="21" t="s">
        <v>7934</v>
      </c>
      <c r="D2660" s="21" t="s">
        <v>71</v>
      </c>
      <c r="E2660" s="22" t="s">
        <v>7935</v>
      </c>
      <c r="F2660" s="22" t="s">
        <v>7933</v>
      </c>
      <c r="G2660" s="21" t="s">
        <v>7936</v>
      </c>
      <c r="H2660" s="21" t="s">
        <v>7937</v>
      </c>
      <c r="I2660" s="12" t="s">
        <v>8910</v>
      </c>
      <c r="J2660" s="12" t="s">
        <v>10239</v>
      </c>
      <c r="K2660" s="12" t="s">
        <v>12759</v>
      </c>
      <c r="L2660" s="12" t="s">
        <v>12760</v>
      </c>
      <c r="M2660" s="12" t="s">
        <v>12761</v>
      </c>
    </row>
    <row r="2661" spans="1:13" ht="52.8">
      <c r="A2661" s="21" t="s">
        <v>7932</v>
      </c>
      <c r="B2661" s="21" t="s">
        <v>7933</v>
      </c>
      <c r="C2661" s="21" t="s">
        <v>7934</v>
      </c>
      <c r="D2661" s="21" t="s">
        <v>71</v>
      </c>
      <c r="E2661" s="22" t="s">
        <v>7935</v>
      </c>
      <c r="F2661" s="22" t="s">
        <v>7933</v>
      </c>
      <c r="G2661" s="21" t="s">
        <v>7936</v>
      </c>
      <c r="H2661" s="21" t="s">
        <v>7937</v>
      </c>
      <c r="I2661" s="12" t="s">
        <v>8911</v>
      </c>
      <c r="J2661" s="12" t="s">
        <v>10240</v>
      </c>
      <c r="K2661" s="12" t="s">
        <v>12762</v>
      </c>
      <c r="L2661" s="12" t="s">
        <v>12763</v>
      </c>
      <c r="M2661" s="12" t="s">
        <v>12764</v>
      </c>
    </row>
    <row r="2662" spans="1:13" ht="52.8">
      <c r="A2662" s="21" t="s">
        <v>7932</v>
      </c>
      <c r="B2662" s="21" t="s">
        <v>7933</v>
      </c>
      <c r="C2662" s="21" t="s">
        <v>7934</v>
      </c>
      <c r="D2662" s="21" t="s">
        <v>71</v>
      </c>
      <c r="E2662" s="22" t="s">
        <v>7935</v>
      </c>
      <c r="F2662" s="22" t="s">
        <v>7933</v>
      </c>
      <c r="G2662" s="21" t="s">
        <v>7936</v>
      </c>
      <c r="H2662" s="21" t="s">
        <v>7937</v>
      </c>
      <c r="I2662" s="12" t="s">
        <v>8912</v>
      </c>
      <c r="J2662" s="12" t="s">
        <v>10241</v>
      </c>
      <c r="K2662" s="12"/>
      <c r="L2662" s="12" t="s">
        <v>12765</v>
      </c>
      <c r="M2662" s="12" t="s">
        <v>12766</v>
      </c>
    </row>
    <row r="2663" spans="1:13" ht="52.8">
      <c r="A2663" s="21" t="s">
        <v>7932</v>
      </c>
      <c r="B2663" s="21" t="s">
        <v>7933</v>
      </c>
      <c r="C2663" s="21" t="s">
        <v>7934</v>
      </c>
      <c r="D2663" s="21" t="s">
        <v>71</v>
      </c>
      <c r="E2663" s="22" t="s">
        <v>7935</v>
      </c>
      <c r="F2663" s="22" t="s">
        <v>7933</v>
      </c>
      <c r="G2663" s="21" t="s">
        <v>7936</v>
      </c>
      <c r="H2663" s="21" t="s">
        <v>7937</v>
      </c>
      <c r="I2663" s="12" t="s">
        <v>8913</v>
      </c>
      <c r="J2663" s="12" t="s">
        <v>10242</v>
      </c>
      <c r="K2663" s="12"/>
      <c r="L2663" s="12" t="s">
        <v>12767</v>
      </c>
      <c r="M2663" s="12" t="s">
        <v>12768</v>
      </c>
    </row>
    <row r="2664" spans="1:13" ht="52.8">
      <c r="A2664" s="21" t="s">
        <v>7932</v>
      </c>
      <c r="B2664" s="21" t="s">
        <v>7933</v>
      </c>
      <c r="C2664" s="21" t="s">
        <v>7934</v>
      </c>
      <c r="D2664" s="21" t="s">
        <v>71</v>
      </c>
      <c r="E2664" s="22" t="s">
        <v>7935</v>
      </c>
      <c r="F2664" s="22" t="s">
        <v>7933</v>
      </c>
      <c r="G2664" s="21" t="s">
        <v>7936</v>
      </c>
      <c r="H2664" s="21" t="s">
        <v>7937</v>
      </c>
      <c r="I2664" s="12" t="s">
        <v>8914</v>
      </c>
      <c r="J2664" s="12" t="s">
        <v>10243</v>
      </c>
      <c r="K2664" s="12"/>
      <c r="L2664" s="12" t="s">
        <v>12769</v>
      </c>
      <c r="M2664" s="12" t="s">
        <v>12770</v>
      </c>
    </row>
    <row r="2665" spans="1:13" ht="52.8">
      <c r="A2665" s="21" t="s">
        <v>7932</v>
      </c>
      <c r="B2665" s="21" t="s">
        <v>7933</v>
      </c>
      <c r="C2665" s="21" t="s">
        <v>7934</v>
      </c>
      <c r="D2665" s="21" t="s">
        <v>71</v>
      </c>
      <c r="E2665" s="22" t="s">
        <v>7935</v>
      </c>
      <c r="F2665" s="22" t="s">
        <v>7933</v>
      </c>
      <c r="G2665" s="21" t="s">
        <v>7936</v>
      </c>
      <c r="H2665" s="21" t="s">
        <v>7937</v>
      </c>
      <c r="I2665" s="12" t="s">
        <v>8915</v>
      </c>
      <c r="J2665" s="12" t="s">
        <v>10244</v>
      </c>
      <c r="K2665" s="12"/>
      <c r="L2665" s="12" t="s">
        <v>12771</v>
      </c>
      <c r="M2665" s="12" t="s">
        <v>12772</v>
      </c>
    </row>
    <row r="2666" spans="1:13" ht="52.8">
      <c r="A2666" s="21" t="s">
        <v>7932</v>
      </c>
      <c r="B2666" s="21" t="s">
        <v>7933</v>
      </c>
      <c r="C2666" s="21" t="s">
        <v>7934</v>
      </c>
      <c r="D2666" s="21" t="s">
        <v>71</v>
      </c>
      <c r="E2666" s="22" t="s">
        <v>7935</v>
      </c>
      <c r="F2666" s="22" t="s">
        <v>7933</v>
      </c>
      <c r="G2666" s="21" t="s">
        <v>7936</v>
      </c>
      <c r="H2666" s="21" t="s">
        <v>7937</v>
      </c>
      <c r="I2666" s="12" t="s">
        <v>8916</v>
      </c>
      <c r="J2666" s="12" t="s">
        <v>10245</v>
      </c>
      <c r="K2666" s="12"/>
      <c r="L2666" s="12" t="s">
        <v>12773</v>
      </c>
      <c r="M2666" s="12" t="s">
        <v>12774</v>
      </c>
    </row>
    <row r="2667" spans="1:13" ht="79.2">
      <c r="A2667" s="21" t="s">
        <v>7932</v>
      </c>
      <c r="B2667" s="21" t="s">
        <v>7933</v>
      </c>
      <c r="C2667" s="21" t="s">
        <v>7934</v>
      </c>
      <c r="D2667" s="21" t="s">
        <v>71</v>
      </c>
      <c r="E2667" s="22" t="s">
        <v>7935</v>
      </c>
      <c r="F2667" s="22" t="s">
        <v>7933</v>
      </c>
      <c r="G2667" s="21" t="s">
        <v>7936</v>
      </c>
      <c r="H2667" s="21" t="s">
        <v>7937</v>
      </c>
      <c r="I2667" s="12" t="s">
        <v>8917</v>
      </c>
      <c r="J2667" s="12" t="s">
        <v>10246</v>
      </c>
      <c r="K2667" s="12" t="s">
        <v>12775</v>
      </c>
      <c r="L2667" s="12" t="s">
        <v>12776</v>
      </c>
      <c r="M2667" s="12" t="s">
        <v>12777</v>
      </c>
    </row>
    <row r="2668" spans="1:13" ht="52.8">
      <c r="A2668" s="21" t="s">
        <v>7932</v>
      </c>
      <c r="B2668" s="21" t="s">
        <v>7933</v>
      </c>
      <c r="C2668" s="21" t="s">
        <v>7934</v>
      </c>
      <c r="D2668" s="21" t="s">
        <v>71</v>
      </c>
      <c r="E2668" s="22" t="s">
        <v>7935</v>
      </c>
      <c r="F2668" s="22" t="s">
        <v>7933</v>
      </c>
      <c r="G2668" s="21" t="s">
        <v>7936</v>
      </c>
      <c r="H2668" s="21" t="s">
        <v>7937</v>
      </c>
      <c r="I2668" s="12" t="s">
        <v>8918</v>
      </c>
      <c r="J2668" s="12" t="s">
        <v>10247</v>
      </c>
      <c r="K2668" s="12"/>
      <c r="L2668" s="12" t="s">
        <v>12778</v>
      </c>
      <c r="M2668" s="12" t="s">
        <v>12779</v>
      </c>
    </row>
    <row r="2669" spans="1:13" ht="52.8">
      <c r="A2669" s="21" t="s">
        <v>7932</v>
      </c>
      <c r="B2669" s="21" t="s">
        <v>7933</v>
      </c>
      <c r="C2669" s="21" t="s">
        <v>7934</v>
      </c>
      <c r="D2669" s="21" t="s">
        <v>71</v>
      </c>
      <c r="E2669" s="22" t="s">
        <v>7935</v>
      </c>
      <c r="F2669" s="22" t="s">
        <v>7933</v>
      </c>
      <c r="G2669" s="21" t="s">
        <v>7936</v>
      </c>
      <c r="H2669" s="21" t="s">
        <v>7937</v>
      </c>
      <c r="I2669" s="12" t="s">
        <v>8919</v>
      </c>
      <c r="J2669" s="12" t="s">
        <v>10248</v>
      </c>
      <c r="K2669" s="12" t="s">
        <v>12780</v>
      </c>
      <c r="L2669" s="12" t="s">
        <v>12781</v>
      </c>
      <c r="M2669" s="12" t="s">
        <v>12782</v>
      </c>
    </row>
    <row r="2670" spans="1:13" ht="52.8">
      <c r="A2670" s="21" t="s">
        <v>7932</v>
      </c>
      <c r="B2670" s="21" t="s">
        <v>7933</v>
      </c>
      <c r="C2670" s="21" t="s">
        <v>7934</v>
      </c>
      <c r="D2670" s="21" t="s">
        <v>71</v>
      </c>
      <c r="E2670" s="22" t="s">
        <v>7935</v>
      </c>
      <c r="F2670" s="22" t="s">
        <v>7933</v>
      </c>
      <c r="G2670" s="21" t="s">
        <v>7936</v>
      </c>
      <c r="H2670" s="21" t="s">
        <v>7937</v>
      </c>
      <c r="I2670" s="12" t="s">
        <v>8920</v>
      </c>
      <c r="J2670" s="12" t="s">
        <v>10249</v>
      </c>
      <c r="K2670" s="12"/>
      <c r="L2670" s="12" t="s">
        <v>12783</v>
      </c>
      <c r="M2670" s="12" t="s">
        <v>12784</v>
      </c>
    </row>
    <row r="2671" spans="1:13" ht="52.8">
      <c r="A2671" s="21" t="s">
        <v>7932</v>
      </c>
      <c r="B2671" s="21" t="s">
        <v>7933</v>
      </c>
      <c r="C2671" s="21" t="s">
        <v>7934</v>
      </c>
      <c r="D2671" s="21" t="s">
        <v>71</v>
      </c>
      <c r="E2671" s="22" t="s">
        <v>7935</v>
      </c>
      <c r="F2671" s="22" t="s">
        <v>7933</v>
      </c>
      <c r="G2671" s="21" t="s">
        <v>7936</v>
      </c>
      <c r="H2671" s="21" t="s">
        <v>7937</v>
      </c>
      <c r="I2671" s="12" t="s">
        <v>8921</v>
      </c>
      <c r="J2671" s="12" t="s">
        <v>10250</v>
      </c>
      <c r="K2671" s="12"/>
      <c r="L2671" s="12" t="s">
        <v>12785</v>
      </c>
      <c r="M2671" s="12" t="s">
        <v>12786</v>
      </c>
    </row>
    <row r="2672" spans="1:13" ht="52.8">
      <c r="A2672" s="21" t="s">
        <v>7932</v>
      </c>
      <c r="B2672" s="21" t="s">
        <v>7933</v>
      </c>
      <c r="C2672" s="21" t="s">
        <v>7934</v>
      </c>
      <c r="D2672" s="21" t="s">
        <v>71</v>
      </c>
      <c r="E2672" s="22" t="s">
        <v>7935</v>
      </c>
      <c r="F2672" s="22" t="s">
        <v>7933</v>
      </c>
      <c r="G2672" s="21" t="s">
        <v>7936</v>
      </c>
      <c r="H2672" s="21" t="s">
        <v>7937</v>
      </c>
      <c r="I2672" s="12" t="s">
        <v>8922</v>
      </c>
      <c r="J2672" s="12" t="s">
        <v>10251</v>
      </c>
      <c r="K2672" s="12" t="s">
        <v>12787</v>
      </c>
      <c r="L2672" s="12" t="s">
        <v>12788</v>
      </c>
      <c r="M2672" s="12" t="s">
        <v>12789</v>
      </c>
    </row>
    <row r="2673" spans="1:13" ht="52.8">
      <c r="A2673" s="21" t="s">
        <v>7932</v>
      </c>
      <c r="B2673" s="21" t="s">
        <v>7933</v>
      </c>
      <c r="C2673" s="21" t="s">
        <v>7934</v>
      </c>
      <c r="D2673" s="21" t="s">
        <v>71</v>
      </c>
      <c r="E2673" s="22" t="s">
        <v>7935</v>
      </c>
      <c r="F2673" s="22" t="s">
        <v>7933</v>
      </c>
      <c r="G2673" s="21" t="s">
        <v>7936</v>
      </c>
      <c r="H2673" s="21" t="s">
        <v>7937</v>
      </c>
      <c r="I2673" s="12" t="s">
        <v>8923</v>
      </c>
      <c r="J2673" s="12" t="s">
        <v>10252</v>
      </c>
      <c r="K2673" s="12"/>
      <c r="L2673" s="12" t="s">
        <v>12790</v>
      </c>
      <c r="M2673" s="12" t="s">
        <v>12791</v>
      </c>
    </row>
    <row r="2674" spans="1:13" ht="52.8">
      <c r="A2674" s="21" t="s">
        <v>7932</v>
      </c>
      <c r="B2674" s="21" t="s">
        <v>7933</v>
      </c>
      <c r="C2674" s="21" t="s">
        <v>7934</v>
      </c>
      <c r="D2674" s="21" t="s">
        <v>71</v>
      </c>
      <c r="E2674" s="22" t="s">
        <v>7935</v>
      </c>
      <c r="F2674" s="22" t="s">
        <v>7933</v>
      </c>
      <c r="G2674" s="21" t="s">
        <v>7936</v>
      </c>
      <c r="H2674" s="21" t="s">
        <v>7937</v>
      </c>
      <c r="I2674" s="12" t="s">
        <v>8924</v>
      </c>
      <c r="J2674" s="12" t="s">
        <v>10253</v>
      </c>
      <c r="K2674" s="12" t="s">
        <v>12792</v>
      </c>
      <c r="L2674" s="12" t="s">
        <v>12793</v>
      </c>
      <c r="M2674" s="12" t="s">
        <v>12794</v>
      </c>
    </row>
    <row r="2675" spans="1:13" ht="52.8">
      <c r="A2675" s="21" t="s">
        <v>7932</v>
      </c>
      <c r="B2675" s="21" t="s">
        <v>7933</v>
      </c>
      <c r="C2675" s="21" t="s">
        <v>7934</v>
      </c>
      <c r="D2675" s="21" t="s">
        <v>71</v>
      </c>
      <c r="E2675" s="22" t="s">
        <v>7935</v>
      </c>
      <c r="F2675" s="22" t="s">
        <v>7933</v>
      </c>
      <c r="G2675" s="21" t="s">
        <v>7936</v>
      </c>
      <c r="H2675" s="21" t="s">
        <v>7937</v>
      </c>
      <c r="I2675" s="12" t="s">
        <v>8925</v>
      </c>
      <c r="J2675" s="12" t="s">
        <v>10254</v>
      </c>
      <c r="K2675" s="12" t="s">
        <v>12795</v>
      </c>
      <c r="L2675" s="12" t="s">
        <v>12796</v>
      </c>
      <c r="M2675" s="12" t="s">
        <v>12797</v>
      </c>
    </row>
    <row r="2676" spans="1:13" ht="52.8">
      <c r="A2676" s="21" t="s">
        <v>7932</v>
      </c>
      <c r="B2676" s="21" t="s">
        <v>7933</v>
      </c>
      <c r="C2676" s="21" t="s">
        <v>7934</v>
      </c>
      <c r="D2676" s="21" t="s">
        <v>71</v>
      </c>
      <c r="E2676" s="22" t="s">
        <v>7935</v>
      </c>
      <c r="F2676" s="22" t="s">
        <v>7933</v>
      </c>
      <c r="G2676" s="21" t="s">
        <v>7936</v>
      </c>
      <c r="H2676" s="21" t="s">
        <v>7937</v>
      </c>
      <c r="I2676" s="12" t="s">
        <v>8926</v>
      </c>
      <c r="J2676" s="12" t="s">
        <v>10255</v>
      </c>
      <c r="K2676" s="12" t="s">
        <v>12798</v>
      </c>
      <c r="L2676" s="12" t="s">
        <v>12799</v>
      </c>
      <c r="M2676" s="12" t="s">
        <v>12800</v>
      </c>
    </row>
    <row r="2677" spans="1:13" ht="52.8">
      <c r="A2677" s="21" t="s">
        <v>7932</v>
      </c>
      <c r="B2677" s="21" t="s">
        <v>7933</v>
      </c>
      <c r="C2677" s="21" t="s">
        <v>7934</v>
      </c>
      <c r="D2677" s="21" t="s">
        <v>71</v>
      </c>
      <c r="E2677" s="22" t="s">
        <v>7935</v>
      </c>
      <c r="F2677" s="22" t="s">
        <v>7933</v>
      </c>
      <c r="G2677" s="21" t="s">
        <v>7936</v>
      </c>
      <c r="H2677" s="21" t="s">
        <v>7937</v>
      </c>
      <c r="I2677" s="12" t="s">
        <v>8927</v>
      </c>
      <c r="J2677" s="12" t="s">
        <v>10256</v>
      </c>
      <c r="K2677" s="12"/>
      <c r="L2677" s="12" t="s">
        <v>12801</v>
      </c>
      <c r="M2677" s="12" t="s">
        <v>12802</v>
      </c>
    </row>
    <row r="2678" spans="1:13" ht="52.8">
      <c r="A2678" s="21" t="s">
        <v>7932</v>
      </c>
      <c r="B2678" s="21" t="s">
        <v>7933</v>
      </c>
      <c r="C2678" s="21" t="s">
        <v>7934</v>
      </c>
      <c r="D2678" s="21" t="s">
        <v>71</v>
      </c>
      <c r="E2678" s="22" t="s">
        <v>7935</v>
      </c>
      <c r="F2678" s="22" t="s">
        <v>7933</v>
      </c>
      <c r="G2678" s="21" t="s">
        <v>7936</v>
      </c>
      <c r="H2678" s="21" t="s">
        <v>7937</v>
      </c>
      <c r="I2678" s="12" t="s">
        <v>8928</v>
      </c>
      <c r="J2678" s="12" t="s">
        <v>10257</v>
      </c>
      <c r="K2678" s="12"/>
      <c r="L2678" s="12" t="s">
        <v>12803</v>
      </c>
      <c r="M2678" s="12" t="s">
        <v>12804</v>
      </c>
    </row>
    <row r="2679" spans="1:13" ht="52.8">
      <c r="A2679" s="21" t="s">
        <v>7932</v>
      </c>
      <c r="B2679" s="21" t="s">
        <v>7933</v>
      </c>
      <c r="C2679" s="21" t="s">
        <v>7934</v>
      </c>
      <c r="D2679" s="21" t="s">
        <v>71</v>
      </c>
      <c r="E2679" s="22" t="s">
        <v>7935</v>
      </c>
      <c r="F2679" s="22" t="s">
        <v>7933</v>
      </c>
      <c r="G2679" s="21" t="s">
        <v>7936</v>
      </c>
      <c r="H2679" s="21" t="s">
        <v>7937</v>
      </c>
      <c r="I2679" s="12" t="s">
        <v>8929</v>
      </c>
      <c r="J2679" s="12" t="s">
        <v>10258</v>
      </c>
      <c r="K2679" s="12" t="s">
        <v>12805</v>
      </c>
      <c r="L2679" s="12" t="s">
        <v>12806</v>
      </c>
      <c r="M2679" s="12" t="s">
        <v>12805</v>
      </c>
    </row>
    <row r="2680" spans="1:13" ht="52.8">
      <c r="A2680" s="21" t="s">
        <v>7932</v>
      </c>
      <c r="B2680" s="21" t="s">
        <v>7933</v>
      </c>
      <c r="C2680" s="21" t="s">
        <v>7934</v>
      </c>
      <c r="D2680" s="21" t="s">
        <v>71</v>
      </c>
      <c r="E2680" s="22" t="s">
        <v>7935</v>
      </c>
      <c r="F2680" s="22" t="s">
        <v>7933</v>
      </c>
      <c r="G2680" s="21" t="s">
        <v>7936</v>
      </c>
      <c r="H2680" s="21" t="s">
        <v>7937</v>
      </c>
      <c r="I2680" s="12" t="s">
        <v>8930</v>
      </c>
      <c r="J2680" s="12" t="s">
        <v>10259</v>
      </c>
      <c r="K2680" s="12" t="s">
        <v>12807</v>
      </c>
      <c r="L2680" s="12" t="s">
        <v>12808</v>
      </c>
      <c r="M2680" s="12" t="s">
        <v>12807</v>
      </c>
    </row>
    <row r="2681" spans="1:13" ht="52.8">
      <c r="A2681" s="21" t="s">
        <v>7932</v>
      </c>
      <c r="B2681" s="21" t="s">
        <v>7933</v>
      </c>
      <c r="C2681" s="21" t="s">
        <v>7934</v>
      </c>
      <c r="D2681" s="21" t="s">
        <v>71</v>
      </c>
      <c r="E2681" s="22" t="s">
        <v>7935</v>
      </c>
      <c r="F2681" s="22" t="s">
        <v>7933</v>
      </c>
      <c r="G2681" s="21" t="s">
        <v>7936</v>
      </c>
      <c r="H2681" s="21" t="s">
        <v>7937</v>
      </c>
      <c r="I2681" s="12" t="s">
        <v>8931</v>
      </c>
      <c r="J2681" s="12" t="s">
        <v>10260</v>
      </c>
      <c r="K2681" s="12"/>
      <c r="L2681" s="12" t="s">
        <v>12809</v>
      </c>
      <c r="M2681" s="12" t="s">
        <v>12810</v>
      </c>
    </row>
    <row r="2682" spans="1:13" ht="52.8">
      <c r="A2682" s="21" t="s">
        <v>7932</v>
      </c>
      <c r="B2682" s="21" t="s">
        <v>7933</v>
      </c>
      <c r="C2682" s="21" t="s">
        <v>7934</v>
      </c>
      <c r="D2682" s="21" t="s">
        <v>71</v>
      </c>
      <c r="E2682" s="22" t="s">
        <v>7935</v>
      </c>
      <c r="F2682" s="22" t="s">
        <v>7933</v>
      </c>
      <c r="G2682" s="21" t="s">
        <v>7936</v>
      </c>
      <c r="H2682" s="21" t="s">
        <v>7937</v>
      </c>
      <c r="I2682" s="12" t="s">
        <v>8932</v>
      </c>
      <c r="J2682" s="12" t="s">
        <v>10261</v>
      </c>
      <c r="K2682" s="12"/>
      <c r="L2682" s="12" t="s">
        <v>12811</v>
      </c>
      <c r="M2682" s="12" t="s">
        <v>12812</v>
      </c>
    </row>
    <row r="2683" spans="1:13" ht="52.8">
      <c r="A2683" s="21" t="s">
        <v>7932</v>
      </c>
      <c r="B2683" s="21" t="s">
        <v>7933</v>
      </c>
      <c r="C2683" s="21" t="s">
        <v>7934</v>
      </c>
      <c r="D2683" s="21" t="s">
        <v>71</v>
      </c>
      <c r="E2683" s="22" t="s">
        <v>7935</v>
      </c>
      <c r="F2683" s="22" t="s">
        <v>7933</v>
      </c>
      <c r="G2683" s="21" t="s">
        <v>7936</v>
      </c>
      <c r="H2683" s="21" t="s">
        <v>7937</v>
      </c>
      <c r="I2683" s="12" t="s">
        <v>8933</v>
      </c>
      <c r="J2683" s="12" t="s">
        <v>10262</v>
      </c>
      <c r="K2683" s="12"/>
      <c r="L2683" s="12" t="s">
        <v>12813</v>
      </c>
      <c r="M2683" s="12" t="s">
        <v>12814</v>
      </c>
    </row>
    <row r="2684" spans="1:13" ht="52.8">
      <c r="A2684" s="21" t="s">
        <v>7932</v>
      </c>
      <c r="B2684" s="21" t="s">
        <v>7933</v>
      </c>
      <c r="C2684" s="21" t="s">
        <v>7934</v>
      </c>
      <c r="D2684" s="21" t="s">
        <v>71</v>
      </c>
      <c r="E2684" s="22" t="s">
        <v>7935</v>
      </c>
      <c r="F2684" s="22" t="s">
        <v>7933</v>
      </c>
      <c r="G2684" s="21" t="s">
        <v>7936</v>
      </c>
      <c r="H2684" s="21" t="s">
        <v>7937</v>
      </c>
      <c r="I2684" s="12" t="s">
        <v>8934</v>
      </c>
      <c r="J2684" s="12" t="s">
        <v>10263</v>
      </c>
      <c r="K2684" s="12"/>
      <c r="L2684" s="12" t="s">
        <v>12815</v>
      </c>
      <c r="M2684" s="12" t="s">
        <v>12816</v>
      </c>
    </row>
    <row r="2685" spans="1:13" ht="52.8">
      <c r="A2685" s="21" t="s">
        <v>7932</v>
      </c>
      <c r="B2685" s="21" t="s">
        <v>7933</v>
      </c>
      <c r="C2685" s="21" t="s">
        <v>7934</v>
      </c>
      <c r="D2685" s="21" t="s">
        <v>71</v>
      </c>
      <c r="E2685" s="22" t="s">
        <v>7935</v>
      </c>
      <c r="F2685" s="22" t="s">
        <v>7933</v>
      </c>
      <c r="G2685" s="21" t="s">
        <v>7936</v>
      </c>
      <c r="H2685" s="21" t="s">
        <v>7937</v>
      </c>
      <c r="I2685" s="12" t="s">
        <v>8935</v>
      </c>
      <c r="J2685" s="12" t="s">
        <v>10264</v>
      </c>
      <c r="K2685" s="12" t="s">
        <v>12817</v>
      </c>
      <c r="L2685" s="12" t="s">
        <v>12818</v>
      </c>
      <c r="M2685" s="12" t="s">
        <v>12817</v>
      </c>
    </row>
    <row r="2686" spans="1:13" ht="66">
      <c r="A2686" s="21" t="s">
        <v>7932</v>
      </c>
      <c r="B2686" s="21" t="s">
        <v>7933</v>
      </c>
      <c r="C2686" s="21" t="s">
        <v>7934</v>
      </c>
      <c r="D2686" s="21" t="s">
        <v>71</v>
      </c>
      <c r="E2686" s="22" t="s">
        <v>7935</v>
      </c>
      <c r="F2686" s="22" t="s">
        <v>7933</v>
      </c>
      <c r="G2686" s="21" t="s">
        <v>7936</v>
      </c>
      <c r="H2686" s="21" t="s">
        <v>7937</v>
      </c>
      <c r="I2686" s="12" t="s">
        <v>8936</v>
      </c>
      <c r="J2686" s="12" t="s">
        <v>10265</v>
      </c>
      <c r="K2686" s="12"/>
      <c r="L2686" s="12" t="s">
        <v>12819</v>
      </c>
      <c r="M2686" s="12" t="s">
        <v>12820</v>
      </c>
    </row>
    <row r="2687" spans="1:13" ht="52.8">
      <c r="A2687" s="21" t="s">
        <v>7932</v>
      </c>
      <c r="B2687" s="21" t="s">
        <v>7933</v>
      </c>
      <c r="C2687" s="21" t="s">
        <v>7934</v>
      </c>
      <c r="D2687" s="21" t="s">
        <v>71</v>
      </c>
      <c r="E2687" s="22" t="s">
        <v>7935</v>
      </c>
      <c r="F2687" s="22" t="s">
        <v>7933</v>
      </c>
      <c r="G2687" s="21" t="s">
        <v>7936</v>
      </c>
      <c r="H2687" s="21" t="s">
        <v>7937</v>
      </c>
      <c r="I2687" s="12" t="s">
        <v>8937</v>
      </c>
      <c r="J2687" s="12" t="s">
        <v>10266</v>
      </c>
      <c r="K2687" s="12" t="s">
        <v>12821</v>
      </c>
      <c r="L2687" s="12" t="s">
        <v>12822</v>
      </c>
      <c r="M2687" s="12" t="s">
        <v>12823</v>
      </c>
    </row>
    <row r="2688" spans="1:13" ht="52.8">
      <c r="A2688" s="21" t="s">
        <v>7932</v>
      </c>
      <c r="B2688" s="21" t="s">
        <v>7933</v>
      </c>
      <c r="C2688" s="21" t="s">
        <v>7934</v>
      </c>
      <c r="D2688" s="21" t="s">
        <v>71</v>
      </c>
      <c r="E2688" s="22" t="s">
        <v>7935</v>
      </c>
      <c r="F2688" s="22" t="s">
        <v>7933</v>
      </c>
      <c r="G2688" s="21" t="s">
        <v>7936</v>
      </c>
      <c r="H2688" s="21" t="s">
        <v>7937</v>
      </c>
      <c r="I2688" s="12" t="s">
        <v>8938</v>
      </c>
      <c r="J2688" s="12" t="s">
        <v>10267</v>
      </c>
      <c r="K2688" s="12"/>
      <c r="L2688" s="12" t="s">
        <v>12824</v>
      </c>
      <c r="M2688" s="12" t="s">
        <v>12825</v>
      </c>
    </row>
    <row r="2689" spans="1:13" ht="52.8">
      <c r="A2689" s="21" t="s">
        <v>7932</v>
      </c>
      <c r="B2689" s="21" t="s">
        <v>7933</v>
      </c>
      <c r="C2689" s="21" t="s">
        <v>7934</v>
      </c>
      <c r="D2689" s="21" t="s">
        <v>71</v>
      </c>
      <c r="E2689" s="22" t="s">
        <v>7935</v>
      </c>
      <c r="F2689" s="22" t="s">
        <v>7933</v>
      </c>
      <c r="G2689" s="21" t="s">
        <v>7936</v>
      </c>
      <c r="H2689" s="21" t="s">
        <v>7937</v>
      </c>
      <c r="I2689" s="12" t="s">
        <v>8939</v>
      </c>
      <c r="J2689" s="12" t="s">
        <v>10268</v>
      </c>
      <c r="K2689" s="12"/>
      <c r="L2689" s="12" t="s">
        <v>12826</v>
      </c>
      <c r="M2689" s="12" t="s">
        <v>12827</v>
      </c>
    </row>
    <row r="2690" spans="1:13" ht="52.8">
      <c r="A2690" s="21" t="s">
        <v>7932</v>
      </c>
      <c r="B2690" s="21" t="s">
        <v>7933</v>
      </c>
      <c r="C2690" s="21" t="s">
        <v>7934</v>
      </c>
      <c r="D2690" s="21" t="s">
        <v>71</v>
      </c>
      <c r="E2690" s="22" t="s">
        <v>7935</v>
      </c>
      <c r="F2690" s="22" t="s">
        <v>7933</v>
      </c>
      <c r="G2690" s="21" t="s">
        <v>7936</v>
      </c>
      <c r="H2690" s="21" t="s">
        <v>7937</v>
      </c>
      <c r="I2690" s="12" t="s">
        <v>8940</v>
      </c>
      <c r="J2690" s="12" t="s">
        <v>10269</v>
      </c>
      <c r="K2690" s="12"/>
      <c r="L2690" s="12" t="s">
        <v>12828</v>
      </c>
      <c r="M2690" s="12" t="s">
        <v>12829</v>
      </c>
    </row>
    <row r="2691" spans="1:13" ht="66">
      <c r="A2691" s="21" t="s">
        <v>7932</v>
      </c>
      <c r="B2691" s="21" t="s">
        <v>7933</v>
      </c>
      <c r="C2691" s="21" t="s">
        <v>7934</v>
      </c>
      <c r="D2691" s="21" t="s">
        <v>71</v>
      </c>
      <c r="E2691" s="22" t="s">
        <v>7935</v>
      </c>
      <c r="F2691" s="22" t="s">
        <v>7933</v>
      </c>
      <c r="G2691" s="21" t="s">
        <v>7936</v>
      </c>
      <c r="H2691" s="21" t="s">
        <v>7937</v>
      </c>
      <c r="I2691" s="12" t="s">
        <v>8941</v>
      </c>
      <c r="J2691" s="12" t="s">
        <v>10270</v>
      </c>
      <c r="K2691" s="12" t="s">
        <v>12830</v>
      </c>
      <c r="L2691" s="12" t="s">
        <v>12831</v>
      </c>
      <c r="M2691" s="12" t="s">
        <v>12832</v>
      </c>
    </row>
    <row r="2692" spans="1:13" ht="52.8">
      <c r="A2692" s="21" t="s">
        <v>7932</v>
      </c>
      <c r="B2692" s="21" t="s">
        <v>7933</v>
      </c>
      <c r="C2692" s="21" t="s">
        <v>7934</v>
      </c>
      <c r="D2692" s="21" t="s">
        <v>71</v>
      </c>
      <c r="E2692" s="22" t="s">
        <v>7935</v>
      </c>
      <c r="F2692" s="22" t="s">
        <v>7933</v>
      </c>
      <c r="G2692" s="21" t="s">
        <v>7936</v>
      </c>
      <c r="H2692" s="21" t="s">
        <v>7937</v>
      </c>
      <c r="I2692" s="12" t="s">
        <v>8942</v>
      </c>
      <c r="J2692" s="12" t="s">
        <v>10271</v>
      </c>
      <c r="K2692" s="12"/>
      <c r="L2692" s="12" t="s">
        <v>12833</v>
      </c>
      <c r="M2692" s="12" t="s">
        <v>12834</v>
      </c>
    </row>
    <row r="2693" spans="1:13" ht="66">
      <c r="A2693" s="21" t="s">
        <v>7932</v>
      </c>
      <c r="B2693" s="21" t="s">
        <v>7933</v>
      </c>
      <c r="C2693" s="21" t="s">
        <v>7934</v>
      </c>
      <c r="D2693" s="21" t="s">
        <v>71</v>
      </c>
      <c r="E2693" s="22" t="s">
        <v>7935</v>
      </c>
      <c r="F2693" s="22" t="s">
        <v>7933</v>
      </c>
      <c r="G2693" s="21" t="s">
        <v>7936</v>
      </c>
      <c r="H2693" s="21" t="s">
        <v>7937</v>
      </c>
      <c r="I2693" s="12" t="s">
        <v>8943</v>
      </c>
      <c r="J2693" s="12" t="s">
        <v>10272</v>
      </c>
      <c r="K2693" s="12"/>
      <c r="L2693" s="12" t="s">
        <v>12835</v>
      </c>
      <c r="M2693" s="12" t="s">
        <v>12836</v>
      </c>
    </row>
    <row r="2694" spans="1:13" ht="52.8">
      <c r="A2694" s="21" t="s">
        <v>7932</v>
      </c>
      <c r="B2694" s="21" t="s">
        <v>7933</v>
      </c>
      <c r="C2694" s="21" t="s">
        <v>7934</v>
      </c>
      <c r="D2694" s="21" t="s">
        <v>71</v>
      </c>
      <c r="E2694" s="22" t="s">
        <v>7935</v>
      </c>
      <c r="F2694" s="22" t="s">
        <v>7933</v>
      </c>
      <c r="G2694" s="21" t="s">
        <v>7936</v>
      </c>
      <c r="H2694" s="21" t="s">
        <v>7937</v>
      </c>
      <c r="I2694" s="12" t="s">
        <v>8944</v>
      </c>
      <c r="J2694" s="12" t="s">
        <v>10273</v>
      </c>
      <c r="K2694" s="12"/>
      <c r="L2694" s="12" t="s">
        <v>12837</v>
      </c>
      <c r="M2694" s="12" t="s">
        <v>12838</v>
      </c>
    </row>
    <row r="2695" spans="1:13" ht="105.6">
      <c r="A2695" s="21" t="s">
        <v>7932</v>
      </c>
      <c r="B2695" s="21" t="s">
        <v>7933</v>
      </c>
      <c r="C2695" s="21" t="s">
        <v>7934</v>
      </c>
      <c r="D2695" s="21" t="s">
        <v>71</v>
      </c>
      <c r="E2695" s="22" t="s">
        <v>7935</v>
      </c>
      <c r="F2695" s="22" t="s">
        <v>7933</v>
      </c>
      <c r="G2695" s="21" t="s">
        <v>7936</v>
      </c>
      <c r="H2695" s="21" t="s">
        <v>7937</v>
      </c>
      <c r="I2695" s="12" t="s">
        <v>8945</v>
      </c>
      <c r="J2695" s="12" t="s">
        <v>10274</v>
      </c>
      <c r="K2695" s="12"/>
      <c r="L2695" s="12" t="s">
        <v>12839</v>
      </c>
      <c r="M2695" s="12" t="s">
        <v>12840</v>
      </c>
    </row>
    <row r="2696" spans="1:13" ht="52.8">
      <c r="A2696" s="21" t="s">
        <v>7932</v>
      </c>
      <c r="B2696" s="21" t="s">
        <v>7933</v>
      </c>
      <c r="C2696" s="21" t="s">
        <v>7934</v>
      </c>
      <c r="D2696" s="21" t="s">
        <v>71</v>
      </c>
      <c r="E2696" s="22" t="s">
        <v>7935</v>
      </c>
      <c r="F2696" s="22" t="s">
        <v>7933</v>
      </c>
      <c r="G2696" s="21" t="s">
        <v>7936</v>
      </c>
      <c r="H2696" s="21" t="s">
        <v>7937</v>
      </c>
      <c r="I2696" s="12" t="s">
        <v>8946</v>
      </c>
      <c r="J2696" s="12" t="s">
        <v>10275</v>
      </c>
      <c r="K2696" s="12"/>
      <c r="L2696" s="12" t="s">
        <v>12841</v>
      </c>
      <c r="M2696" s="12" t="s">
        <v>12842</v>
      </c>
    </row>
    <row r="2697" spans="1:13" ht="52.8">
      <c r="A2697" s="21" t="s">
        <v>7932</v>
      </c>
      <c r="B2697" s="21" t="s">
        <v>7933</v>
      </c>
      <c r="C2697" s="21" t="s">
        <v>7934</v>
      </c>
      <c r="D2697" s="21" t="s">
        <v>71</v>
      </c>
      <c r="E2697" s="22" t="s">
        <v>7935</v>
      </c>
      <c r="F2697" s="22" t="s">
        <v>7933</v>
      </c>
      <c r="G2697" s="21" t="s">
        <v>7936</v>
      </c>
      <c r="H2697" s="21" t="s">
        <v>7937</v>
      </c>
      <c r="I2697" s="12" t="s">
        <v>8947</v>
      </c>
      <c r="J2697" s="12" t="s">
        <v>10276</v>
      </c>
      <c r="K2697" s="12"/>
      <c r="L2697" s="12" t="s">
        <v>12843</v>
      </c>
      <c r="M2697" s="12" t="s">
        <v>12844</v>
      </c>
    </row>
    <row r="2698" spans="1:13" ht="52.8">
      <c r="A2698" s="21" t="s">
        <v>7932</v>
      </c>
      <c r="B2698" s="21" t="s">
        <v>7933</v>
      </c>
      <c r="C2698" s="21" t="s">
        <v>7934</v>
      </c>
      <c r="D2698" s="21" t="s">
        <v>71</v>
      </c>
      <c r="E2698" s="22" t="s">
        <v>7935</v>
      </c>
      <c r="F2698" s="22" t="s">
        <v>7933</v>
      </c>
      <c r="G2698" s="21" t="s">
        <v>7936</v>
      </c>
      <c r="H2698" s="21" t="s">
        <v>7937</v>
      </c>
      <c r="I2698" s="12" t="s">
        <v>8948</v>
      </c>
      <c r="J2698" s="12" t="s">
        <v>10277</v>
      </c>
      <c r="K2698" s="12"/>
      <c r="L2698" s="12" t="s">
        <v>12845</v>
      </c>
      <c r="M2698" s="12" t="s">
        <v>12846</v>
      </c>
    </row>
    <row r="2699" spans="1:13" ht="52.8">
      <c r="A2699" s="21" t="s">
        <v>7932</v>
      </c>
      <c r="B2699" s="21" t="s">
        <v>7933</v>
      </c>
      <c r="C2699" s="21" t="s">
        <v>7934</v>
      </c>
      <c r="D2699" s="21" t="s">
        <v>71</v>
      </c>
      <c r="E2699" s="22" t="s">
        <v>7935</v>
      </c>
      <c r="F2699" s="22" t="s">
        <v>7933</v>
      </c>
      <c r="G2699" s="21" t="s">
        <v>7936</v>
      </c>
      <c r="H2699" s="21" t="s">
        <v>7937</v>
      </c>
      <c r="I2699" s="12" t="s">
        <v>8949</v>
      </c>
      <c r="J2699" s="12" t="s">
        <v>10278</v>
      </c>
      <c r="K2699" s="12"/>
      <c r="L2699" s="12" t="s">
        <v>12847</v>
      </c>
      <c r="M2699" s="12" t="s">
        <v>12848</v>
      </c>
    </row>
    <row r="2700" spans="1:13" ht="52.8">
      <c r="A2700" s="21" t="s">
        <v>7932</v>
      </c>
      <c r="B2700" s="21" t="s">
        <v>7933</v>
      </c>
      <c r="C2700" s="21" t="s">
        <v>7934</v>
      </c>
      <c r="D2700" s="21" t="s">
        <v>71</v>
      </c>
      <c r="E2700" s="22" t="s">
        <v>7935</v>
      </c>
      <c r="F2700" s="22" t="s">
        <v>7933</v>
      </c>
      <c r="G2700" s="21" t="s">
        <v>7936</v>
      </c>
      <c r="H2700" s="21" t="s">
        <v>7937</v>
      </c>
      <c r="I2700" s="12" t="s">
        <v>8950</v>
      </c>
      <c r="J2700" s="12" t="s">
        <v>10279</v>
      </c>
      <c r="K2700" s="12" t="s">
        <v>12849</v>
      </c>
      <c r="L2700" s="12" t="s">
        <v>12850</v>
      </c>
      <c r="M2700" s="12" t="s">
        <v>12851</v>
      </c>
    </row>
    <row r="2701" spans="1:13" ht="52.8">
      <c r="A2701" s="21" t="s">
        <v>7932</v>
      </c>
      <c r="B2701" s="21" t="s">
        <v>7933</v>
      </c>
      <c r="C2701" s="21" t="s">
        <v>7934</v>
      </c>
      <c r="D2701" s="21" t="s">
        <v>71</v>
      </c>
      <c r="E2701" s="22" t="s">
        <v>7935</v>
      </c>
      <c r="F2701" s="22" t="s">
        <v>7933</v>
      </c>
      <c r="G2701" s="21" t="s">
        <v>7936</v>
      </c>
      <c r="H2701" s="21" t="s">
        <v>7937</v>
      </c>
      <c r="I2701" s="12" t="s">
        <v>8951</v>
      </c>
      <c r="J2701" s="12" t="s">
        <v>10280</v>
      </c>
      <c r="K2701" s="12"/>
      <c r="L2701" s="12" t="s">
        <v>12852</v>
      </c>
      <c r="M2701" s="12" t="s">
        <v>12853</v>
      </c>
    </row>
    <row r="2702" spans="1:13" ht="52.8">
      <c r="A2702" s="21" t="s">
        <v>7932</v>
      </c>
      <c r="B2702" s="21" t="s">
        <v>7933</v>
      </c>
      <c r="C2702" s="21" t="s">
        <v>7934</v>
      </c>
      <c r="D2702" s="21" t="s">
        <v>71</v>
      </c>
      <c r="E2702" s="22" t="s">
        <v>7935</v>
      </c>
      <c r="F2702" s="22" t="s">
        <v>7933</v>
      </c>
      <c r="G2702" s="21" t="s">
        <v>7936</v>
      </c>
      <c r="H2702" s="21" t="s">
        <v>7937</v>
      </c>
      <c r="I2702" s="12" t="s">
        <v>8952</v>
      </c>
      <c r="J2702" s="12" t="s">
        <v>10281</v>
      </c>
      <c r="K2702" s="12"/>
      <c r="L2702" s="12" t="s">
        <v>12854</v>
      </c>
      <c r="M2702" s="12" t="s">
        <v>12855</v>
      </c>
    </row>
    <row r="2703" spans="1:13" ht="52.8">
      <c r="A2703" s="21" t="s">
        <v>7932</v>
      </c>
      <c r="B2703" s="21" t="s">
        <v>7933</v>
      </c>
      <c r="C2703" s="21" t="s">
        <v>7934</v>
      </c>
      <c r="D2703" s="21" t="s">
        <v>71</v>
      </c>
      <c r="E2703" s="22" t="s">
        <v>7935</v>
      </c>
      <c r="F2703" s="22" t="s">
        <v>7933</v>
      </c>
      <c r="G2703" s="21" t="s">
        <v>7936</v>
      </c>
      <c r="H2703" s="21" t="s">
        <v>7937</v>
      </c>
      <c r="I2703" s="12" t="s">
        <v>8953</v>
      </c>
      <c r="J2703" s="12" t="s">
        <v>10282</v>
      </c>
      <c r="K2703" s="12"/>
      <c r="L2703" s="12" t="s">
        <v>12856</v>
      </c>
      <c r="M2703" s="12" t="s">
        <v>12857</v>
      </c>
    </row>
    <row r="2704" spans="1:13" ht="52.8">
      <c r="A2704" s="21" t="s">
        <v>7932</v>
      </c>
      <c r="B2704" s="21" t="s">
        <v>7933</v>
      </c>
      <c r="C2704" s="21" t="s">
        <v>7934</v>
      </c>
      <c r="D2704" s="21" t="s">
        <v>71</v>
      </c>
      <c r="E2704" s="22" t="s">
        <v>7935</v>
      </c>
      <c r="F2704" s="22" t="s">
        <v>7933</v>
      </c>
      <c r="G2704" s="21" t="s">
        <v>7936</v>
      </c>
      <c r="H2704" s="21" t="s">
        <v>7937</v>
      </c>
      <c r="I2704" s="12" t="s">
        <v>8954</v>
      </c>
      <c r="J2704" s="12" t="s">
        <v>10283</v>
      </c>
      <c r="K2704" s="12"/>
      <c r="L2704" s="12" t="s">
        <v>12858</v>
      </c>
      <c r="M2704" s="12" t="s">
        <v>12859</v>
      </c>
    </row>
    <row r="2705" spans="1:13" ht="52.8">
      <c r="A2705" s="21" t="s">
        <v>7932</v>
      </c>
      <c r="B2705" s="21" t="s">
        <v>7933</v>
      </c>
      <c r="C2705" s="21" t="s">
        <v>7934</v>
      </c>
      <c r="D2705" s="21" t="s">
        <v>71</v>
      </c>
      <c r="E2705" s="22" t="s">
        <v>7935</v>
      </c>
      <c r="F2705" s="22" t="s">
        <v>7933</v>
      </c>
      <c r="G2705" s="21" t="s">
        <v>7936</v>
      </c>
      <c r="H2705" s="21" t="s">
        <v>7937</v>
      </c>
      <c r="I2705" s="12" t="s">
        <v>8955</v>
      </c>
      <c r="J2705" s="12" t="s">
        <v>10284</v>
      </c>
      <c r="K2705" s="12"/>
      <c r="L2705" s="12" t="s">
        <v>12860</v>
      </c>
      <c r="M2705" s="12" t="s">
        <v>12861</v>
      </c>
    </row>
    <row r="2706" spans="1:13" ht="52.8">
      <c r="A2706" s="21" t="s">
        <v>7932</v>
      </c>
      <c r="B2706" s="21" t="s">
        <v>7933</v>
      </c>
      <c r="C2706" s="21" t="s">
        <v>7934</v>
      </c>
      <c r="D2706" s="21" t="s">
        <v>71</v>
      </c>
      <c r="E2706" s="22" t="s">
        <v>7935</v>
      </c>
      <c r="F2706" s="22" t="s">
        <v>7933</v>
      </c>
      <c r="G2706" s="21" t="s">
        <v>7936</v>
      </c>
      <c r="H2706" s="21" t="s">
        <v>7937</v>
      </c>
      <c r="I2706" s="12" t="s">
        <v>8956</v>
      </c>
      <c r="J2706" s="12" t="s">
        <v>10285</v>
      </c>
      <c r="K2706" s="12" t="s">
        <v>12862</v>
      </c>
      <c r="L2706" s="12" t="s">
        <v>12863</v>
      </c>
      <c r="M2706" s="12" t="s">
        <v>12862</v>
      </c>
    </row>
    <row r="2707" spans="1:13" ht="52.8">
      <c r="A2707" s="21" t="s">
        <v>7932</v>
      </c>
      <c r="B2707" s="21" t="s">
        <v>7933</v>
      </c>
      <c r="C2707" s="21" t="s">
        <v>7934</v>
      </c>
      <c r="D2707" s="21" t="s">
        <v>71</v>
      </c>
      <c r="E2707" s="22" t="s">
        <v>7935</v>
      </c>
      <c r="F2707" s="22" t="s">
        <v>7933</v>
      </c>
      <c r="G2707" s="21" t="s">
        <v>7936</v>
      </c>
      <c r="H2707" s="21" t="s">
        <v>7937</v>
      </c>
      <c r="I2707" s="12" t="s">
        <v>8957</v>
      </c>
      <c r="J2707" s="12" t="s">
        <v>10286</v>
      </c>
      <c r="K2707" s="12"/>
      <c r="L2707" s="12" t="s">
        <v>12864</v>
      </c>
      <c r="M2707" s="12" t="s">
        <v>12865</v>
      </c>
    </row>
    <row r="2708" spans="1:13" ht="52.8">
      <c r="A2708" s="21" t="s">
        <v>7932</v>
      </c>
      <c r="B2708" s="21" t="s">
        <v>7933</v>
      </c>
      <c r="C2708" s="21" t="s">
        <v>7934</v>
      </c>
      <c r="D2708" s="21" t="s">
        <v>71</v>
      </c>
      <c r="E2708" s="22" t="s">
        <v>7935</v>
      </c>
      <c r="F2708" s="22" t="s">
        <v>7933</v>
      </c>
      <c r="G2708" s="21" t="s">
        <v>7936</v>
      </c>
      <c r="H2708" s="21" t="s">
        <v>7937</v>
      </c>
      <c r="I2708" s="12" t="s">
        <v>8958</v>
      </c>
      <c r="J2708" s="12" t="s">
        <v>10287</v>
      </c>
      <c r="K2708" s="12"/>
      <c r="L2708" s="12" t="s">
        <v>12866</v>
      </c>
      <c r="M2708" s="12" t="s">
        <v>12867</v>
      </c>
    </row>
    <row r="2709" spans="1:13" ht="52.8">
      <c r="A2709" s="21" t="s">
        <v>7932</v>
      </c>
      <c r="B2709" s="21" t="s">
        <v>7933</v>
      </c>
      <c r="C2709" s="21" t="s">
        <v>7934</v>
      </c>
      <c r="D2709" s="21" t="s">
        <v>71</v>
      </c>
      <c r="E2709" s="22" t="s">
        <v>7935</v>
      </c>
      <c r="F2709" s="22" t="s">
        <v>7933</v>
      </c>
      <c r="G2709" s="21" t="s">
        <v>7936</v>
      </c>
      <c r="H2709" s="21" t="s">
        <v>7937</v>
      </c>
      <c r="I2709" s="12" t="s">
        <v>8959</v>
      </c>
      <c r="J2709" s="12" t="s">
        <v>10288</v>
      </c>
      <c r="K2709" s="12"/>
      <c r="L2709" s="12" t="s">
        <v>12868</v>
      </c>
      <c r="M2709" s="12" t="s">
        <v>12869</v>
      </c>
    </row>
    <row r="2710" spans="1:13" ht="52.8">
      <c r="A2710" s="21" t="s">
        <v>7932</v>
      </c>
      <c r="B2710" s="21" t="s">
        <v>7933</v>
      </c>
      <c r="C2710" s="21" t="s">
        <v>7934</v>
      </c>
      <c r="D2710" s="21" t="s">
        <v>71</v>
      </c>
      <c r="E2710" s="22" t="s">
        <v>7935</v>
      </c>
      <c r="F2710" s="22" t="s">
        <v>7933</v>
      </c>
      <c r="G2710" s="21" t="s">
        <v>7936</v>
      </c>
      <c r="H2710" s="21" t="s">
        <v>7937</v>
      </c>
      <c r="I2710" s="12" t="s">
        <v>8960</v>
      </c>
      <c r="J2710" s="12" t="s">
        <v>10289</v>
      </c>
      <c r="K2710" s="12" t="s">
        <v>12870</v>
      </c>
      <c r="L2710" s="12" t="s">
        <v>12871</v>
      </c>
      <c r="M2710" s="12" t="s">
        <v>12872</v>
      </c>
    </row>
    <row r="2711" spans="1:13" ht="52.8">
      <c r="A2711" s="21" t="s">
        <v>7932</v>
      </c>
      <c r="B2711" s="21" t="s">
        <v>7933</v>
      </c>
      <c r="C2711" s="21" t="s">
        <v>7934</v>
      </c>
      <c r="D2711" s="21" t="s">
        <v>71</v>
      </c>
      <c r="E2711" s="22" t="s">
        <v>7935</v>
      </c>
      <c r="F2711" s="22" t="s">
        <v>7933</v>
      </c>
      <c r="G2711" s="21" t="s">
        <v>7936</v>
      </c>
      <c r="H2711" s="21" t="s">
        <v>7937</v>
      </c>
      <c r="I2711" s="12" t="s">
        <v>8961</v>
      </c>
      <c r="J2711" s="12" t="s">
        <v>10290</v>
      </c>
      <c r="K2711" s="12" t="s">
        <v>12873</v>
      </c>
      <c r="L2711" s="12" t="s">
        <v>12874</v>
      </c>
      <c r="M2711" s="12" t="s">
        <v>12875</v>
      </c>
    </row>
    <row r="2712" spans="1:13" ht="52.8">
      <c r="A2712" s="21" t="s">
        <v>7932</v>
      </c>
      <c r="B2712" s="21" t="s">
        <v>7933</v>
      </c>
      <c r="C2712" s="21" t="s">
        <v>7934</v>
      </c>
      <c r="D2712" s="21" t="s">
        <v>71</v>
      </c>
      <c r="E2712" s="22" t="s">
        <v>7935</v>
      </c>
      <c r="F2712" s="22" t="s">
        <v>7933</v>
      </c>
      <c r="G2712" s="21" t="s">
        <v>7936</v>
      </c>
      <c r="H2712" s="21" t="s">
        <v>7937</v>
      </c>
      <c r="I2712" s="12" t="s">
        <v>8962</v>
      </c>
      <c r="J2712" s="12" t="s">
        <v>10291</v>
      </c>
      <c r="K2712" s="12"/>
      <c r="L2712" s="12" t="s">
        <v>12876</v>
      </c>
      <c r="M2712" s="12" t="s">
        <v>12877</v>
      </c>
    </row>
    <row r="2713" spans="1:13" ht="52.8">
      <c r="A2713" s="21" t="s">
        <v>7932</v>
      </c>
      <c r="B2713" s="21" t="s">
        <v>7933</v>
      </c>
      <c r="C2713" s="21" t="s">
        <v>7934</v>
      </c>
      <c r="D2713" s="21" t="s">
        <v>71</v>
      </c>
      <c r="E2713" s="22" t="s">
        <v>7935</v>
      </c>
      <c r="F2713" s="22" t="s">
        <v>7933</v>
      </c>
      <c r="G2713" s="21" t="s">
        <v>7936</v>
      </c>
      <c r="H2713" s="21" t="s">
        <v>7937</v>
      </c>
      <c r="I2713" s="12" t="s">
        <v>8963</v>
      </c>
      <c r="J2713" s="12" t="s">
        <v>10292</v>
      </c>
      <c r="K2713" s="12"/>
      <c r="L2713" s="12" t="s">
        <v>12878</v>
      </c>
      <c r="M2713" s="12" t="s">
        <v>12879</v>
      </c>
    </row>
    <row r="2714" spans="1:13" ht="52.8">
      <c r="A2714" s="21" t="s">
        <v>7932</v>
      </c>
      <c r="B2714" s="21" t="s">
        <v>7933</v>
      </c>
      <c r="C2714" s="21" t="s">
        <v>7934</v>
      </c>
      <c r="D2714" s="21" t="s">
        <v>71</v>
      </c>
      <c r="E2714" s="22" t="s">
        <v>7935</v>
      </c>
      <c r="F2714" s="22" t="s">
        <v>7933</v>
      </c>
      <c r="G2714" s="21" t="s">
        <v>7936</v>
      </c>
      <c r="H2714" s="21" t="s">
        <v>7937</v>
      </c>
      <c r="I2714" s="12" t="s">
        <v>8964</v>
      </c>
      <c r="J2714" s="12" t="s">
        <v>10293</v>
      </c>
      <c r="K2714" s="12"/>
      <c r="L2714" s="12" t="s">
        <v>12880</v>
      </c>
      <c r="M2714" s="12" t="s">
        <v>12881</v>
      </c>
    </row>
    <row r="2715" spans="1:13" ht="52.8">
      <c r="A2715" s="21" t="s">
        <v>7932</v>
      </c>
      <c r="B2715" s="21" t="s">
        <v>7933</v>
      </c>
      <c r="C2715" s="21" t="s">
        <v>7934</v>
      </c>
      <c r="D2715" s="21" t="s">
        <v>71</v>
      </c>
      <c r="E2715" s="22" t="s">
        <v>7935</v>
      </c>
      <c r="F2715" s="22" t="s">
        <v>7933</v>
      </c>
      <c r="G2715" s="21" t="s">
        <v>7936</v>
      </c>
      <c r="H2715" s="21" t="s">
        <v>7937</v>
      </c>
      <c r="I2715" s="12" t="s">
        <v>8965</v>
      </c>
      <c r="J2715" s="12" t="s">
        <v>10294</v>
      </c>
      <c r="K2715" s="12" t="s">
        <v>12882</v>
      </c>
      <c r="L2715" s="12" t="s">
        <v>12883</v>
      </c>
      <c r="M2715" s="12" t="s">
        <v>12884</v>
      </c>
    </row>
    <row r="2716" spans="1:13" ht="52.8">
      <c r="A2716" s="21" t="s">
        <v>7932</v>
      </c>
      <c r="B2716" s="21" t="s">
        <v>7933</v>
      </c>
      <c r="C2716" s="21" t="s">
        <v>7934</v>
      </c>
      <c r="D2716" s="21" t="s">
        <v>71</v>
      </c>
      <c r="E2716" s="22" t="s">
        <v>7935</v>
      </c>
      <c r="F2716" s="22" t="s">
        <v>7933</v>
      </c>
      <c r="G2716" s="21" t="s">
        <v>7936</v>
      </c>
      <c r="H2716" s="21" t="s">
        <v>7937</v>
      </c>
      <c r="I2716" s="12" t="s">
        <v>8966</v>
      </c>
      <c r="J2716" s="12" t="s">
        <v>10295</v>
      </c>
      <c r="K2716" s="12"/>
      <c r="L2716" s="12" t="s">
        <v>12885</v>
      </c>
      <c r="M2716" s="12" t="s">
        <v>12886</v>
      </c>
    </row>
    <row r="2717" spans="1:13" ht="52.8">
      <c r="A2717" s="21" t="s">
        <v>7932</v>
      </c>
      <c r="B2717" s="21" t="s">
        <v>7933</v>
      </c>
      <c r="C2717" s="21" t="s">
        <v>7934</v>
      </c>
      <c r="D2717" s="21" t="s">
        <v>71</v>
      </c>
      <c r="E2717" s="22" t="s">
        <v>7935</v>
      </c>
      <c r="F2717" s="22" t="s">
        <v>7933</v>
      </c>
      <c r="G2717" s="21" t="s">
        <v>7936</v>
      </c>
      <c r="H2717" s="21" t="s">
        <v>7937</v>
      </c>
      <c r="I2717" s="12" t="s">
        <v>8967</v>
      </c>
      <c r="J2717" s="12" t="s">
        <v>10296</v>
      </c>
      <c r="K2717" s="12"/>
      <c r="L2717" s="12" t="s">
        <v>12887</v>
      </c>
      <c r="M2717" s="12" t="s">
        <v>12888</v>
      </c>
    </row>
    <row r="2718" spans="1:13" ht="52.8">
      <c r="A2718" s="21" t="s">
        <v>7932</v>
      </c>
      <c r="B2718" s="21" t="s">
        <v>7933</v>
      </c>
      <c r="C2718" s="21" t="s">
        <v>7934</v>
      </c>
      <c r="D2718" s="21" t="s">
        <v>71</v>
      </c>
      <c r="E2718" s="22" t="s">
        <v>7935</v>
      </c>
      <c r="F2718" s="22" t="s">
        <v>7933</v>
      </c>
      <c r="G2718" s="21" t="s">
        <v>7936</v>
      </c>
      <c r="H2718" s="21" t="s">
        <v>7937</v>
      </c>
      <c r="I2718" s="12" t="s">
        <v>8968</v>
      </c>
      <c r="J2718" s="12" t="s">
        <v>10297</v>
      </c>
      <c r="K2718" s="12" t="s">
        <v>12889</v>
      </c>
      <c r="L2718" s="12" t="s">
        <v>12890</v>
      </c>
      <c r="M2718" s="12" t="s">
        <v>12889</v>
      </c>
    </row>
    <row r="2719" spans="1:13" ht="52.8">
      <c r="A2719" s="21" t="s">
        <v>7932</v>
      </c>
      <c r="B2719" s="21" t="s">
        <v>7933</v>
      </c>
      <c r="C2719" s="21" t="s">
        <v>7934</v>
      </c>
      <c r="D2719" s="21" t="s">
        <v>71</v>
      </c>
      <c r="E2719" s="22" t="s">
        <v>7935</v>
      </c>
      <c r="F2719" s="22" t="s">
        <v>7933</v>
      </c>
      <c r="G2719" s="21" t="s">
        <v>7936</v>
      </c>
      <c r="H2719" s="21" t="s">
        <v>7937</v>
      </c>
      <c r="I2719" s="12" t="s">
        <v>8969</v>
      </c>
      <c r="J2719" s="12" t="s">
        <v>10298</v>
      </c>
      <c r="K2719" s="12" t="s">
        <v>12891</v>
      </c>
      <c r="L2719" s="12" t="s">
        <v>12892</v>
      </c>
      <c r="M2719" s="12" t="s">
        <v>12891</v>
      </c>
    </row>
    <row r="2720" spans="1:13" ht="52.8">
      <c r="A2720" s="21" t="s">
        <v>7932</v>
      </c>
      <c r="B2720" s="21" t="s">
        <v>7933</v>
      </c>
      <c r="C2720" s="21" t="s">
        <v>7934</v>
      </c>
      <c r="D2720" s="21" t="s">
        <v>71</v>
      </c>
      <c r="E2720" s="22" t="s">
        <v>7935</v>
      </c>
      <c r="F2720" s="22" t="s">
        <v>7933</v>
      </c>
      <c r="G2720" s="21" t="s">
        <v>7936</v>
      </c>
      <c r="H2720" s="21" t="s">
        <v>7937</v>
      </c>
      <c r="I2720" s="12" t="s">
        <v>8970</v>
      </c>
      <c r="J2720" s="12" t="s">
        <v>10299</v>
      </c>
      <c r="K2720" s="12" t="s">
        <v>12893</v>
      </c>
      <c r="L2720" s="12" t="s">
        <v>12894</v>
      </c>
      <c r="M2720" s="12" t="s">
        <v>12893</v>
      </c>
    </row>
    <row r="2721" spans="1:13" ht="52.8">
      <c r="A2721" s="21" t="s">
        <v>7932</v>
      </c>
      <c r="B2721" s="21" t="s">
        <v>7933</v>
      </c>
      <c r="C2721" s="21" t="s">
        <v>7934</v>
      </c>
      <c r="D2721" s="21" t="s">
        <v>71</v>
      </c>
      <c r="E2721" s="22" t="s">
        <v>7935</v>
      </c>
      <c r="F2721" s="22" t="s">
        <v>7933</v>
      </c>
      <c r="G2721" s="21" t="s">
        <v>7936</v>
      </c>
      <c r="H2721" s="21" t="s">
        <v>7937</v>
      </c>
      <c r="I2721" s="12" t="s">
        <v>8971</v>
      </c>
      <c r="J2721" s="12" t="s">
        <v>10300</v>
      </c>
      <c r="K2721" s="12" t="s">
        <v>12895</v>
      </c>
      <c r="L2721" s="12" t="s">
        <v>12896</v>
      </c>
      <c r="M2721" s="12" t="s">
        <v>12895</v>
      </c>
    </row>
    <row r="2722" spans="1:13" ht="52.8">
      <c r="A2722" s="21" t="s">
        <v>7932</v>
      </c>
      <c r="B2722" s="21" t="s">
        <v>7933</v>
      </c>
      <c r="C2722" s="21" t="s">
        <v>7934</v>
      </c>
      <c r="D2722" s="21" t="s">
        <v>71</v>
      </c>
      <c r="E2722" s="22" t="s">
        <v>7935</v>
      </c>
      <c r="F2722" s="22" t="s">
        <v>7933</v>
      </c>
      <c r="G2722" s="21" t="s">
        <v>7936</v>
      </c>
      <c r="H2722" s="21" t="s">
        <v>7937</v>
      </c>
      <c r="I2722" s="12" t="s">
        <v>8972</v>
      </c>
      <c r="J2722" s="12" t="s">
        <v>10301</v>
      </c>
      <c r="K2722" s="12" t="s">
        <v>12897</v>
      </c>
      <c r="L2722" s="12" t="s">
        <v>12898</v>
      </c>
      <c r="M2722" s="12" t="s">
        <v>12897</v>
      </c>
    </row>
    <row r="2723" spans="1:13" ht="52.8">
      <c r="A2723" s="21" t="s">
        <v>7932</v>
      </c>
      <c r="B2723" s="21" t="s">
        <v>7933</v>
      </c>
      <c r="C2723" s="21" t="s">
        <v>7934</v>
      </c>
      <c r="D2723" s="21" t="s">
        <v>71</v>
      </c>
      <c r="E2723" s="22" t="s">
        <v>7935</v>
      </c>
      <c r="F2723" s="22" t="s">
        <v>7933</v>
      </c>
      <c r="G2723" s="21" t="s">
        <v>7936</v>
      </c>
      <c r="H2723" s="21" t="s">
        <v>7937</v>
      </c>
      <c r="I2723" s="12" t="s">
        <v>8973</v>
      </c>
      <c r="J2723" s="12" t="s">
        <v>10302</v>
      </c>
      <c r="K2723" s="12" t="s">
        <v>12899</v>
      </c>
      <c r="L2723" s="12" t="s">
        <v>12900</v>
      </c>
      <c r="M2723" s="12" t="s">
        <v>12899</v>
      </c>
    </row>
    <row r="2724" spans="1:13" ht="52.8">
      <c r="A2724" s="21" t="s">
        <v>7932</v>
      </c>
      <c r="B2724" s="21" t="s">
        <v>7933</v>
      </c>
      <c r="C2724" s="21" t="s">
        <v>7934</v>
      </c>
      <c r="D2724" s="21" t="s">
        <v>71</v>
      </c>
      <c r="E2724" s="22" t="s">
        <v>7935</v>
      </c>
      <c r="F2724" s="22" t="s">
        <v>7933</v>
      </c>
      <c r="G2724" s="21" t="s">
        <v>7936</v>
      </c>
      <c r="H2724" s="21" t="s">
        <v>7937</v>
      </c>
      <c r="I2724" s="12" t="s">
        <v>8974</v>
      </c>
      <c r="J2724" s="12" t="s">
        <v>10303</v>
      </c>
      <c r="K2724" s="12" t="s">
        <v>12901</v>
      </c>
      <c r="L2724" s="12" t="s">
        <v>12902</v>
      </c>
      <c r="M2724" s="12" t="s">
        <v>12901</v>
      </c>
    </row>
    <row r="2725" spans="1:13" ht="52.8">
      <c r="A2725" s="21" t="s">
        <v>7932</v>
      </c>
      <c r="B2725" s="21" t="s">
        <v>7933</v>
      </c>
      <c r="C2725" s="21" t="s">
        <v>7934</v>
      </c>
      <c r="D2725" s="21" t="s">
        <v>71</v>
      </c>
      <c r="E2725" s="22" t="s">
        <v>7935</v>
      </c>
      <c r="F2725" s="22" t="s">
        <v>7933</v>
      </c>
      <c r="G2725" s="21" t="s">
        <v>7936</v>
      </c>
      <c r="H2725" s="21" t="s">
        <v>7937</v>
      </c>
      <c r="I2725" s="12" t="s">
        <v>8975</v>
      </c>
      <c r="J2725" s="12" t="s">
        <v>10304</v>
      </c>
      <c r="K2725" s="12" t="s">
        <v>12903</v>
      </c>
      <c r="L2725" s="12" t="s">
        <v>12904</v>
      </c>
      <c r="M2725" s="12" t="s">
        <v>12903</v>
      </c>
    </row>
    <row r="2726" spans="1:13" ht="52.8">
      <c r="A2726" s="21" t="s">
        <v>7932</v>
      </c>
      <c r="B2726" s="21" t="s">
        <v>7933</v>
      </c>
      <c r="C2726" s="21" t="s">
        <v>7934</v>
      </c>
      <c r="D2726" s="21" t="s">
        <v>71</v>
      </c>
      <c r="E2726" s="22" t="s">
        <v>7935</v>
      </c>
      <c r="F2726" s="22" t="s">
        <v>7933</v>
      </c>
      <c r="G2726" s="21" t="s">
        <v>7936</v>
      </c>
      <c r="H2726" s="21" t="s">
        <v>7937</v>
      </c>
      <c r="I2726" s="12" t="s">
        <v>8976</v>
      </c>
      <c r="J2726" s="12" t="s">
        <v>10305</v>
      </c>
      <c r="K2726" s="12" t="s">
        <v>12905</v>
      </c>
      <c r="L2726" s="12" t="s">
        <v>12906</v>
      </c>
      <c r="M2726" s="12" t="s">
        <v>12905</v>
      </c>
    </row>
    <row r="2727" spans="1:13" ht="52.8">
      <c r="A2727" s="21" t="s">
        <v>7932</v>
      </c>
      <c r="B2727" s="21" t="s">
        <v>7933</v>
      </c>
      <c r="C2727" s="21" t="s">
        <v>7934</v>
      </c>
      <c r="D2727" s="21" t="s">
        <v>71</v>
      </c>
      <c r="E2727" s="22" t="s">
        <v>7935</v>
      </c>
      <c r="F2727" s="22" t="s">
        <v>7933</v>
      </c>
      <c r="G2727" s="21" t="s">
        <v>7936</v>
      </c>
      <c r="H2727" s="21" t="s">
        <v>7937</v>
      </c>
      <c r="I2727" s="12" t="s">
        <v>8977</v>
      </c>
      <c r="J2727" s="12" t="s">
        <v>10306</v>
      </c>
      <c r="K2727" s="12" t="s">
        <v>12907</v>
      </c>
      <c r="L2727" s="12" t="s">
        <v>12908</v>
      </c>
      <c r="M2727" s="12" t="s">
        <v>12907</v>
      </c>
    </row>
    <row r="2728" spans="1:13" ht="52.8">
      <c r="A2728" s="21" t="s">
        <v>7932</v>
      </c>
      <c r="B2728" s="21" t="s">
        <v>7933</v>
      </c>
      <c r="C2728" s="21" t="s">
        <v>7934</v>
      </c>
      <c r="D2728" s="21" t="s">
        <v>71</v>
      </c>
      <c r="E2728" s="22" t="s">
        <v>7935</v>
      </c>
      <c r="F2728" s="22" t="s">
        <v>7933</v>
      </c>
      <c r="G2728" s="21" t="s">
        <v>7936</v>
      </c>
      <c r="H2728" s="21" t="s">
        <v>7937</v>
      </c>
      <c r="I2728" s="12" t="s">
        <v>8978</v>
      </c>
      <c r="J2728" s="12" t="s">
        <v>10307</v>
      </c>
      <c r="K2728" s="12" t="s">
        <v>12909</v>
      </c>
      <c r="L2728" s="12" t="s">
        <v>12910</v>
      </c>
      <c r="M2728" s="12" t="s">
        <v>12909</v>
      </c>
    </row>
    <row r="2729" spans="1:13" ht="52.8">
      <c r="A2729" s="21" t="s">
        <v>7932</v>
      </c>
      <c r="B2729" s="21" t="s">
        <v>7933</v>
      </c>
      <c r="C2729" s="21" t="s">
        <v>7934</v>
      </c>
      <c r="D2729" s="21" t="s">
        <v>71</v>
      </c>
      <c r="E2729" s="22" t="s">
        <v>7935</v>
      </c>
      <c r="F2729" s="22" t="s">
        <v>7933</v>
      </c>
      <c r="G2729" s="21" t="s">
        <v>7936</v>
      </c>
      <c r="H2729" s="21" t="s">
        <v>7937</v>
      </c>
      <c r="I2729" s="12" t="s">
        <v>8979</v>
      </c>
      <c r="J2729" s="12" t="s">
        <v>10308</v>
      </c>
      <c r="K2729" s="12" t="s">
        <v>12911</v>
      </c>
      <c r="L2729" s="12" t="s">
        <v>12912</v>
      </c>
      <c r="M2729" s="12" t="s">
        <v>12911</v>
      </c>
    </row>
    <row r="2730" spans="1:13" ht="52.8">
      <c r="A2730" s="21" t="s">
        <v>7932</v>
      </c>
      <c r="B2730" s="21" t="s">
        <v>7933</v>
      </c>
      <c r="C2730" s="21" t="s">
        <v>7934</v>
      </c>
      <c r="D2730" s="21" t="s">
        <v>71</v>
      </c>
      <c r="E2730" s="22" t="s">
        <v>7935</v>
      </c>
      <c r="F2730" s="22" t="s">
        <v>7933</v>
      </c>
      <c r="G2730" s="21" t="s">
        <v>7936</v>
      </c>
      <c r="H2730" s="21" t="s">
        <v>7937</v>
      </c>
      <c r="I2730" s="12" t="s">
        <v>8980</v>
      </c>
      <c r="J2730" s="12" t="s">
        <v>10309</v>
      </c>
      <c r="K2730" s="12"/>
      <c r="L2730" s="12" t="s">
        <v>12913</v>
      </c>
      <c r="M2730" s="12" t="s">
        <v>12914</v>
      </c>
    </row>
    <row r="2731" spans="1:13" ht="52.8">
      <c r="A2731" s="21" t="s">
        <v>7932</v>
      </c>
      <c r="B2731" s="21" t="s">
        <v>7933</v>
      </c>
      <c r="C2731" s="21" t="s">
        <v>7934</v>
      </c>
      <c r="D2731" s="21" t="s">
        <v>71</v>
      </c>
      <c r="E2731" s="22" t="s">
        <v>7935</v>
      </c>
      <c r="F2731" s="22" t="s">
        <v>7933</v>
      </c>
      <c r="G2731" s="21" t="s">
        <v>7936</v>
      </c>
      <c r="H2731" s="21" t="s">
        <v>7937</v>
      </c>
      <c r="I2731" s="12" t="s">
        <v>8981</v>
      </c>
      <c r="J2731" s="12" t="s">
        <v>10310</v>
      </c>
      <c r="K2731" s="12"/>
      <c r="L2731" s="12" t="s">
        <v>12915</v>
      </c>
      <c r="M2731" s="12" t="s">
        <v>12916</v>
      </c>
    </row>
    <row r="2732" spans="1:13" ht="52.8">
      <c r="A2732" s="21" t="s">
        <v>7932</v>
      </c>
      <c r="B2732" s="21" t="s">
        <v>7933</v>
      </c>
      <c r="C2732" s="21" t="s">
        <v>7934</v>
      </c>
      <c r="D2732" s="21" t="s">
        <v>71</v>
      </c>
      <c r="E2732" s="22" t="s">
        <v>7935</v>
      </c>
      <c r="F2732" s="22" t="s">
        <v>7933</v>
      </c>
      <c r="G2732" s="21" t="s">
        <v>7936</v>
      </c>
      <c r="H2732" s="21" t="s">
        <v>7937</v>
      </c>
      <c r="I2732" s="12" t="s">
        <v>8982</v>
      </c>
      <c r="J2732" s="12" t="s">
        <v>10311</v>
      </c>
      <c r="K2732" s="12"/>
      <c r="L2732" s="12" t="s">
        <v>12917</v>
      </c>
      <c r="M2732" s="12" t="s">
        <v>12918</v>
      </c>
    </row>
    <row r="2733" spans="1:13" ht="132">
      <c r="A2733" s="21" t="s">
        <v>7932</v>
      </c>
      <c r="B2733" s="21" t="s">
        <v>7933</v>
      </c>
      <c r="C2733" s="21" t="s">
        <v>7934</v>
      </c>
      <c r="D2733" s="21" t="s">
        <v>71</v>
      </c>
      <c r="E2733" s="22" t="s">
        <v>7935</v>
      </c>
      <c r="F2733" s="22" t="s">
        <v>7933</v>
      </c>
      <c r="G2733" s="21" t="s">
        <v>7936</v>
      </c>
      <c r="H2733" s="21" t="s">
        <v>7937</v>
      </c>
      <c r="I2733" s="12" t="s">
        <v>8983</v>
      </c>
      <c r="J2733" s="12" t="s">
        <v>10312</v>
      </c>
      <c r="K2733" s="12"/>
      <c r="L2733" s="12" t="s">
        <v>12919</v>
      </c>
      <c r="M2733" s="12" t="s">
        <v>12920</v>
      </c>
    </row>
    <row r="2734" spans="1:13" ht="66">
      <c r="A2734" s="21" t="s">
        <v>7932</v>
      </c>
      <c r="B2734" s="21" t="s">
        <v>7933</v>
      </c>
      <c r="C2734" s="21" t="s">
        <v>7934</v>
      </c>
      <c r="D2734" s="21" t="s">
        <v>71</v>
      </c>
      <c r="E2734" s="22" t="s">
        <v>7935</v>
      </c>
      <c r="F2734" s="22" t="s">
        <v>7933</v>
      </c>
      <c r="G2734" s="21" t="s">
        <v>7936</v>
      </c>
      <c r="H2734" s="21" t="s">
        <v>7937</v>
      </c>
      <c r="I2734" s="12" t="s">
        <v>8984</v>
      </c>
      <c r="J2734" s="12" t="s">
        <v>10313</v>
      </c>
      <c r="K2734" s="12" t="s">
        <v>12921</v>
      </c>
      <c r="L2734" s="12" t="s">
        <v>12922</v>
      </c>
      <c r="M2734" s="12" t="s">
        <v>12923</v>
      </c>
    </row>
    <row r="2735" spans="1:13" ht="66">
      <c r="A2735" s="21" t="s">
        <v>7932</v>
      </c>
      <c r="B2735" s="21" t="s">
        <v>7933</v>
      </c>
      <c r="C2735" s="21" t="s">
        <v>7934</v>
      </c>
      <c r="D2735" s="21" t="s">
        <v>71</v>
      </c>
      <c r="E2735" s="22" t="s">
        <v>7935</v>
      </c>
      <c r="F2735" s="22" t="s">
        <v>7933</v>
      </c>
      <c r="G2735" s="21" t="s">
        <v>7936</v>
      </c>
      <c r="H2735" s="21" t="s">
        <v>7937</v>
      </c>
      <c r="I2735" s="12" t="s">
        <v>8985</v>
      </c>
      <c r="J2735" s="12" t="s">
        <v>10314</v>
      </c>
      <c r="K2735" s="12" t="s">
        <v>12924</v>
      </c>
      <c r="L2735" s="12" t="s">
        <v>12925</v>
      </c>
      <c r="M2735" s="12" t="s">
        <v>12926</v>
      </c>
    </row>
    <row r="2736" spans="1:13" ht="52.8">
      <c r="A2736" s="21" t="s">
        <v>7932</v>
      </c>
      <c r="B2736" s="21" t="s">
        <v>7933</v>
      </c>
      <c r="C2736" s="21" t="s">
        <v>7934</v>
      </c>
      <c r="D2736" s="21" t="s">
        <v>71</v>
      </c>
      <c r="E2736" s="22" t="s">
        <v>7935</v>
      </c>
      <c r="F2736" s="22" t="s">
        <v>7933</v>
      </c>
      <c r="G2736" s="21" t="s">
        <v>7936</v>
      </c>
      <c r="H2736" s="21" t="s">
        <v>7937</v>
      </c>
      <c r="I2736" s="12" t="s">
        <v>8986</v>
      </c>
      <c r="J2736" s="12" t="s">
        <v>10315</v>
      </c>
      <c r="K2736" s="12"/>
      <c r="L2736" s="12" t="s">
        <v>12927</v>
      </c>
      <c r="M2736" s="12" t="s">
        <v>12928</v>
      </c>
    </row>
    <row r="2737" spans="1:13" ht="52.8">
      <c r="A2737" s="21" t="s">
        <v>7932</v>
      </c>
      <c r="B2737" s="21" t="s">
        <v>7933</v>
      </c>
      <c r="C2737" s="21" t="s">
        <v>7934</v>
      </c>
      <c r="D2737" s="21" t="s">
        <v>71</v>
      </c>
      <c r="E2737" s="22" t="s">
        <v>7935</v>
      </c>
      <c r="F2737" s="22" t="s">
        <v>7933</v>
      </c>
      <c r="G2737" s="21" t="s">
        <v>7936</v>
      </c>
      <c r="H2737" s="21" t="s">
        <v>7937</v>
      </c>
      <c r="I2737" s="12" t="s">
        <v>8987</v>
      </c>
      <c r="J2737" s="12" t="s">
        <v>10316</v>
      </c>
      <c r="K2737" s="12"/>
      <c r="L2737" s="12" t="s">
        <v>12929</v>
      </c>
      <c r="M2737" s="12" t="s">
        <v>12930</v>
      </c>
    </row>
    <row r="2738" spans="1:13" ht="52.8">
      <c r="A2738" s="21" t="s">
        <v>7932</v>
      </c>
      <c r="B2738" s="21" t="s">
        <v>7933</v>
      </c>
      <c r="C2738" s="21" t="s">
        <v>7934</v>
      </c>
      <c r="D2738" s="21" t="s">
        <v>71</v>
      </c>
      <c r="E2738" s="22" t="s">
        <v>7935</v>
      </c>
      <c r="F2738" s="22" t="s">
        <v>7933</v>
      </c>
      <c r="G2738" s="21" t="s">
        <v>7936</v>
      </c>
      <c r="H2738" s="21" t="s">
        <v>7937</v>
      </c>
      <c r="I2738" s="12" t="s">
        <v>8988</v>
      </c>
      <c r="J2738" s="12" t="s">
        <v>10317</v>
      </c>
      <c r="K2738" s="12"/>
      <c r="L2738" s="12" t="s">
        <v>12931</v>
      </c>
      <c r="M2738" s="12" t="s">
        <v>12932</v>
      </c>
    </row>
    <row r="2739" spans="1:13" ht="52.8">
      <c r="A2739" s="21" t="s">
        <v>7932</v>
      </c>
      <c r="B2739" s="21" t="s">
        <v>7933</v>
      </c>
      <c r="C2739" s="21" t="s">
        <v>7934</v>
      </c>
      <c r="D2739" s="21" t="s">
        <v>71</v>
      </c>
      <c r="E2739" s="22" t="s">
        <v>7935</v>
      </c>
      <c r="F2739" s="22" t="s">
        <v>7933</v>
      </c>
      <c r="G2739" s="21" t="s">
        <v>7936</v>
      </c>
      <c r="H2739" s="21" t="s">
        <v>7937</v>
      </c>
      <c r="I2739" s="12" t="s">
        <v>8989</v>
      </c>
      <c r="J2739" s="12" t="s">
        <v>10318</v>
      </c>
      <c r="K2739" s="12"/>
      <c r="L2739" s="12" t="s">
        <v>12933</v>
      </c>
      <c r="M2739" s="12" t="s">
        <v>12934</v>
      </c>
    </row>
    <row r="2740" spans="1:13" ht="52.8">
      <c r="A2740" s="21" t="s">
        <v>7932</v>
      </c>
      <c r="B2740" s="21" t="s">
        <v>7933</v>
      </c>
      <c r="C2740" s="21" t="s">
        <v>7934</v>
      </c>
      <c r="D2740" s="21" t="s">
        <v>71</v>
      </c>
      <c r="E2740" s="22" t="s">
        <v>7935</v>
      </c>
      <c r="F2740" s="22" t="s">
        <v>7933</v>
      </c>
      <c r="G2740" s="21" t="s">
        <v>7936</v>
      </c>
      <c r="H2740" s="21" t="s">
        <v>7937</v>
      </c>
      <c r="I2740" s="12" t="s">
        <v>8990</v>
      </c>
      <c r="J2740" s="12" t="s">
        <v>10319</v>
      </c>
      <c r="K2740" s="12"/>
      <c r="L2740" s="12" t="s">
        <v>12935</v>
      </c>
      <c r="M2740" s="12" t="s">
        <v>12936</v>
      </c>
    </row>
    <row r="2741" spans="1:13" ht="52.8">
      <c r="A2741" s="21" t="s">
        <v>7932</v>
      </c>
      <c r="B2741" s="21" t="s">
        <v>7933</v>
      </c>
      <c r="C2741" s="21" t="s">
        <v>7934</v>
      </c>
      <c r="D2741" s="21" t="s">
        <v>71</v>
      </c>
      <c r="E2741" s="22" t="s">
        <v>7935</v>
      </c>
      <c r="F2741" s="22" t="s">
        <v>7933</v>
      </c>
      <c r="G2741" s="21" t="s">
        <v>7936</v>
      </c>
      <c r="H2741" s="21" t="s">
        <v>7937</v>
      </c>
      <c r="I2741" s="12" t="s">
        <v>8991</v>
      </c>
      <c r="J2741" s="12" t="s">
        <v>10320</v>
      </c>
      <c r="K2741" s="12" t="s">
        <v>12937</v>
      </c>
      <c r="L2741" s="12" t="s">
        <v>12938</v>
      </c>
      <c r="M2741" s="12" t="s">
        <v>12937</v>
      </c>
    </row>
    <row r="2742" spans="1:13" ht="52.8">
      <c r="A2742" s="21" t="s">
        <v>7932</v>
      </c>
      <c r="B2742" s="21" t="s">
        <v>7933</v>
      </c>
      <c r="C2742" s="21" t="s">
        <v>7934</v>
      </c>
      <c r="D2742" s="21" t="s">
        <v>71</v>
      </c>
      <c r="E2742" s="22" t="s">
        <v>7935</v>
      </c>
      <c r="F2742" s="22" t="s">
        <v>7933</v>
      </c>
      <c r="G2742" s="21" t="s">
        <v>7936</v>
      </c>
      <c r="H2742" s="21" t="s">
        <v>7937</v>
      </c>
      <c r="I2742" s="12" t="s">
        <v>8992</v>
      </c>
      <c r="J2742" s="12" t="s">
        <v>10321</v>
      </c>
      <c r="K2742" s="12" t="s">
        <v>12939</v>
      </c>
      <c r="L2742" s="12" t="s">
        <v>12940</v>
      </c>
      <c r="M2742" s="12" t="s">
        <v>12939</v>
      </c>
    </row>
    <row r="2743" spans="1:13" ht="52.8">
      <c r="A2743" s="21" t="s">
        <v>7932</v>
      </c>
      <c r="B2743" s="21" t="s">
        <v>7933</v>
      </c>
      <c r="C2743" s="21" t="s">
        <v>7934</v>
      </c>
      <c r="D2743" s="21" t="s">
        <v>71</v>
      </c>
      <c r="E2743" s="22" t="s">
        <v>7935</v>
      </c>
      <c r="F2743" s="22" t="s">
        <v>7933</v>
      </c>
      <c r="G2743" s="21" t="s">
        <v>7936</v>
      </c>
      <c r="H2743" s="21" t="s">
        <v>7937</v>
      </c>
      <c r="I2743" s="12" t="s">
        <v>8993</v>
      </c>
      <c r="J2743" s="12" t="s">
        <v>10322</v>
      </c>
      <c r="K2743" s="12"/>
      <c r="L2743" s="12" t="s">
        <v>12941</v>
      </c>
      <c r="M2743" s="12" t="s">
        <v>12942</v>
      </c>
    </row>
    <row r="2744" spans="1:13" ht="52.8">
      <c r="A2744" s="21" t="s">
        <v>7932</v>
      </c>
      <c r="B2744" s="21" t="s">
        <v>7933</v>
      </c>
      <c r="C2744" s="21" t="s">
        <v>7934</v>
      </c>
      <c r="D2744" s="21" t="s">
        <v>71</v>
      </c>
      <c r="E2744" s="22" t="s">
        <v>7935</v>
      </c>
      <c r="F2744" s="22" t="s">
        <v>7933</v>
      </c>
      <c r="G2744" s="21" t="s">
        <v>7936</v>
      </c>
      <c r="H2744" s="21" t="s">
        <v>7937</v>
      </c>
      <c r="I2744" s="12" t="s">
        <v>8994</v>
      </c>
      <c r="J2744" s="12" t="s">
        <v>10323</v>
      </c>
      <c r="K2744" s="12"/>
      <c r="L2744" s="12" t="s">
        <v>12943</v>
      </c>
      <c r="M2744" s="12" t="s">
        <v>12944</v>
      </c>
    </row>
    <row r="2745" spans="1:13" ht="52.8">
      <c r="A2745" s="21" t="s">
        <v>7932</v>
      </c>
      <c r="B2745" s="21" t="s">
        <v>7933</v>
      </c>
      <c r="C2745" s="21" t="s">
        <v>7934</v>
      </c>
      <c r="D2745" s="21" t="s">
        <v>71</v>
      </c>
      <c r="E2745" s="22" t="s">
        <v>7935</v>
      </c>
      <c r="F2745" s="22" t="s">
        <v>7933</v>
      </c>
      <c r="G2745" s="21" t="s">
        <v>7936</v>
      </c>
      <c r="H2745" s="21" t="s">
        <v>7937</v>
      </c>
      <c r="I2745" s="12" t="s">
        <v>8995</v>
      </c>
      <c r="J2745" s="12" t="s">
        <v>10324</v>
      </c>
      <c r="K2745" s="12" t="s">
        <v>12945</v>
      </c>
      <c r="L2745" s="12" t="s">
        <v>12946</v>
      </c>
      <c r="M2745" s="12" t="s">
        <v>12945</v>
      </c>
    </row>
    <row r="2746" spans="1:13" ht="79.2">
      <c r="A2746" s="21" t="s">
        <v>7932</v>
      </c>
      <c r="B2746" s="21" t="s">
        <v>7933</v>
      </c>
      <c r="C2746" s="21" t="s">
        <v>7934</v>
      </c>
      <c r="D2746" s="21" t="s">
        <v>71</v>
      </c>
      <c r="E2746" s="22" t="s">
        <v>7935</v>
      </c>
      <c r="F2746" s="22" t="s">
        <v>7933</v>
      </c>
      <c r="G2746" s="21" t="s">
        <v>7936</v>
      </c>
      <c r="H2746" s="21" t="s">
        <v>7937</v>
      </c>
      <c r="I2746" s="12" t="s">
        <v>8996</v>
      </c>
      <c r="J2746" s="12" t="s">
        <v>10325</v>
      </c>
      <c r="K2746" s="12"/>
      <c r="L2746" s="12" t="s">
        <v>12947</v>
      </c>
      <c r="M2746" s="12" t="s">
        <v>12948</v>
      </c>
    </row>
    <row r="2747" spans="1:13" ht="52.8">
      <c r="A2747" s="21" t="s">
        <v>7932</v>
      </c>
      <c r="B2747" s="21" t="s">
        <v>7933</v>
      </c>
      <c r="C2747" s="21" t="s">
        <v>7934</v>
      </c>
      <c r="D2747" s="21" t="s">
        <v>71</v>
      </c>
      <c r="E2747" s="22" t="s">
        <v>7935</v>
      </c>
      <c r="F2747" s="22" t="s">
        <v>7933</v>
      </c>
      <c r="G2747" s="21" t="s">
        <v>7936</v>
      </c>
      <c r="H2747" s="21" t="s">
        <v>7937</v>
      </c>
      <c r="I2747" s="12" t="s">
        <v>8997</v>
      </c>
      <c r="J2747" s="12" t="s">
        <v>10326</v>
      </c>
      <c r="K2747" s="12" t="s">
        <v>12949</v>
      </c>
      <c r="L2747" s="12" t="s">
        <v>12950</v>
      </c>
      <c r="M2747" s="12" t="s">
        <v>12951</v>
      </c>
    </row>
    <row r="2748" spans="1:13" ht="52.8">
      <c r="A2748" s="21" t="s">
        <v>7932</v>
      </c>
      <c r="B2748" s="21" t="s">
        <v>7933</v>
      </c>
      <c r="C2748" s="21" t="s">
        <v>7934</v>
      </c>
      <c r="D2748" s="21" t="s">
        <v>71</v>
      </c>
      <c r="E2748" s="22" t="s">
        <v>7935</v>
      </c>
      <c r="F2748" s="22" t="s">
        <v>7933</v>
      </c>
      <c r="G2748" s="21" t="s">
        <v>7936</v>
      </c>
      <c r="H2748" s="21" t="s">
        <v>7937</v>
      </c>
      <c r="I2748" s="12" t="s">
        <v>8998</v>
      </c>
      <c r="J2748" s="12" t="s">
        <v>10327</v>
      </c>
      <c r="K2748" s="12"/>
      <c r="L2748" s="12" t="s">
        <v>12952</v>
      </c>
      <c r="M2748" s="12" t="s">
        <v>12953</v>
      </c>
    </row>
    <row r="2749" spans="1:13" ht="52.8">
      <c r="A2749" s="21" t="s">
        <v>7932</v>
      </c>
      <c r="B2749" s="21" t="s">
        <v>7933</v>
      </c>
      <c r="C2749" s="21" t="s">
        <v>7934</v>
      </c>
      <c r="D2749" s="21" t="s">
        <v>71</v>
      </c>
      <c r="E2749" s="22" t="s">
        <v>7935</v>
      </c>
      <c r="F2749" s="22" t="s">
        <v>7933</v>
      </c>
      <c r="G2749" s="21" t="s">
        <v>7936</v>
      </c>
      <c r="H2749" s="21" t="s">
        <v>7937</v>
      </c>
      <c r="I2749" s="12" t="s">
        <v>8999</v>
      </c>
      <c r="J2749" s="12" t="s">
        <v>10328</v>
      </c>
      <c r="K2749" s="12" t="s">
        <v>12954</v>
      </c>
      <c r="L2749" s="12" t="s">
        <v>12955</v>
      </c>
      <c r="M2749" s="12" t="s">
        <v>12954</v>
      </c>
    </row>
    <row r="2750" spans="1:13" ht="52.8">
      <c r="A2750" s="21" t="s">
        <v>7932</v>
      </c>
      <c r="B2750" s="21" t="s">
        <v>7933</v>
      </c>
      <c r="C2750" s="21" t="s">
        <v>7934</v>
      </c>
      <c r="D2750" s="21" t="s">
        <v>71</v>
      </c>
      <c r="E2750" s="22" t="s">
        <v>7935</v>
      </c>
      <c r="F2750" s="22" t="s">
        <v>7933</v>
      </c>
      <c r="G2750" s="21" t="s">
        <v>7936</v>
      </c>
      <c r="H2750" s="21" t="s">
        <v>7937</v>
      </c>
      <c r="I2750" s="12" t="s">
        <v>9000</v>
      </c>
      <c r="J2750" s="12" t="s">
        <v>10329</v>
      </c>
      <c r="K2750" s="12"/>
      <c r="L2750" s="12" t="s">
        <v>12956</v>
      </c>
      <c r="M2750" s="12" t="s">
        <v>12957</v>
      </c>
    </row>
    <row r="2751" spans="1:13" ht="52.8">
      <c r="A2751" s="21" t="s">
        <v>7932</v>
      </c>
      <c r="B2751" s="21" t="s">
        <v>7933</v>
      </c>
      <c r="C2751" s="21" t="s">
        <v>7934</v>
      </c>
      <c r="D2751" s="21" t="s">
        <v>71</v>
      </c>
      <c r="E2751" s="22" t="s">
        <v>7935</v>
      </c>
      <c r="F2751" s="22" t="s">
        <v>7933</v>
      </c>
      <c r="G2751" s="21" t="s">
        <v>7936</v>
      </c>
      <c r="H2751" s="21" t="s">
        <v>7937</v>
      </c>
      <c r="I2751" s="12" t="s">
        <v>9001</v>
      </c>
      <c r="J2751" s="12" t="s">
        <v>10330</v>
      </c>
      <c r="K2751" s="12"/>
      <c r="L2751" s="12" t="s">
        <v>12958</v>
      </c>
      <c r="M2751" s="12" t="s">
        <v>12959</v>
      </c>
    </row>
    <row r="2752" spans="1:13" ht="52.8">
      <c r="A2752" s="21" t="s">
        <v>7932</v>
      </c>
      <c r="B2752" s="21" t="s">
        <v>7933</v>
      </c>
      <c r="C2752" s="21" t="s">
        <v>7934</v>
      </c>
      <c r="D2752" s="21" t="s">
        <v>71</v>
      </c>
      <c r="E2752" s="22" t="s">
        <v>7935</v>
      </c>
      <c r="F2752" s="22" t="s">
        <v>7933</v>
      </c>
      <c r="G2752" s="21" t="s">
        <v>7936</v>
      </c>
      <c r="H2752" s="21" t="s">
        <v>7937</v>
      </c>
      <c r="I2752" s="12" t="s">
        <v>9002</v>
      </c>
      <c r="J2752" s="12" t="s">
        <v>10331</v>
      </c>
      <c r="K2752" s="12"/>
      <c r="L2752" s="12" t="s">
        <v>12960</v>
      </c>
      <c r="M2752" s="12" t="s">
        <v>12961</v>
      </c>
    </row>
    <row r="2753" spans="1:13" ht="52.8">
      <c r="A2753" s="21" t="s">
        <v>7932</v>
      </c>
      <c r="B2753" s="21" t="s">
        <v>7933</v>
      </c>
      <c r="C2753" s="21" t="s">
        <v>7934</v>
      </c>
      <c r="D2753" s="21" t="s">
        <v>71</v>
      </c>
      <c r="E2753" s="22" t="s">
        <v>7935</v>
      </c>
      <c r="F2753" s="22" t="s">
        <v>7933</v>
      </c>
      <c r="G2753" s="21" t="s">
        <v>7936</v>
      </c>
      <c r="H2753" s="21" t="s">
        <v>7937</v>
      </c>
      <c r="I2753" s="12" t="s">
        <v>9003</v>
      </c>
      <c r="J2753" s="12" t="s">
        <v>10332</v>
      </c>
      <c r="K2753" s="12"/>
      <c r="L2753" s="12" t="s">
        <v>12962</v>
      </c>
      <c r="M2753" s="12" t="s">
        <v>12963</v>
      </c>
    </row>
    <row r="2754" spans="1:13" ht="52.8">
      <c r="A2754" s="21" t="s">
        <v>7932</v>
      </c>
      <c r="B2754" s="21" t="s">
        <v>7933</v>
      </c>
      <c r="C2754" s="21" t="s">
        <v>7934</v>
      </c>
      <c r="D2754" s="21" t="s">
        <v>71</v>
      </c>
      <c r="E2754" s="22" t="s">
        <v>7935</v>
      </c>
      <c r="F2754" s="22" t="s">
        <v>7933</v>
      </c>
      <c r="G2754" s="21" t="s">
        <v>7936</v>
      </c>
      <c r="H2754" s="21" t="s">
        <v>7937</v>
      </c>
      <c r="I2754" s="12" t="s">
        <v>9004</v>
      </c>
      <c r="J2754" s="12" t="s">
        <v>10333</v>
      </c>
      <c r="K2754" s="12"/>
      <c r="L2754" s="12" t="s">
        <v>12964</v>
      </c>
      <c r="M2754" s="12" t="s">
        <v>12965</v>
      </c>
    </row>
    <row r="2755" spans="1:13" ht="52.8">
      <c r="A2755" s="21" t="s">
        <v>7932</v>
      </c>
      <c r="B2755" s="21" t="s">
        <v>7933</v>
      </c>
      <c r="C2755" s="21" t="s">
        <v>7934</v>
      </c>
      <c r="D2755" s="21" t="s">
        <v>71</v>
      </c>
      <c r="E2755" s="22" t="s">
        <v>7935</v>
      </c>
      <c r="F2755" s="22" t="s">
        <v>7933</v>
      </c>
      <c r="G2755" s="21" t="s">
        <v>7936</v>
      </c>
      <c r="H2755" s="21" t="s">
        <v>7937</v>
      </c>
      <c r="I2755" s="12" t="s">
        <v>9005</v>
      </c>
      <c r="J2755" s="12" t="s">
        <v>10334</v>
      </c>
      <c r="K2755" s="12"/>
      <c r="L2755" s="12" t="s">
        <v>12966</v>
      </c>
      <c r="M2755" s="12" t="s">
        <v>12967</v>
      </c>
    </row>
    <row r="2756" spans="1:13" ht="52.8">
      <c r="A2756" s="21" t="s">
        <v>7932</v>
      </c>
      <c r="B2756" s="21" t="s">
        <v>7933</v>
      </c>
      <c r="C2756" s="21" t="s">
        <v>7934</v>
      </c>
      <c r="D2756" s="21" t="s">
        <v>71</v>
      </c>
      <c r="E2756" s="22" t="s">
        <v>7935</v>
      </c>
      <c r="F2756" s="22" t="s">
        <v>7933</v>
      </c>
      <c r="G2756" s="21" t="s">
        <v>7936</v>
      </c>
      <c r="H2756" s="21" t="s">
        <v>7937</v>
      </c>
      <c r="I2756" s="12" t="s">
        <v>9006</v>
      </c>
      <c r="J2756" s="12" t="s">
        <v>10335</v>
      </c>
      <c r="K2756" s="12" t="s">
        <v>12968</v>
      </c>
      <c r="L2756" s="12" t="s">
        <v>12969</v>
      </c>
      <c r="M2756" s="12" t="s">
        <v>12970</v>
      </c>
    </row>
    <row r="2757" spans="1:13" ht="52.8">
      <c r="A2757" s="21" t="s">
        <v>7932</v>
      </c>
      <c r="B2757" s="21" t="s">
        <v>7933</v>
      </c>
      <c r="C2757" s="21" t="s">
        <v>7934</v>
      </c>
      <c r="D2757" s="21" t="s">
        <v>71</v>
      </c>
      <c r="E2757" s="22" t="s">
        <v>7935</v>
      </c>
      <c r="F2757" s="22" t="s">
        <v>7933</v>
      </c>
      <c r="G2757" s="21" t="s">
        <v>7936</v>
      </c>
      <c r="H2757" s="21" t="s">
        <v>7937</v>
      </c>
      <c r="I2757" s="12" t="s">
        <v>9007</v>
      </c>
      <c r="J2757" s="12" t="s">
        <v>10336</v>
      </c>
      <c r="K2757" s="12"/>
      <c r="L2757" s="12" t="s">
        <v>12971</v>
      </c>
      <c r="M2757" s="12" t="s">
        <v>12972</v>
      </c>
    </row>
    <row r="2758" spans="1:13" ht="52.8">
      <c r="A2758" s="21" t="s">
        <v>7932</v>
      </c>
      <c r="B2758" s="21" t="s">
        <v>7933</v>
      </c>
      <c r="C2758" s="21" t="s">
        <v>7934</v>
      </c>
      <c r="D2758" s="21" t="s">
        <v>71</v>
      </c>
      <c r="E2758" s="22" t="s">
        <v>7935</v>
      </c>
      <c r="F2758" s="22" t="s">
        <v>7933</v>
      </c>
      <c r="G2758" s="21" t="s">
        <v>7936</v>
      </c>
      <c r="H2758" s="21" t="s">
        <v>7937</v>
      </c>
      <c r="I2758" s="12" t="s">
        <v>9008</v>
      </c>
      <c r="J2758" s="12" t="s">
        <v>10337</v>
      </c>
      <c r="K2758" s="12"/>
      <c r="L2758" s="12" t="s">
        <v>12973</v>
      </c>
      <c r="M2758" s="12" t="s">
        <v>12974</v>
      </c>
    </row>
    <row r="2759" spans="1:13" ht="52.8">
      <c r="A2759" s="21" t="s">
        <v>7932</v>
      </c>
      <c r="B2759" s="21" t="s">
        <v>7933</v>
      </c>
      <c r="C2759" s="21" t="s">
        <v>7934</v>
      </c>
      <c r="D2759" s="21" t="s">
        <v>71</v>
      </c>
      <c r="E2759" s="22" t="s">
        <v>7935</v>
      </c>
      <c r="F2759" s="22" t="s">
        <v>7933</v>
      </c>
      <c r="G2759" s="21" t="s">
        <v>7936</v>
      </c>
      <c r="H2759" s="21" t="s">
        <v>7937</v>
      </c>
      <c r="I2759" s="12" t="s">
        <v>9009</v>
      </c>
      <c r="J2759" s="12" t="s">
        <v>10338</v>
      </c>
      <c r="K2759" s="12"/>
      <c r="L2759" s="12" t="s">
        <v>12975</v>
      </c>
      <c r="M2759" s="12" t="s">
        <v>12976</v>
      </c>
    </row>
    <row r="2760" spans="1:13" ht="52.8">
      <c r="A2760" s="21" t="s">
        <v>7932</v>
      </c>
      <c r="B2760" s="21" t="s">
        <v>7933</v>
      </c>
      <c r="C2760" s="21" t="s">
        <v>7934</v>
      </c>
      <c r="D2760" s="21" t="s">
        <v>71</v>
      </c>
      <c r="E2760" s="22" t="s">
        <v>7935</v>
      </c>
      <c r="F2760" s="22" t="s">
        <v>7933</v>
      </c>
      <c r="G2760" s="21" t="s">
        <v>7936</v>
      </c>
      <c r="H2760" s="21" t="s">
        <v>7937</v>
      </c>
      <c r="I2760" s="12" t="s">
        <v>9010</v>
      </c>
      <c r="J2760" s="12" t="s">
        <v>10339</v>
      </c>
      <c r="K2760" s="12"/>
      <c r="L2760" s="12" t="s">
        <v>12977</v>
      </c>
      <c r="M2760" s="12" t="s">
        <v>12978</v>
      </c>
    </row>
    <row r="2761" spans="1:13" ht="66">
      <c r="A2761" s="21" t="s">
        <v>7932</v>
      </c>
      <c r="B2761" s="21" t="s">
        <v>7933</v>
      </c>
      <c r="C2761" s="21" t="s">
        <v>7934</v>
      </c>
      <c r="D2761" s="21" t="s">
        <v>71</v>
      </c>
      <c r="E2761" s="22" t="s">
        <v>7935</v>
      </c>
      <c r="F2761" s="22" t="s">
        <v>7933</v>
      </c>
      <c r="G2761" s="21" t="s">
        <v>7936</v>
      </c>
      <c r="H2761" s="21" t="s">
        <v>7937</v>
      </c>
      <c r="I2761" s="12" t="s">
        <v>9011</v>
      </c>
      <c r="J2761" s="12" t="s">
        <v>10340</v>
      </c>
      <c r="K2761" s="12" t="s">
        <v>12979</v>
      </c>
      <c r="L2761" s="12" t="s">
        <v>12980</v>
      </c>
      <c r="M2761" s="12" t="s">
        <v>12981</v>
      </c>
    </row>
    <row r="2762" spans="1:13" ht="79.2">
      <c r="A2762" s="21" t="s">
        <v>7932</v>
      </c>
      <c r="B2762" s="21" t="s">
        <v>7933</v>
      </c>
      <c r="C2762" s="21" t="s">
        <v>7934</v>
      </c>
      <c r="D2762" s="21" t="s">
        <v>71</v>
      </c>
      <c r="E2762" s="22" t="s">
        <v>7935</v>
      </c>
      <c r="F2762" s="22" t="s">
        <v>7933</v>
      </c>
      <c r="G2762" s="21" t="s">
        <v>7936</v>
      </c>
      <c r="H2762" s="21" t="s">
        <v>7937</v>
      </c>
      <c r="I2762" s="12" t="s">
        <v>9012</v>
      </c>
      <c r="J2762" s="12" t="s">
        <v>10341</v>
      </c>
      <c r="K2762" s="12" t="s">
        <v>12982</v>
      </c>
      <c r="L2762" s="12" t="s">
        <v>12983</v>
      </c>
      <c r="M2762" s="12" t="s">
        <v>12984</v>
      </c>
    </row>
    <row r="2763" spans="1:13" ht="66">
      <c r="A2763" s="21" t="s">
        <v>7932</v>
      </c>
      <c r="B2763" s="21" t="s">
        <v>7933</v>
      </c>
      <c r="C2763" s="21" t="s">
        <v>7934</v>
      </c>
      <c r="D2763" s="21" t="s">
        <v>71</v>
      </c>
      <c r="E2763" s="22" t="s">
        <v>7935</v>
      </c>
      <c r="F2763" s="22" t="s">
        <v>7933</v>
      </c>
      <c r="G2763" s="21" t="s">
        <v>7936</v>
      </c>
      <c r="H2763" s="21" t="s">
        <v>7937</v>
      </c>
      <c r="I2763" s="12" t="s">
        <v>9013</v>
      </c>
      <c r="J2763" s="12" t="s">
        <v>10342</v>
      </c>
      <c r="K2763" s="12" t="s">
        <v>12985</v>
      </c>
      <c r="L2763" s="12" t="s">
        <v>12986</v>
      </c>
      <c r="M2763" s="12" t="s">
        <v>12987</v>
      </c>
    </row>
    <row r="2764" spans="1:13" ht="66">
      <c r="A2764" s="21" t="s">
        <v>7932</v>
      </c>
      <c r="B2764" s="21" t="s">
        <v>7933</v>
      </c>
      <c r="C2764" s="21" t="s">
        <v>7934</v>
      </c>
      <c r="D2764" s="21" t="s">
        <v>71</v>
      </c>
      <c r="E2764" s="22" t="s">
        <v>7935</v>
      </c>
      <c r="F2764" s="22" t="s">
        <v>7933</v>
      </c>
      <c r="G2764" s="21" t="s">
        <v>7936</v>
      </c>
      <c r="H2764" s="21" t="s">
        <v>7937</v>
      </c>
      <c r="I2764" s="12" t="s">
        <v>9014</v>
      </c>
      <c r="J2764" s="12" t="s">
        <v>10343</v>
      </c>
      <c r="K2764" s="12" t="s">
        <v>12988</v>
      </c>
      <c r="L2764" s="12" t="s">
        <v>12989</v>
      </c>
      <c r="M2764" s="12" t="s">
        <v>12990</v>
      </c>
    </row>
    <row r="2765" spans="1:13" ht="66">
      <c r="A2765" s="21" t="s">
        <v>7932</v>
      </c>
      <c r="B2765" s="21" t="s">
        <v>7933</v>
      </c>
      <c r="C2765" s="21" t="s">
        <v>7934</v>
      </c>
      <c r="D2765" s="21" t="s">
        <v>71</v>
      </c>
      <c r="E2765" s="22" t="s">
        <v>7935</v>
      </c>
      <c r="F2765" s="22" t="s">
        <v>7933</v>
      </c>
      <c r="G2765" s="21" t="s">
        <v>7936</v>
      </c>
      <c r="H2765" s="21" t="s">
        <v>7937</v>
      </c>
      <c r="I2765" s="12" t="s">
        <v>9015</v>
      </c>
      <c r="J2765" s="12" t="s">
        <v>10344</v>
      </c>
      <c r="K2765" s="12"/>
      <c r="L2765" s="12" t="s">
        <v>12991</v>
      </c>
      <c r="M2765" s="12" t="s">
        <v>12992</v>
      </c>
    </row>
    <row r="2766" spans="1:13" ht="52.8">
      <c r="A2766" s="21" t="s">
        <v>7932</v>
      </c>
      <c r="B2766" s="21" t="s">
        <v>7933</v>
      </c>
      <c r="C2766" s="21" t="s">
        <v>7934</v>
      </c>
      <c r="D2766" s="21" t="s">
        <v>71</v>
      </c>
      <c r="E2766" s="22" t="s">
        <v>7935</v>
      </c>
      <c r="F2766" s="22" t="s">
        <v>7933</v>
      </c>
      <c r="G2766" s="21" t="s">
        <v>7936</v>
      </c>
      <c r="H2766" s="21" t="s">
        <v>7937</v>
      </c>
      <c r="I2766" s="12" t="s">
        <v>9016</v>
      </c>
      <c r="J2766" s="12" t="s">
        <v>10345</v>
      </c>
      <c r="K2766" s="12" t="s">
        <v>12993</v>
      </c>
      <c r="L2766" s="12" t="s">
        <v>12994</v>
      </c>
      <c r="M2766" s="12" t="s">
        <v>12995</v>
      </c>
    </row>
    <row r="2767" spans="1:13" ht="52.8">
      <c r="A2767" s="21" t="s">
        <v>7932</v>
      </c>
      <c r="B2767" s="21" t="s">
        <v>7933</v>
      </c>
      <c r="C2767" s="21" t="s">
        <v>7934</v>
      </c>
      <c r="D2767" s="21" t="s">
        <v>71</v>
      </c>
      <c r="E2767" s="22" t="s">
        <v>7935</v>
      </c>
      <c r="F2767" s="22" t="s">
        <v>7933</v>
      </c>
      <c r="G2767" s="21" t="s">
        <v>7936</v>
      </c>
      <c r="H2767" s="21" t="s">
        <v>7937</v>
      </c>
      <c r="I2767" s="12" t="s">
        <v>9017</v>
      </c>
      <c r="J2767" s="12" t="s">
        <v>10346</v>
      </c>
      <c r="K2767" s="12"/>
      <c r="L2767" s="12" t="s">
        <v>12996</v>
      </c>
      <c r="M2767" s="12" t="s">
        <v>12997</v>
      </c>
    </row>
    <row r="2768" spans="1:13" ht="52.8">
      <c r="A2768" s="21" t="s">
        <v>7932</v>
      </c>
      <c r="B2768" s="21" t="s">
        <v>7933</v>
      </c>
      <c r="C2768" s="21" t="s">
        <v>7934</v>
      </c>
      <c r="D2768" s="21" t="s">
        <v>71</v>
      </c>
      <c r="E2768" s="22" t="s">
        <v>7935</v>
      </c>
      <c r="F2768" s="22" t="s">
        <v>7933</v>
      </c>
      <c r="G2768" s="21" t="s">
        <v>7936</v>
      </c>
      <c r="H2768" s="21" t="s">
        <v>7937</v>
      </c>
      <c r="I2768" s="12" t="s">
        <v>9018</v>
      </c>
      <c r="J2768" s="12" t="s">
        <v>10347</v>
      </c>
      <c r="K2768" s="12"/>
      <c r="L2768" s="12" t="s">
        <v>12998</v>
      </c>
      <c r="M2768" s="12" t="s">
        <v>12999</v>
      </c>
    </row>
    <row r="2769" spans="1:13" ht="66">
      <c r="A2769" s="21" t="s">
        <v>7932</v>
      </c>
      <c r="B2769" s="21" t="s">
        <v>7933</v>
      </c>
      <c r="C2769" s="21" t="s">
        <v>7934</v>
      </c>
      <c r="D2769" s="21" t="s">
        <v>71</v>
      </c>
      <c r="E2769" s="22" t="s">
        <v>7935</v>
      </c>
      <c r="F2769" s="22" t="s">
        <v>7933</v>
      </c>
      <c r="G2769" s="21" t="s">
        <v>7936</v>
      </c>
      <c r="H2769" s="21" t="s">
        <v>7937</v>
      </c>
      <c r="I2769" s="12" t="s">
        <v>9019</v>
      </c>
      <c r="J2769" s="12" t="s">
        <v>10348</v>
      </c>
      <c r="K2769" s="12"/>
      <c r="L2769" s="12" t="s">
        <v>13000</v>
      </c>
      <c r="M2769" s="12" t="s">
        <v>13001</v>
      </c>
    </row>
    <row r="2770" spans="1:13" ht="52.8">
      <c r="A2770" s="21" t="s">
        <v>7932</v>
      </c>
      <c r="B2770" s="21" t="s">
        <v>7933</v>
      </c>
      <c r="C2770" s="21" t="s">
        <v>7934</v>
      </c>
      <c r="D2770" s="21" t="s">
        <v>71</v>
      </c>
      <c r="E2770" s="22" t="s">
        <v>7935</v>
      </c>
      <c r="F2770" s="22" t="s">
        <v>7933</v>
      </c>
      <c r="G2770" s="21" t="s">
        <v>7936</v>
      </c>
      <c r="H2770" s="21" t="s">
        <v>7937</v>
      </c>
      <c r="I2770" s="12" t="s">
        <v>9020</v>
      </c>
      <c r="J2770" s="12" t="s">
        <v>10349</v>
      </c>
      <c r="K2770" s="12"/>
      <c r="L2770" s="12" t="s">
        <v>13002</v>
      </c>
      <c r="M2770" s="12" t="s">
        <v>13003</v>
      </c>
    </row>
    <row r="2771" spans="1:13" ht="52.8">
      <c r="A2771" s="21" t="s">
        <v>7932</v>
      </c>
      <c r="B2771" s="21" t="s">
        <v>7933</v>
      </c>
      <c r="C2771" s="21" t="s">
        <v>7934</v>
      </c>
      <c r="D2771" s="21" t="s">
        <v>71</v>
      </c>
      <c r="E2771" s="22" t="s">
        <v>7935</v>
      </c>
      <c r="F2771" s="22" t="s">
        <v>7933</v>
      </c>
      <c r="G2771" s="21" t="s">
        <v>7936</v>
      </c>
      <c r="H2771" s="21" t="s">
        <v>7937</v>
      </c>
      <c r="I2771" s="12" t="s">
        <v>9021</v>
      </c>
      <c r="J2771" s="12" t="s">
        <v>10350</v>
      </c>
      <c r="K2771" s="12"/>
      <c r="L2771" s="12" t="s">
        <v>13004</v>
      </c>
      <c r="M2771" s="12" t="s">
        <v>13005</v>
      </c>
    </row>
    <row r="2772" spans="1:13" ht="52.8">
      <c r="A2772" s="21" t="s">
        <v>7932</v>
      </c>
      <c r="B2772" s="21" t="s">
        <v>7933</v>
      </c>
      <c r="C2772" s="21" t="s">
        <v>7934</v>
      </c>
      <c r="D2772" s="21" t="s">
        <v>71</v>
      </c>
      <c r="E2772" s="22" t="s">
        <v>7935</v>
      </c>
      <c r="F2772" s="22" t="s">
        <v>7933</v>
      </c>
      <c r="G2772" s="21" t="s">
        <v>7936</v>
      </c>
      <c r="H2772" s="21" t="s">
        <v>7937</v>
      </c>
      <c r="I2772" s="12" t="s">
        <v>9022</v>
      </c>
      <c r="J2772" s="12" t="s">
        <v>10351</v>
      </c>
      <c r="K2772" s="12" t="s">
        <v>13006</v>
      </c>
      <c r="L2772" s="12" t="s">
        <v>13007</v>
      </c>
      <c r="M2772" s="12" t="s">
        <v>13006</v>
      </c>
    </row>
    <row r="2773" spans="1:13" ht="52.8">
      <c r="A2773" s="21" t="s">
        <v>7932</v>
      </c>
      <c r="B2773" s="21" t="s">
        <v>7933</v>
      </c>
      <c r="C2773" s="21" t="s">
        <v>7934</v>
      </c>
      <c r="D2773" s="21" t="s">
        <v>71</v>
      </c>
      <c r="E2773" s="22" t="s">
        <v>7935</v>
      </c>
      <c r="F2773" s="22" t="s">
        <v>7933</v>
      </c>
      <c r="G2773" s="21" t="s">
        <v>7936</v>
      </c>
      <c r="H2773" s="21" t="s">
        <v>7937</v>
      </c>
      <c r="I2773" s="12" t="s">
        <v>9023</v>
      </c>
      <c r="J2773" s="12" t="s">
        <v>10352</v>
      </c>
      <c r="K2773" s="12" t="s">
        <v>13008</v>
      </c>
      <c r="L2773" s="12" t="s">
        <v>13009</v>
      </c>
      <c r="M2773" s="12" t="s">
        <v>13008</v>
      </c>
    </row>
    <row r="2774" spans="1:13" ht="52.8">
      <c r="A2774" s="21" t="s">
        <v>7932</v>
      </c>
      <c r="B2774" s="21" t="s">
        <v>7933</v>
      </c>
      <c r="C2774" s="21" t="s">
        <v>7934</v>
      </c>
      <c r="D2774" s="21" t="s">
        <v>71</v>
      </c>
      <c r="E2774" s="22" t="s">
        <v>7935</v>
      </c>
      <c r="F2774" s="22" t="s">
        <v>7933</v>
      </c>
      <c r="G2774" s="21" t="s">
        <v>7936</v>
      </c>
      <c r="H2774" s="21" t="s">
        <v>7937</v>
      </c>
      <c r="I2774" s="12" t="s">
        <v>9024</v>
      </c>
      <c r="J2774" s="12" t="s">
        <v>10353</v>
      </c>
      <c r="K2774" s="12" t="s">
        <v>13010</v>
      </c>
      <c r="L2774" s="12" t="s">
        <v>13011</v>
      </c>
      <c r="M2774" s="12" t="s">
        <v>13012</v>
      </c>
    </row>
    <row r="2775" spans="1:13" ht="52.8">
      <c r="A2775" s="21" t="s">
        <v>7932</v>
      </c>
      <c r="B2775" s="21" t="s">
        <v>7933</v>
      </c>
      <c r="C2775" s="21" t="s">
        <v>7934</v>
      </c>
      <c r="D2775" s="21" t="s">
        <v>71</v>
      </c>
      <c r="E2775" s="22" t="s">
        <v>7935</v>
      </c>
      <c r="F2775" s="22" t="s">
        <v>7933</v>
      </c>
      <c r="G2775" s="21" t="s">
        <v>7936</v>
      </c>
      <c r="H2775" s="21" t="s">
        <v>7937</v>
      </c>
      <c r="I2775" s="12" t="s">
        <v>9025</v>
      </c>
      <c r="J2775" s="12" t="s">
        <v>10354</v>
      </c>
      <c r="K2775" s="12" t="s">
        <v>13013</v>
      </c>
      <c r="L2775" s="12" t="s">
        <v>13014</v>
      </c>
      <c r="M2775" s="12" t="s">
        <v>13013</v>
      </c>
    </row>
    <row r="2776" spans="1:13" ht="52.8">
      <c r="A2776" s="21" t="s">
        <v>7932</v>
      </c>
      <c r="B2776" s="21" t="s">
        <v>7933</v>
      </c>
      <c r="C2776" s="21" t="s">
        <v>7934</v>
      </c>
      <c r="D2776" s="21" t="s">
        <v>71</v>
      </c>
      <c r="E2776" s="22" t="s">
        <v>7935</v>
      </c>
      <c r="F2776" s="22" t="s">
        <v>7933</v>
      </c>
      <c r="G2776" s="21" t="s">
        <v>7936</v>
      </c>
      <c r="H2776" s="21" t="s">
        <v>7937</v>
      </c>
      <c r="I2776" s="12" t="s">
        <v>9026</v>
      </c>
      <c r="J2776" s="12" t="s">
        <v>10355</v>
      </c>
      <c r="K2776" s="12"/>
      <c r="L2776" s="12" t="s">
        <v>13015</v>
      </c>
      <c r="M2776" s="12" t="s">
        <v>13016</v>
      </c>
    </row>
    <row r="2777" spans="1:13" ht="52.8">
      <c r="A2777" s="21" t="s">
        <v>7932</v>
      </c>
      <c r="B2777" s="21" t="s">
        <v>7933</v>
      </c>
      <c r="C2777" s="21" t="s">
        <v>7934</v>
      </c>
      <c r="D2777" s="21" t="s">
        <v>71</v>
      </c>
      <c r="E2777" s="22" t="s">
        <v>7935</v>
      </c>
      <c r="F2777" s="22" t="s">
        <v>7933</v>
      </c>
      <c r="G2777" s="21" t="s">
        <v>7936</v>
      </c>
      <c r="H2777" s="21" t="s">
        <v>7937</v>
      </c>
      <c r="I2777" s="12" t="s">
        <v>9027</v>
      </c>
      <c r="J2777" s="12" t="s">
        <v>10356</v>
      </c>
      <c r="K2777" s="12"/>
      <c r="L2777" s="12" t="s">
        <v>13017</v>
      </c>
      <c r="M2777" s="12" t="s">
        <v>13018</v>
      </c>
    </row>
    <row r="2778" spans="1:13" ht="52.8">
      <c r="A2778" s="21" t="s">
        <v>7932</v>
      </c>
      <c r="B2778" s="21" t="s">
        <v>7933</v>
      </c>
      <c r="C2778" s="21" t="s">
        <v>7934</v>
      </c>
      <c r="D2778" s="21" t="s">
        <v>71</v>
      </c>
      <c r="E2778" s="22" t="s">
        <v>7935</v>
      </c>
      <c r="F2778" s="22" t="s">
        <v>7933</v>
      </c>
      <c r="G2778" s="21" t="s">
        <v>7936</v>
      </c>
      <c r="H2778" s="21" t="s">
        <v>7937</v>
      </c>
      <c r="I2778" s="12" t="s">
        <v>9028</v>
      </c>
      <c r="J2778" s="12" t="s">
        <v>10357</v>
      </c>
      <c r="K2778" s="12"/>
      <c r="L2778" s="12" t="s">
        <v>13019</v>
      </c>
      <c r="M2778" s="12" t="s">
        <v>13020</v>
      </c>
    </row>
    <row r="2779" spans="1:13" ht="52.8">
      <c r="A2779" s="21" t="s">
        <v>7932</v>
      </c>
      <c r="B2779" s="21" t="s">
        <v>7933</v>
      </c>
      <c r="C2779" s="21" t="s">
        <v>7934</v>
      </c>
      <c r="D2779" s="21" t="s">
        <v>71</v>
      </c>
      <c r="E2779" s="22" t="s">
        <v>7935</v>
      </c>
      <c r="F2779" s="22" t="s">
        <v>7933</v>
      </c>
      <c r="G2779" s="21" t="s">
        <v>7936</v>
      </c>
      <c r="H2779" s="21" t="s">
        <v>7937</v>
      </c>
      <c r="I2779" s="12" t="s">
        <v>9029</v>
      </c>
      <c r="J2779" s="12" t="s">
        <v>10358</v>
      </c>
      <c r="K2779" s="12"/>
      <c r="L2779" s="12" t="s">
        <v>13021</v>
      </c>
      <c r="M2779" s="12" t="s">
        <v>13022</v>
      </c>
    </row>
    <row r="2780" spans="1:13" ht="52.8">
      <c r="A2780" s="21" t="s">
        <v>7932</v>
      </c>
      <c r="B2780" s="21" t="s">
        <v>7933</v>
      </c>
      <c r="C2780" s="21" t="s">
        <v>7934</v>
      </c>
      <c r="D2780" s="21" t="s">
        <v>71</v>
      </c>
      <c r="E2780" s="22" t="s">
        <v>7935</v>
      </c>
      <c r="F2780" s="22" t="s">
        <v>7933</v>
      </c>
      <c r="G2780" s="21" t="s">
        <v>7936</v>
      </c>
      <c r="H2780" s="21" t="s">
        <v>7937</v>
      </c>
      <c r="I2780" s="12" t="s">
        <v>9030</v>
      </c>
      <c r="J2780" s="12" t="s">
        <v>10359</v>
      </c>
      <c r="K2780" s="12"/>
      <c r="L2780" s="12" t="s">
        <v>13023</v>
      </c>
      <c r="M2780" s="12" t="s">
        <v>13024</v>
      </c>
    </row>
    <row r="2781" spans="1:13" ht="52.8">
      <c r="A2781" s="21" t="s">
        <v>7932</v>
      </c>
      <c r="B2781" s="21" t="s">
        <v>7933</v>
      </c>
      <c r="C2781" s="21" t="s">
        <v>7934</v>
      </c>
      <c r="D2781" s="21" t="s">
        <v>71</v>
      </c>
      <c r="E2781" s="22" t="s">
        <v>7935</v>
      </c>
      <c r="F2781" s="22" t="s">
        <v>7933</v>
      </c>
      <c r="G2781" s="21" t="s">
        <v>7936</v>
      </c>
      <c r="H2781" s="21" t="s">
        <v>7937</v>
      </c>
      <c r="I2781" s="12" t="s">
        <v>9031</v>
      </c>
      <c r="J2781" s="12" t="s">
        <v>10360</v>
      </c>
      <c r="K2781" s="12"/>
      <c r="L2781" s="12" t="s">
        <v>13025</v>
      </c>
      <c r="M2781" s="12" t="s">
        <v>13026</v>
      </c>
    </row>
    <row r="2782" spans="1:13" ht="52.8">
      <c r="A2782" s="21" t="s">
        <v>7932</v>
      </c>
      <c r="B2782" s="21" t="s">
        <v>7933</v>
      </c>
      <c r="C2782" s="21" t="s">
        <v>7934</v>
      </c>
      <c r="D2782" s="21" t="s">
        <v>71</v>
      </c>
      <c r="E2782" s="22" t="s">
        <v>7935</v>
      </c>
      <c r="F2782" s="22" t="s">
        <v>7933</v>
      </c>
      <c r="G2782" s="21" t="s">
        <v>7936</v>
      </c>
      <c r="H2782" s="21" t="s">
        <v>7937</v>
      </c>
      <c r="I2782" s="12" t="s">
        <v>9032</v>
      </c>
      <c r="J2782" s="12" t="s">
        <v>10361</v>
      </c>
      <c r="K2782" s="12"/>
      <c r="L2782" s="12" t="s">
        <v>13027</v>
      </c>
      <c r="M2782" s="12" t="s">
        <v>13028</v>
      </c>
    </row>
    <row r="2783" spans="1:13" ht="52.8">
      <c r="A2783" s="21" t="s">
        <v>7932</v>
      </c>
      <c r="B2783" s="21" t="s">
        <v>7933</v>
      </c>
      <c r="C2783" s="21" t="s">
        <v>7934</v>
      </c>
      <c r="D2783" s="21" t="s">
        <v>71</v>
      </c>
      <c r="E2783" s="22" t="s">
        <v>7935</v>
      </c>
      <c r="F2783" s="22" t="s">
        <v>7933</v>
      </c>
      <c r="G2783" s="21" t="s">
        <v>7936</v>
      </c>
      <c r="H2783" s="21" t="s">
        <v>7937</v>
      </c>
      <c r="I2783" s="12" t="s">
        <v>9033</v>
      </c>
      <c r="J2783" s="12" t="s">
        <v>10362</v>
      </c>
      <c r="K2783" s="12"/>
      <c r="L2783" s="12" t="s">
        <v>13029</v>
      </c>
      <c r="M2783" s="12" t="s">
        <v>13030</v>
      </c>
    </row>
    <row r="2784" spans="1:13" ht="52.8">
      <c r="A2784" s="21" t="s">
        <v>7932</v>
      </c>
      <c r="B2784" s="21" t="s">
        <v>7933</v>
      </c>
      <c r="C2784" s="21" t="s">
        <v>7934</v>
      </c>
      <c r="D2784" s="21" t="s">
        <v>71</v>
      </c>
      <c r="E2784" s="22" t="s">
        <v>7935</v>
      </c>
      <c r="F2784" s="22" t="s">
        <v>7933</v>
      </c>
      <c r="G2784" s="21" t="s">
        <v>7936</v>
      </c>
      <c r="H2784" s="21" t="s">
        <v>7937</v>
      </c>
      <c r="I2784" s="12" t="s">
        <v>9034</v>
      </c>
      <c r="J2784" s="12" t="s">
        <v>10363</v>
      </c>
      <c r="K2784" s="12"/>
      <c r="L2784" s="12" t="s">
        <v>13031</v>
      </c>
      <c r="M2784" s="12" t="s">
        <v>13032</v>
      </c>
    </row>
    <row r="2785" spans="1:13" ht="52.8">
      <c r="A2785" s="21" t="s">
        <v>7932</v>
      </c>
      <c r="B2785" s="21" t="s">
        <v>7933</v>
      </c>
      <c r="C2785" s="21" t="s">
        <v>7934</v>
      </c>
      <c r="D2785" s="21" t="s">
        <v>71</v>
      </c>
      <c r="E2785" s="22" t="s">
        <v>7935</v>
      </c>
      <c r="F2785" s="22" t="s">
        <v>7933</v>
      </c>
      <c r="G2785" s="21" t="s">
        <v>7936</v>
      </c>
      <c r="H2785" s="21" t="s">
        <v>7937</v>
      </c>
      <c r="I2785" s="12" t="s">
        <v>9035</v>
      </c>
      <c r="J2785" s="12" t="s">
        <v>10364</v>
      </c>
      <c r="K2785" s="12"/>
      <c r="L2785" s="12" t="s">
        <v>13033</v>
      </c>
      <c r="M2785" s="12" t="s">
        <v>13034</v>
      </c>
    </row>
    <row r="2786" spans="1:13" ht="52.8">
      <c r="A2786" s="21" t="s">
        <v>7932</v>
      </c>
      <c r="B2786" s="21" t="s">
        <v>7933</v>
      </c>
      <c r="C2786" s="21" t="s">
        <v>7934</v>
      </c>
      <c r="D2786" s="21" t="s">
        <v>71</v>
      </c>
      <c r="E2786" s="22" t="s">
        <v>7935</v>
      </c>
      <c r="F2786" s="22" t="s">
        <v>7933</v>
      </c>
      <c r="G2786" s="21" t="s">
        <v>7936</v>
      </c>
      <c r="H2786" s="21" t="s">
        <v>7937</v>
      </c>
      <c r="I2786" s="12" t="s">
        <v>9036</v>
      </c>
      <c r="J2786" s="12" t="s">
        <v>10365</v>
      </c>
      <c r="K2786" s="12"/>
      <c r="L2786" s="12" t="s">
        <v>13035</v>
      </c>
      <c r="M2786" s="12" t="s">
        <v>13036</v>
      </c>
    </row>
    <row r="2787" spans="1:13" ht="52.8">
      <c r="A2787" s="21" t="s">
        <v>7932</v>
      </c>
      <c r="B2787" s="21" t="s">
        <v>7933</v>
      </c>
      <c r="C2787" s="21" t="s">
        <v>7934</v>
      </c>
      <c r="D2787" s="21" t="s">
        <v>71</v>
      </c>
      <c r="E2787" s="22" t="s">
        <v>7935</v>
      </c>
      <c r="F2787" s="22" t="s">
        <v>7933</v>
      </c>
      <c r="G2787" s="21" t="s">
        <v>7936</v>
      </c>
      <c r="H2787" s="21" t="s">
        <v>7937</v>
      </c>
      <c r="I2787" s="12" t="s">
        <v>9037</v>
      </c>
      <c r="J2787" s="12" t="s">
        <v>10366</v>
      </c>
      <c r="K2787" s="12"/>
      <c r="L2787" s="12" t="s">
        <v>13037</v>
      </c>
      <c r="M2787" s="12" t="s">
        <v>13038</v>
      </c>
    </row>
    <row r="2788" spans="1:13" ht="52.8">
      <c r="A2788" s="21" t="s">
        <v>7932</v>
      </c>
      <c r="B2788" s="21" t="s">
        <v>7933</v>
      </c>
      <c r="C2788" s="21" t="s">
        <v>7934</v>
      </c>
      <c r="D2788" s="21" t="s">
        <v>71</v>
      </c>
      <c r="E2788" s="22" t="s">
        <v>7935</v>
      </c>
      <c r="F2788" s="22" t="s">
        <v>7933</v>
      </c>
      <c r="G2788" s="21" t="s">
        <v>7936</v>
      </c>
      <c r="H2788" s="21" t="s">
        <v>7937</v>
      </c>
      <c r="I2788" s="12" t="s">
        <v>9038</v>
      </c>
      <c r="J2788" s="12" t="s">
        <v>10367</v>
      </c>
      <c r="K2788" s="12"/>
      <c r="L2788" s="12" t="s">
        <v>13039</v>
      </c>
      <c r="M2788" s="12" t="s">
        <v>13040</v>
      </c>
    </row>
    <row r="2789" spans="1:13" ht="52.8">
      <c r="A2789" s="21" t="s">
        <v>7932</v>
      </c>
      <c r="B2789" s="21" t="s">
        <v>7933</v>
      </c>
      <c r="C2789" s="21" t="s">
        <v>7934</v>
      </c>
      <c r="D2789" s="21" t="s">
        <v>71</v>
      </c>
      <c r="E2789" s="22" t="s">
        <v>7935</v>
      </c>
      <c r="F2789" s="22" t="s">
        <v>7933</v>
      </c>
      <c r="G2789" s="21" t="s">
        <v>7936</v>
      </c>
      <c r="H2789" s="21" t="s">
        <v>7937</v>
      </c>
      <c r="I2789" s="12" t="s">
        <v>9039</v>
      </c>
      <c r="J2789" s="12" t="s">
        <v>10368</v>
      </c>
      <c r="K2789" s="12"/>
      <c r="L2789" s="12" t="s">
        <v>13041</v>
      </c>
      <c r="M2789" s="12" t="s">
        <v>13042</v>
      </c>
    </row>
    <row r="2790" spans="1:13" ht="52.8">
      <c r="A2790" s="21" t="s">
        <v>7932</v>
      </c>
      <c r="B2790" s="21" t="s">
        <v>7933</v>
      </c>
      <c r="C2790" s="21" t="s">
        <v>7934</v>
      </c>
      <c r="D2790" s="21" t="s">
        <v>71</v>
      </c>
      <c r="E2790" s="22" t="s">
        <v>7935</v>
      </c>
      <c r="F2790" s="22" t="s">
        <v>7933</v>
      </c>
      <c r="G2790" s="21" t="s">
        <v>7936</v>
      </c>
      <c r="H2790" s="21" t="s">
        <v>7937</v>
      </c>
      <c r="I2790" s="12" t="s">
        <v>9040</v>
      </c>
      <c r="J2790" s="12" t="s">
        <v>10369</v>
      </c>
      <c r="K2790" s="12"/>
      <c r="L2790" s="12" t="s">
        <v>13043</v>
      </c>
      <c r="M2790" s="12" t="s">
        <v>13044</v>
      </c>
    </row>
    <row r="2791" spans="1:13" ht="52.8">
      <c r="A2791" s="21" t="s">
        <v>7932</v>
      </c>
      <c r="B2791" s="21" t="s">
        <v>7933</v>
      </c>
      <c r="C2791" s="21" t="s">
        <v>7934</v>
      </c>
      <c r="D2791" s="21" t="s">
        <v>71</v>
      </c>
      <c r="E2791" s="22" t="s">
        <v>7935</v>
      </c>
      <c r="F2791" s="22" t="s">
        <v>7933</v>
      </c>
      <c r="G2791" s="21" t="s">
        <v>7936</v>
      </c>
      <c r="H2791" s="21" t="s">
        <v>7937</v>
      </c>
      <c r="I2791" s="12" t="s">
        <v>9041</v>
      </c>
      <c r="J2791" s="12" t="s">
        <v>10370</v>
      </c>
      <c r="K2791" s="12"/>
      <c r="L2791" s="12" t="s">
        <v>13045</v>
      </c>
      <c r="M2791" s="12" t="s">
        <v>13046</v>
      </c>
    </row>
    <row r="2792" spans="1:13" ht="52.8">
      <c r="A2792" s="21" t="s">
        <v>7932</v>
      </c>
      <c r="B2792" s="21" t="s">
        <v>7933</v>
      </c>
      <c r="C2792" s="21" t="s">
        <v>7934</v>
      </c>
      <c r="D2792" s="21" t="s">
        <v>71</v>
      </c>
      <c r="E2792" s="22" t="s">
        <v>7935</v>
      </c>
      <c r="F2792" s="22" t="s">
        <v>7933</v>
      </c>
      <c r="G2792" s="21" t="s">
        <v>7936</v>
      </c>
      <c r="H2792" s="21" t="s">
        <v>7937</v>
      </c>
      <c r="I2792" s="12" t="s">
        <v>9042</v>
      </c>
      <c r="J2792" s="12" t="s">
        <v>10371</v>
      </c>
      <c r="K2792" s="12"/>
      <c r="L2792" s="12" t="s">
        <v>13047</v>
      </c>
      <c r="M2792" s="12" t="s">
        <v>13048</v>
      </c>
    </row>
    <row r="2793" spans="1:13" ht="52.8">
      <c r="A2793" s="21" t="s">
        <v>7932</v>
      </c>
      <c r="B2793" s="21" t="s">
        <v>7933</v>
      </c>
      <c r="C2793" s="21" t="s">
        <v>7934</v>
      </c>
      <c r="D2793" s="21" t="s">
        <v>71</v>
      </c>
      <c r="E2793" s="22" t="s">
        <v>7935</v>
      </c>
      <c r="F2793" s="22" t="s">
        <v>7933</v>
      </c>
      <c r="G2793" s="21" t="s">
        <v>7936</v>
      </c>
      <c r="H2793" s="21" t="s">
        <v>7937</v>
      </c>
      <c r="I2793" s="12" t="s">
        <v>9043</v>
      </c>
      <c r="J2793" s="12" t="s">
        <v>10372</v>
      </c>
      <c r="K2793" s="12"/>
      <c r="L2793" s="12" t="s">
        <v>13049</v>
      </c>
      <c r="M2793" s="12" t="s">
        <v>13050</v>
      </c>
    </row>
    <row r="2794" spans="1:13" ht="52.8">
      <c r="A2794" s="21" t="s">
        <v>7932</v>
      </c>
      <c r="B2794" s="21" t="s">
        <v>7933</v>
      </c>
      <c r="C2794" s="21" t="s">
        <v>7934</v>
      </c>
      <c r="D2794" s="21" t="s">
        <v>71</v>
      </c>
      <c r="E2794" s="22" t="s">
        <v>7935</v>
      </c>
      <c r="F2794" s="22" t="s">
        <v>7933</v>
      </c>
      <c r="G2794" s="21" t="s">
        <v>7936</v>
      </c>
      <c r="H2794" s="21" t="s">
        <v>7937</v>
      </c>
      <c r="I2794" s="12" t="s">
        <v>9044</v>
      </c>
      <c r="J2794" s="12" t="s">
        <v>10373</v>
      </c>
      <c r="K2794" s="12"/>
      <c r="L2794" s="12" t="s">
        <v>13051</v>
      </c>
      <c r="M2794" s="12" t="s">
        <v>13052</v>
      </c>
    </row>
    <row r="2795" spans="1:13" ht="52.8">
      <c r="A2795" s="21" t="s">
        <v>7932</v>
      </c>
      <c r="B2795" s="21" t="s">
        <v>7933</v>
      </c>
      <c r="C2795" s="21" t="s">
        <v>7934</v>
      </c>
      <c r="D2795" s="21" t="s">
        <v>71</v>
      </c>
      <c r="E2795" s="22" t="s">
        <v>7935</v>
      </c>
      <c r="F2795" s="22" t="s">
        <v>7933</v>
      </c>
      <c r="G2795" s="21" t="s">
        <v>7936</v>
      </c>
      <c r="H2795" s="21" t="s">
        <v>7937</v>
      </c>
      <c r="I2795" s="12" t="s">
        <v>9045</v>
      </c>
      <c r="J2795" s="12" t="s">
        <v>10374</v>
      </c>
      <c r="K2795" s="12"/>
      <c r="L2795" s="12" t="s">
        <v>13053</v>
      </c>
      <c r="M2795" s="12" t="s">
        <v>13054</v>
      </c>
    </row>
    <row r="2796" spans="1:13" ht="52.8">
      <c r="A2796" s="21" t="s">
        <v>7932</v>
      </c>
      <c r="B2796" s="21" t="s">
        <v>7933</v>
      </c>
      <c r="C2796" s="21" t="s">
        <v>7934</v>
      </c>
      <c r="D2796" s="21" t="s">
        <v>71</v>
      </c>
      <c r="E2796" s="22" t="s">
        <v>7935</v>
      </c>
      <c r="F2796" s="22" t="s">
        <v>7933</v>
      </c>
      <c r="G2796" s="21" t="s">
        <v>7936</v>
      </c>
      <c r="H2796" s="21" t="s">
        <v>7937</v>
      </c>
      <c r="I2796" s="12" t="s">
        <v>9046</v>
      </c>
      <c r="J2796" s="12" t="s">
        <v>10375</v>
      </c>
      <c r="K2796" s="12"/>
      <c r="L2796" s="12" t="s">
        <v>13055</v>
      </c>
      <c r="M2796" s="12" t="s">
        <v>13056</v>
      </c>
    </row>
    <row r="2797" spans="1:13" ht="52.8">
      <c r="A2797" s="21" t="s">
        <v>7932</v>
      </c>
      <c r="B2797" s="21" t="s">
        <v>7933</v>
      </c>
      <c r="C2797" s="21" t="s">
        <v>7934</v>
      </c>
      <c r="D2797" s="21" t="s">
        <v>71</v>
      </c>
      <c r="E2797" s="22" t="s">
        <v>7935</v>
      </c>
      <c r="F2797" s="22" t="s">
        <v>7933</v>
      </c>
      <c r="G2797" s="21" t="s">
        <v>7936</v>
      </c>
      <c r="H2797" s="21" t="s">
        <v>7937</v>
      </c>
      <c r="I2797" s="12" t="s">
        <v>9047</v>
      </c>
      <c r="J2797" s="12" t="s">
        <v>10376</v>
      </c>
      <c r="K2797" s="12"/>
      <c r="L2797" s="12" t="s">
        <v>13057</v>
      </c>
      <c r="M2797" s="12" t="s">
        <v>13058</v>
      </c>
    </row>
    <row r="2798" spans="1:13" ht="52.8">
      <c r="A2798" s="21" t="s">
        <v>7932</v>
      </c>
      <c r="B2798" s="21" t="s">
        <v>7933</v>
      </c>
      <c r="C2798" s="21" t="s">
        <v>7934</v>
      </c>
      <c r="D2798" s="21" t="s">
        <v>71</v>
      </c>
      <c r="E2798" s="22" t="s">
        <v>7935</v>
      </c>
      <c r="F2798" s="22" t="s">
        <v>7933</v>
      </c>
      <c r="G2798" s="21" t="s">
        <v>7936</v>
      </c>
      <c r="H2798" s="21" t="s">
        <v>7937</v>
      </c>
      <c r="I2798" s="12" t="s">
        <v>9048</v>
      </c>
      <c r="J2798" s="12" t="s">
        <v>10377</v>
      </c>
      <c r="K2798" s="12"/>
      <c r="L2798" s="12" t="s">
        <v>13059</v>
      </c>
      <c r="M2798" s="12" t="s">
        <v>13060</v>
      </c>
    </row>
    <row r="2799" spans="1:13" ht="52.8">
      <c r="A2799" s="21" t="s">
        <v>7932</v>
      </c>
      <c r="B2799" s="21" t="s">
        <v>7933</v>
      </c>
      <c r="C2799" s="21" t="s">
        <v>7934</v>
      </c>
      <c r="D2799" s="21" t="s">
        <v>71</v>
      </c>
      <c r="E2799" s="22" t="s">
        <v>7935</v>
      </c>
      <c r="F2799" s="22" t="s">
        <v>7933</v>
      </c>
      <c r="G2799" s="21" t="s">
        <v>7936</v>
      </c>
      <c r="H2799" s="21" t="s">
        <v>7937</v>
      </c>
      <c r="I2799" s="12" t="s">
        <v>9049</v>
      </c>
      <c r="J2799" s="12" t="s">
        <v>10378</v>
      </c>
      <c r="K2799" s="12"/>
      <c r="L2799" s="12" t="s">
        <v>13061</v>
      </c>
      <c r="M2799" s="12" t="s">
        <v>13062</v>
      </c>
    </row>
    <row r="2800" spans="1:13" ht="52.8">
      <c r="A2800" s="21" t="s">
        <v>7932</v>
      </c>
      <c r="B2800" s="21" t="s">
        <v>7933</v>
      </c>
      <c r="C2800" s="21" t="s">
        <v>7934</v>
      </c>
      <c r="D2800" s="21" t="s">
        <v>71</v>
      </c>
      <c r="E2800" s="22" t="s">
        <v>7935</v>
      </c>
      <c r="F2800" s="22" t="s">
        <v>7933</v>
      </c>
      <c r="G2800" s="21" t="s">
        <v>7936</v>
      </c>
      <c r="H2800" s="21" t="s">
        <v>7937</v>
      </c>
      <c r="I2800" s="12" t="s">
        <v>9050</v>
      </c>
      <c r="J2800" s="12" t="s">
        <v>10379</v>
      </c>
      <c r="K2800" s="12"/>
      <c r="L2800" s="12" t="s">
        <v>13063</v>
      </c>
      <c r="M2800" s="12" t="s">
        <v>13064</v>
      </c>
    </row>
    <row r="2801" spans="1:13" ht="52.8">
      <c r="A2801" s="21" t="s">
        <v>7932</v>
      </c>
      <c r="B2801" s="21" t="s">
        <v>7933</v>
      </c>
      <c r="C2801" s="21" t="s">
        <v>7934</v>
      </c>
      <c r="D2801" s="21" t="s">
        <v>71</v>
      </c>
      <c r="E2801" s="22" t="s">
        <v>7935</v>
      </c>
      <c r="F2801" s="22" t="s">
        <v>7933</v>
      </c>
      <c r="G2801" s="21" t="s">
        <v>7936</v>
      </c>
      <c r="H2801" s="21" t="s">
        <v>7937</v>
      </c>
      <c r="I2801" s="12" t="s">
        <v>9051</v>
      </c>
      <c r="J2801" s="12" t="s">
        <v>10380</v>
      </c>
      <c r="K2801" s="12"/>
      <c r="L2801" s="12" t="s">
        <v>13065</v>
      </c>
      <c r="M2801" s="12" t="s">
        <v>13066</v>
      </c>
    </row>
    <row r="2802" spans="1:13" ht="52.8">
      <c r="A2802" s="21" t="s">
        <v>7932</v>
      </c>
      <c r="B2802" s="21" t="s">
        <v>7933</v>
      </c>
      <c r="C2802" s="21" t="s">
        <v>7934</v>
      </c>
      <c r="D2802" s="21" t="s">
        <v>71</v>
      </c>
      <c r="E2802" s="22" t="s">
        <v>7935</v>
      </c>
      <c r="F2802" s="22" t="s">
        <v>7933</v>
      </c>
      <c r="G2802" s="21" t="s">
        <v>7936</v>
      </c>
      <c r="H2802" s="21" t="s">
        <v>7937</v>
      </c>
      <c r="I2802" s="12" t="s">
        <v>9052</v>
      </c>
      <c r="J2802" s="12" t="s">
        <v>10381</v>
      </c>
      <c r="K2802" s="12"/>
      <c r="L2802" s="12" t="s">
        <v>13067</v>
      </c>
      <c r="M2802" s="12" t="s">
        <v>13068</v>
      </c>
    </row>
    <row r="2803" spans="1:13" ht="52.8">
      <c r="A2803" s="21" t="s">
        <v>7932</v>
      </c>
      <c r="B2803" s="21" t="s">
        <v>7933</v>
      </c>
      <c r="C2803" s="21" t="s">
        <v>7934</v>
      </c>
      <c r="D2803" s="21" t="s">
        <v>71</v>
      </c>
      <c r="E2803" s="22" t="s">
        <v>7935</v>
      </c>
      <c r="F2803" s="22" t="s">
        <v>7933</v>
      </c>
      <c r="G2803" s="21" t="s">
        <v>7936</v>
      </c>
      <c r="H2803" s="21" t="s">
        <v>7937</v>
      </c>
      <c r="I2803" s="12" t="s">
        <v>9053</v>
      </c>
      <c r="J2803" s="12" t="s">
        <v>10382</v>
      </c>
      <c r="K2803" s="12" t="s">
        <v>13069</v>
      </c>
      <c r="L2803" s="12" t="s">
        <v>13070</v>
      </c>
      <c r="M2803" s="12" t="s">
        <v>13069</v>
      </c>
    </row>
    <row r="2804" spans="1:13" ht="52.8">
      <c r="A2804" s="21" t="s">
        <v>7932</v>
      </c>
      <c r="B2804" s="21" t="s">
        <v>7933</v>
      </c>
      <c r="C2804" s="21" t="s">
        <v>7934</v>
      </c>
      <c r="D2804" s="21" t="s">
        <v>71</v>
      </c>
      <c r="E2804" s="22" t="s">
        <v>7935</v>
      </c>
      <c r="F2804" s="22" t="s">
        <v>7933</v>
      </c>
      <c r="G2804" s="21" t="s">
        <v>7936</v>
      </c>
      <c r="H2804" s="21" t="s">
        <v>7937</v>
      </c>
      <c r="I2804" s="12" t="s">
        <v>9054</v>
      </c>
      <c r="J2804" s="12" t="s">
        <v>10383</v>
      </c>
      <c r="K2804" s="12"/>
      <c r="L2804" s="12" t="s">
        <v>13071</v>
      </c>
      <c r="M2804" s="12" t="s">
        <v>13072</v>
      </c>
    </row>
    <row r="2805" spans="1:13" ht="52.8">
      <c r="A2805" s="21" t="s">
        <v>7932</v>
      </c>
      <c r="B2805" s="21" t="s">
        <v>7933</v>
      </c>
      <c r="C2805" s="21" t="s">
        <v>7934</v>
      </c>
      <c r="D2805" s="21" t="s">
        <v>71</v>
      </c>
      <c r="E2805" s="22" t="s">
        <v>7935</v>
      </c>
      <c r="F2805" s="22" t="s">
        <v>7933</v>
      </c>
      <c r="G2805" s="21" t="s">
        <v>7936</v>
      </c>
      <c r="H2805" s="21" t="s">
        <v>7937</v>
      </c>
      <c r="I2805" s="12" t="s">
        <v>9055</v>
      </c>
      <c r="J2805" s="12" t="s">
        <v>10384</v>
      </c>
      <c r="K2805" s="12" t="s">
        <v>13073</v>
      </c>
      <c r="L2805" s="12" t="s">
        <v>13074</v>
      </c>
      <c r="M2805" s="12" t="s">
        <v>13075</v>
      </c>
    </row>
    <row r="2806" spans="1:13" ht="52.8">
      <c r="A2806" s="21" t="s">
        <v>7932</v>
      </c>
      <c r="B2806" s="21" t="s">
        <v>7933</v>
      </c>
      <c r="C2806" s="21" t="s">
        <v>7934</v>
      </c>
      <c r="D2806" s="21" t="s">
        <v>71</v>
      </c>
      <c r="E2806" s="22" t="s">
        <v>7935</v>
      </c>
      <c r="F2806" s="22" t="s">
        <v>7933</v>
      </c>
      <c r="G2806" s="21" t="s">
        <v>7936</v>
      </c>
      <c r="H2806" s="21" t="s">
        <v>7937</v>
      </c>
      <c r="I2806" s="12" t="s">
        <v>9056</v>
      </c>
      <c r="J2806" s="12" t="s">
        <v>10385</v>
      </c>
      <c r="K2806" s="12" t="s">
        <v>13076</v>
      </c>
      <c r="L2806" s="12" t="s">
        <v>13077</v>
      </c>
      <c r="M2806" s="12" t="s">
        <v>13078</v>
      </c>
    </row>
    <row r="2807" spans="1:13" ht="52.8">
      <c r="A2807" s="21" t="s">
        <v>7932</v>
      </c>
      <c r="B2807" s="21" t="s">
        <v>7933</v>
      </c>
      <c r="C2807" s="21" t="s">
        <v>7934</v>
      </c>
      <c r="D2807" s="21" t="s">
        <v>71</v>
      </c>
      <c r="E2807" s="22" t="s">
        <v>7935</v>
      </c>
      <c r="F2807" s="22" t="s">
        <v>7933</v>
      </c>
      <c r="G2807" s="21" t="s">
        <v>7936</v>
      </c>
      <c r="H2807" s="21" t="s">
        <v>7937</v>
      </c>
      <c r="I2807" s="12" t="s">
        <v>9057</v>
      </c>
      <c r="J2807" s="12" t="s">
        <v>10386</v>
      </c>
      <c r="K2807" s="12" t="s">
        <v>13079</v>
      </c>
      <c r="L2807" s="12" t="s">
        <v>13080</v>
      </c>
      <c r="M2807" s="12" t="s">
        <v>13079</v>
      </c>
    </row>
    <row r="2808" spans="1:13" ht="52.8">
      <c r="A2808" s="21" t="s">
        <v>7932</v>
      </c>
      <c r="B2808" s="21" t="s">
        <v>7933</v>
      </c>
      <c r="C2808" s="21" t="s">
        <v>7934</v>
      </c>
      <c r="D2808" s="21" t="s">
        <v>71</v>
      </c>
      <c r="E2808" s="22" t="s">
        <v>7935</v>
      </c>
      <c r="F2808" s="22" t="s">
        <v>7933</v>
      </c>
      <c r="G2808" s="21" t="s">
        <v>7936</v>
      </c>
      <c r="H2808" s="21" t="s">
        <v>7937</v>
      </c>
      <c r="I2808" s="12" t="s">
        <v>9058</v>
      </c>
      <c r="J2808" s="12" t="s">
        <v>10387</v>
      </c>
      <c r="K2808" s="12" t="s">
        <v>13081</v>
      </c>
      <c r="L2808" s="12" t="s">
        <v>13082</v>
      </c>
      <c r="M2808" s="12" t="s">
        <v>13083</v>
      </c>
    </row>
    <row r="2809" spans="1:13" ht="52.8">
      <c r="A2809" s="21" t="s">
        <v>7932</v>
      </c>
      <c r="B2809" s="21" t="s">
        <v>7933</v>
      </c>
      <c r="C2809" s="21" t="s">
        <v>7934</v>
      </c>
      <c r="D2809" s="21" t="s">
        <v>71</v>
      </c>
      <c r="E2809" s="22" t="s">
        <v>7935</v>
      </c>
      <c r="F2809" s="22" t="s">
        <v>7933</v>
      </c>
      <c r="G2809" s="21" t="s">
        <v>7936</v>
      </c>
      <c r="H2809" s="21" t="s">
        <v>7937</v>
      </c>
      <c r="I2809" s="12" t="s">
        <v>9059</v>
      </c>
      <c r="J2809" s="12" t="s">
        <v>10388</v>
      </c>
      <c r="K2809" s="12"/>
      <c r="L2809" s="12" t="s">
        <v>13084</v>
      </c>
      <c r="M2809" s="12" t="s">
        <v>13085</v>
      </c>
    </row>
    <row r="2810" spans="1:13" ht="52.8">
      <c r="A2810" s="21" t="s">
        <v>7932</v>
      </c>
      <c r="B2810" s="21" t="s">
        <v>7933</v>
      </c>
      <c r="C2810" s="21" t="s">
        <v>7934</v>
      </c>
      <c r="D2810" s="21" t="s">
        <v>71</v>
      </c>
      <c r="E2810" s="22" t="s">
        <v>7935</v>
      </c>
      <c r="F2810" s="22" t="s">
        <v>7933</v>
      </c>
      <c r="G2810" s="21" t="s">
        <v>7936</v>
      </c>
      <c r="H2810" s="21" t="s">
        <v>7937</v>
      </c>
      <c r="I2810" s="12" t="s">
        <v>9060</v>
      </c>
      <c r="J2810" s="12" t="s">
        <v>10389</v>
      </c>
      <c r="K2810" s="12"/>
      <c r="L2810" s="12" t="s">
        <v>13086</v>
      </c>
      <c r="M2810" s="12" t="s">
        <v>13087</v>
      </c>
    </row>
    <row r="2811" spans="1:13" ht="52.8">
      <c r="A2811" s="21" t="s">
        <v>7932</v>
      </c>
      <c r="B2811" s="21" t="s">
        <v>7933</v>
      </c>
      <c r="C2811" s="21" t="s">
        <v>7934</v>
      </c>
      <c r="D2811" s="21" t="s">
        <v>71</v>
      </c>
      <c r="E2811" s="22" t="s">
        <v>7935</v>
      </c>
      <c r="F2811" s="22" t="s">
        <v>7933</v>
      </c>
      <c r="G2811" s="21" t="s">
        <v>7936</v>
      </c>
      <c r="H2811" s="21" t="s">
        <v>7937</v>
      </c>
      <c r="I2811" s="12" t="s">
        <v>9061</v>
      </c>
      <c r="J2811" s="12" t="s">
        <v>10390</v>
      </c>
      <c r="K2811" s="12" t="s">
        <v>13088</v>
      </c>
      <c r="L2811" s="12" t="s">
        <v>13089</v>
      </c>
      <c r="M2811" s="12" t="s">
        <v>13090</v>
      </c>
    </row>
    <row r="2812" spans="1:13" ht="52.8">
      <c r="A2812" s="21" t="s">
        <v>7932</v>
      </c>
      <c r="B2812" s="21" t="s">
        <v>7933</v>
      </c>
      <c r="C2812" s="21" t="s">
        <v>7934</v>
      </c>
      <c r="D2812" s="21" t="s">
        <v>71</v>
      </c>
      <c r="E2812" s="22" t="s">
        <v>7935</v>
      </c>
      <c r="F2812" s="22" t="s">
        <v>7933</v>
      </c>
      <c r="G2812" s="21" t="s">
        <v>7936</v>
      </c>
      <c r="H2812" s="21" t="s">
        <v>7937</v>
      </c>
      <c r="I2812" s="12" t="s">
        <v>9062</v>
      </c>
      <c r="J2812" s="12" t="s">
        <v>10391</v>
      </c>
      <c r="K2812" s="12"/>
      <c r="L2812" s="12" t="s">
        <v>13091</v>
      </c>
      <c r="M2812" s="12" t="s">
        <v>13092</v>
      </c>
    </row>
    <row r="2813" spans="1:13" ht="52.8">
      <c r="A2813" s="21" t="s">
        <v>7932</v>
      </c>
      <c r="B2813" s="21" t="s">
        <v>7933</v>
      </c>
      <c r="C2813" s="21" t="s">
        <v>7934</v>
      </c>
      <c r="D2813" s="21" t="s">
        <v>71</v>
      </c>
      <c r="E2813" s="22" t="s">
        <v>7935</v>
      </c>
      <c r="F2813" s="22" t="s">
        <v>7933</v>
      </c>
      <c r="G2813" s="21" t="s">
        <v>7936</v>
      </c>
      <c r="H2813" s="21" t="s">
        <v>7937</v>
      </c>
      <c r="I2813" s="12" t="s">
        <v>2657</v>
      </c>
      <c r="J2813" s="12" t="s">
        <v>10392</v>
      </c>
      <c r="K2813" s="12" t="s">
        <v>13093</v>
      </c>
      <c r="L2813" s="12" t="s">
        <v>13094</v>
      </c>
      <c r="M2813" s="12" t="s">
        <v>13093</v>
      </c>
    </row>
    <row r="2814" spans="1:13" ht="52.8">
      <c r="A2814" s="21" t="s">
        <v>7932</v>
      </c>
      <c r="B2814" s="21" t="s">
        <v>7933</v>
      </c>
      <c r="C2814" s="21" t="s">
        <v>7934</v>
      </c>
      <c r="D2814" s="21" t="s">
        <v>71</v>
      </c>
      <c r="E2814" s="22" t="s">
        <v>7935</v>
      </c>
      <c r="F2814" s="22" t="s">
        <v>7933</v>
      </c>
      <c r="G2814" s="21" t="s">
        <v>7936</v>
      </c>
      <c r="H2814" s="21" t="s">
        <v>7937</v>
      </c>
      <c r="I2814" s="12" t="s">
        <v>9063</v>
      </c>
      <c r="J2814" s="12" t="s">
        <v>10393</v>
      </c>
      <c r="K2814" s="12"/>
      <c r="L2814" s="12" t="s">
        <v>13095</v>
      </c>
      <c r="M2814" s="12" t="s">
        <v>13096</v>
      </c>
    </row>
    <row r="2815" spans="1:13" ht="52.8">
      <c r="A2815" s="21" t="s">
        <v>7932</v>
      </c>
      <c r="B2815" s="21" t="s">
        <v>7933</v>
      </c>
      <c r="C2815" s="21" t="s">
        <v>7934</v>
      </c>
      <c r="D2815" s="21" t="s">
        <v>71</v>
      </c>
      <c r="E2815" s="22" t="s">
        <v>7935</v>
      </c>
      <c r="F2815" s="22" t="s">
        <v>7933</v>
      </c>
      <c r="G2815" s="21" t="s">
        <v>7936</v>
      </c>
      <c r="H2815" s="21" t="s">
        <v>7937</v>
      </c>
      <c r="I2815" s="12" t="s">
        <v>9064</v>
      </c>
      <c r="J2815" s="12" t="s">
        <v>10394</v>
      </c>
      <c r="K2815" s="12"/>
      <c r="L2815" s="12" t="s">
        <v>13097</v>
      </c>
      <c r="M2815" s="12" t="s">
        <v>13098</v>
      </c>
    </row>
    <row r="2816" spans="1:13" ht="52.8">
      <c r="A2816" s="21" t="s">
        <v>7932</v>
      </c>
      <c r="B2816" s="21" t="s">
        <v>7933</v>
      </c>
      <c r="C2816" s="21" t="s">
        <v>7934</v>
      </c>
      <c r="D2816" s="21" t="s">
        <v>71</v>
      </c>
      <c r="E2816" s="22" t="s">
        <v>7935</v>
      </c>
      <c r="F2816" s="22" t="s">
        <v>7933</v>
      </c>
      <c r="G2816" s="21" t="s">
        <v>7936</v>
      </c>
      <c r="H2816" s="21" t="s">
        <v>7937</v>
      </c>
      <c r="I2816" s="12" t="s">
        <v>9065</v>
      </c>
      <c r="J2816" s="12" t="s">
        <v>10395</v>
      </c>
      <c r="K2816" s="12"/>
      <c r="L2816" s="12" t="s">
        <v>13099</v>
      </c>
      <c r="M2816" s="12" t="s">
        <v>13100</v>
      </c>
    </row>
    <row r="2817" spans="1:13" ht="52.8">
      <c r="A2817" s="21" t="s">
        <v>7932</v>
      </c>
      <c r="B2817" s="21" t="s">
        <v>7933</v>
      </c>
      <c r="C2817" s="21" t="s">
        <v>7934</v>
      </c>
      <c r="D2817" s="21" t="s">
        <v>71</v>
      </c>
      <c r="E2817" s="22" t="s">
        <v>7935</v>
      </c>
      <c r="F2817" s="22" t="s">
        <v>7933</v>
      </c>
      <c r="G2817" s="21" t="s">
        <v>7936</v>
      </c>
      <c r="H2817" s="21" t="s">
        <v>7937</v>
      </c>
      <c r="I2817" s="12" t="s">
        <v>9066</v>
      </c>
      <c r="J2817" s="12" t="s">
        <v>10396</v>
      </c>
      <c r="K2817" s="12"/>
      <c r="L2817" s="12" t="s">
        <v>13101</v>
      </c>
      <c r="M2817" s="12" t="s">
        <v>13102</v>
      </c>
    </row>
    <row r="2818" spans="1:13" ht="52.8">
      <c r="A2818" s="21" t="s">
        <v>7932</v>
      </c>
      <c r="B2818" s="21" t="s">
        <v>7933</v>
      </c>
      <c r="C2818" s="21" t="s">
        <v>7934</v>
      </c>
      <c r="D2818" s="21" t="s">
        <v>71</v>
      </c>
      <c r="E2818" s="22" t="s">
        <v>7935</v>
      </c>
      <c r="F2818" s="22" t="s">
        <v>7933</v>
      </c>
      <c r="G2818" s="21" t="s">
        <v>7936</v>
      </c>
      <c r="H2818" s="21" t="s">
        <v>7937</v>
      </c>
      <c r="I2818" s="12" t="s">
        <v>9067</v>
      </c>
      <c r="J2818" s="12" t="s">
        <v>10397</v>
      </c>
      <c r="K2818" s="12" t="s">
        <v>13103</v>
      </c>
      <c r="L2818" s="12" t="s">
        <v>13104</v>
      </c>
      <c r="M2818" s="12" t="s">
        <v>13105</v>
      </c>
    </row>
    <row r="2819" spans="1:13" ht="52.8">
      <c r="A2819" s="21" t="s">
        <v>7932</v>
      </c>
      <c r="B2819" s="21" t="s">
        <v>7933</v>
      </c>
      <c r="C2819" s="21" t="s">
        <v>7934</v>
      </c>
      <c r="D2819" s="21" t="s">
        <v>71</v>
      </c>
      <c r="E2819" s="22" t="s">
        <v>7935</v>
      </c>
      <c r="F2819" s="22" t="s">
        <v>7933</v>
      </c>
      <c r="G2819" s="21" t="s">
        <v>7936</v>
      </c>
      <c r="H2819" s="21" t="s">
        <v>7937</v>
      </c>
      <c r="I2819" s="12" t="s">
        <v>9068</v>
      </c>
      <c r="J2819" s="12" t="s">
        <v>10398</v>
      </c>
      <c r="K2819" s="12"/>
      <c r="L2819" s="12" t="s">
        <v>13106</v>
      </c>
      <c r="M2819" s="12" t="s">
        <v>13107</v>
      </c>
    </row>
    <row r="2820" spans="1:13" ht="52.8">
      <c r="A2820" s="21" t="s">
        <v>7932</v>
      </c>
      <c r="B2820" s="21" t="s">
        <v>7933</v>
      </c>
      <c r="C2820" s="21" t="s">
        <v>7934</v>
      </c>
      <c r="D2820" s="21" t="s">
        <v>71</v>
      </c>
      <c r="E2820" s="22" t="s">
        <v>7935</v>
      </c>
      <c r="F2820" s="22" t="s">
        <v>7933</v>
      </c>
      <c r="G2820" s="21" t="s">
        <v>7936</v>
      </c>
      <c r="H2820" s="21" t="s">
        <v>7937</v>
      </c>
      <c r="I2820" s="12" t="s">
        <v>9069</v>
      </c>
      <c r="J2820" s="12" t="s">
        <v>10399</v>
      </c>
      <c r="K2820" s="12" t="s">
        <v>13108</v>
      </c>
      <c r="L2820" s="12" t="s">
        <v>13109</v>
      </c>
      <c r="M2820" s="12" t="s">
        <v>13110</v>
      </c>
    </row>
    <row r="2821" spans="1:13" ht="52.8">
      <c r="A2821" s="21" t="s">
        <v>7932</v>
      </c>
      <c r="B2821" s="21" t="s">
        <v>7933</v>
      </c>
      <c r="C2821" s="21" t="s">
        <v>7934</v>
      </c>
      <c r="D2821" s="21" t="s">
        <v>71</v>
      </c>
      <c r="E2821" s="22" t="s">
        <v>7935</v>
      </c>
      <c r="F2821" s="22" t="s">
        <v>7933</v>
      </c>
      <c r="G2821" s="21" t="s">
        <v>7936</v>
      </c>
      <c r="H2821" s="21" t="s">
        <v>7937</v>
      </c>
      <c r="I2821" s="12" t="s">
        <v>9070</v>
      </c>
      <c r="J2821" s="12" t="s">
        <v>10400</v>
      </c>
      <c r="K2821" s="12"/>
      <c r="L2821" s="12" t="s">
        <v>13111</v>
      </c>
      <c r="M2821" s="12" t="s">
        <v>13112</v>
      </c>
    </row>
    <row r="2822" spans="1:13" ht="52.8">
      <c r="A2822" s="21" t="s">
        <v>7932</v>
      </c>
      <c r="B2822" s="21" t="s">
        <v>7933</v>
      </c>
      <c r="C2822" s="21" t="s">
        <v>7934</v>
      </c>
      <c r="D2822" s="21" t="s">
        <v>71</v>
      </c>
      <c r="E2822" s="22" t="s">
        <v>7935</v>
      </c>
      <c r="F2822" s="22" t="s">
        <v>7933</v>
      </c>
      <c r="G2822" s="21" t="s">
        <v>7936</v>
      </c>
      <c r="H2822" s="21" t="s">
        <v>7937</v>
      </c>
      <c r="I2822" s="12" t="s">
        <v>9071</v>
      </c>
      <c r="J2822" s="12" t="s">
        <v>10401</v>
      </c>
      <c r="K2822" s="12"/>
      <c r="L2822" s="12" t="s">
        <v>13113</v>
      </c>
      <c r="M2822" s="12" t="s">
        <v>13114</v>
      </c>
    </row>
    <row r="2823" spans="1:13" ht="52.8">
      <c r="A2823" s="21" t="s">
        <v>7932</v>
      </c>
      <c r="B2823" s="21" t="s">
        <v>7933</v>
      </c>
      <c r="C2823" s="21" t="s">
        <v>7934</v>
      </c>
      <c r="D2823" s="21" t="s">
        <v>71</v>
      </c>
      <c r="E2823" s="22" t="s">
        <v>7935</v>
      </c>
      <c r="F2823" s="22" t="s">
        <v>7933</v>
      </c>
      <c r="G2823" s="21" t="s">
        <v>7936</v>
      </c>
      <c r="H2823" s="21" t="s">
        <v>7937</v>
      </c>
      <c r="I2823" s="12" t="s">
        <v>9072</v>
      </c>
      <c r="J2823" s="12" t="s">
        <v>10402</v>
      </c>
      <c r="K2823" s="12"/>
      <c r="L2823" s="12" t="s">
        <v>13115</v>
      </c>
      <c r="M2823" s="12" t="s">
        <v>13116</v>
      </c>
    </row>
    <row r="2824" spans="1:13" ht="52.8">
      <c r="A2824" s="21" t="s">
        <v>7932</v>
      </c>
      <c r="B2824" s="21" t="s">
        <v>7933</v>
      </c>
      <c r="C2824" s="21" t="s">
        <v>7934</v>
      </c>
      <c r="D2824" s="21" t="s">
        <v>71</v>
      </c>
      <c r="E2824" s="22" t="s">
        <v>7935</v>
      </c>
      <c r="F2824" s="22" t="s">
        <v>7933</v>
      </c>
      <c r="G2824" s="21" t="s">
        <v>7936</v>
      </c>
      <c r="H2824" s="21" t="s">
        <v>7937</v>
      </c>
      <c r="I2824" s="12" t="s">
        <v>9073</v>
      </c>
      <c r="J2824" s="12" t="s">
        <v>10403</v>
      </c>
      <c r="K2824" s="12" t="s">
        <v>13117</v>
      </c>
      <c r="L2824" s="12" t="s">
        <v>13118</v>
      </c>
      <c r="M2824" s="12" t="s">
        <v>13117</v>
      </c>
    </row>
    <row r="2825" spans="1:13" ht="52.8">
      <c r="A2825" s="21" t="s">
        <v>7932</v>
      </c>
      <c r="B2825" s="21" t="s">
        <v>7933</v>
      </c>
      <c r="C2825" s="21" t="s">
        <v>7934</v>
      </c>
      <c r="D2825" s="21" t="s">
        <v>71</v>
      </c>
      <c r="E2825" s="22" t="s">
        <v>7935</v>
      </c>
      <c r="F2825" s="22" t="s">
        <v>7933</v>
      </c>
      <c r="G2825" s="21" t="s">
        <v>7936</v>
      </c>
      <c r="H2825" s="21" t="s">
        <v>7937</v>
      </c>
      <c r="I2825" s="12" t="s">
        <v>9074</v>
      </c>
      <c r="J2825" s="12" t="s">
        <v>10404</v>
      </c>
      <c r="K2825" s="12"/>
      <c r="L2825" s="12" t="s">
        <v>13119</v>
      </c>
      <c r="M2825" s="12" t="s">
        <v>13120</v>
      </c>
    </row>
    <row r="2826" spans="1:13" ht="52.8">
      <c r="A2826" s="21" t="s">
        <v>7932</v>
      </c>
      <c r="B2826" s="21" t="s">
        <v>7933</v>
      </c>
      <c r="C2826" s="21" t="s">
        <v>7934</v>
      </c>
      <c r="D2826" s="21" t="s">
        <v>71</v>
      </c>
      <c r="E2826" s="22" t="s">
        <v>7935</v>
      </c>
      <c r="F2826" s="22" t="s">
        <v>7933</v>
      </c>
      <c r="G2826" s="21" t="s">
        <v>7936</v>
      </c>
      <c r="H2826" s="21" t="s">
        <v>7937</v>
      </c>
      <c r="I2826" s="12" t="s">
        <v>9075</v>
      </c>
      <c r="J2826" s="12" t="s">
        <v>10405</v>
      </c>
      <c r="K2826" s="12"/>
      <c r="L2826" s="12" t="s">
        <v>13121</v>
      </c>
      <c r="M2826" s="12" t="s">
        <v>13122</v>
      </c>
    </row>
    <row r="2827" spans="1:13" ht="52.8">
      <c r="A2827" s="21" t="s">
        <v>7932</v>
      </c>
      <c r="B2827" s="21" t="s">
        <v>7933</v>
      </c>
      <c r="C2827" s="21" t="s">
        <v>7934</v>
      </c>
      <c r="D2827" s="21" t="s">
        <v>71</v>
      </c>
      <c r="E2827" s="22" t="s">
        <v>7935</v>
      </c>
      <c r="F2827" s="22" t="s">
        <v>7933</v>
      </c>
      <c r="G2827" s="21" t="s">
        <v>7936</v>
      </c>
      <c r="H2827" s="21" t="s">
        <v>7937</v>
      </c>
      <c r="I2827" s="12" t="s">
        <v>9076</v>
      </c>
      <c r="J2827" s="12" t="s">
        <v>10406</v>
      </c>
      <c r="K2827" s="12"/>
      <c r="L2827" s="12" t="s">
        <v>13123</v>
      </c>
      <c r="M2827" s="12" t="s">
        <v>13124</v>
      </c>
    </row>
    <row r="2828" spans="1:13" ht="52.8">
      <c r="A2828" s="21" t="s">
        <v>7932</v>
      </c>
      <c r="B2828" s="21" t="s">
        <v>7933</v>
      </c>
      <c r="C2828" s="21" t="s">
        <v>7934</v>
      </c>
      <c r="D2828" s="21" t="s">
        <v>71</v>
      </c>
      <c r="E2828" s="22" t="s">
        <v>7935</v>
      </c>
      <c r="F2828" s="22" t="s">
        <v>7933</v>
      </c>
      <c r="G2828" s="21" t="s">
        <v>7936</v>
      </c>
      <c r="H2828" s="21" t="s">
        <v>7937</v>
      </c>
      <c r="I2828" s="12" t="s">
        <v>9077</v>
      </c>
      <c r="J2828" s="12" t="s">
        <v>10407</v>
      </c>
      <c r="K2828" s="12"/>
      <c r="L2828" s="12" t="s">
        <v>13125</v>
      </c>
      <c r="M2828" s="12" t="s">
        <v>13126</v>
      </c>
    </row>
    <row r="2829" spans="1:13" ht="52.8">
      <c r="A2829" s="21" t="s">
        <v>7932</v>
      </c>
      <c r="B2829" s="21" t="s">
        <v>7933</v>
      </c>
      <c r="C2829" s="21" t="s">
        <v>7934</v>
      </c>
      <c r="D2829" s="21" t="s">
        <v>71</v>
      </c>
      <c r="E2829" s="22" t="s">
        <v>7935</v>
      </c>
      <c r="F2829" s="22" t="s">
        <v>7933</v>
      </c>
      <c r="G2829" s="21" t="s">
        <v>7936</v>
      </c>
      <c r="H2829" s="21" t="s">
        <v>7937</v>
      </c>
      <c r="I2829" s="12" t="s">
        <v>9078</v>
      </c>
      <c r="J2829" s="12" t="s">
        <v>10408</v>
      </c>
      <c r="K2829" s="12" t="s">
        <v>13127</v>
      </c>
      <c r="L2829" s="12" t="s">
        <v>13128</v>
      </c>
      <c r="M2829" s="12" t="s">
        <v>13127</v>
      </c>
    </row>
    <row r="2830" spans="1:13" ht="52.8">
      <c r="A2830" s="21" t="s">
        <v>7932</v>
      </c>
      <c r="B2830" s="21" t="s">
        <v>7933</v>
      </c>
      <c r="C2830" s="21" t="s">
        <v>7934</v>
      </c>
      <c r="D2830" s="21" t="s">
        <v>71</v>
      </c>
      <c r="E2830" s="22" t="s">
        <v>7935</v>
      </c>
      <c r="F2830" s="22" t="s">
        <v>7933</v>
      </c>
      <c r="G2830" s="21" t="s">
        <v>7936</v>
      </c>
      <c r="H2830" s="21" t="s">
        <v>7937</v>
      </c>
      <c r="I2830" s="12" t="s">
        <v>9079</v>
      </c>
      <c r="J2830" s="12" t="s">
        <v>10409</v>
      </c>
      <c r="K2830" s="12"/>
      <c r="L2830" s="12" t="s">
        <v>13129</v>
      </c>
      <c r="M2830" s="12" t="s">
        <v>13130</v>
      </c>
    </row>
    <row r="2831" spans="1:13" ht="52.8">
      <c r="A2831" s="21" t="s">
        <v>7932</v>
      </c>
      <c r="B2831" s="21" t="s">
        <v>7933</v>
      </c>
      <c r="C2831" s="21" t="s">
        <v>7934</v>
      </c>
      <c r="D2831" s="21" t="s">
        <v>71</v>
      </c>
      <c r="E2831" s="22" t="s">
        <v>7935</v>
      </c>
      <c r="F2831" s="22" t="s">
        <v>7933</v>
      </c>
      <c r="G2831" s="21" t="s">
        <v>7936</v>
      </c>
      <c r="H2831" s="21" t="s">
        <v>7937</v>
      </c>
      <c r="I2831" s="12" t="s">
        <v>9080</v>
      </c>
      <c r="J2831" s="12" t="s">
        <v>10410</v>
      </c>
      <c r="K2831" s="12" t="s">
        <v>13131</v>
      </c>
      <c r="L2831" s="12" t="s">
        <v>13132</v>
      </c>
      <c r="M2831" s="12" t="s">
        <v>13131</v>
      </c>
    </row>
    <row r="2832" spans="1:13" ht="66">
      <c r="A2832" s="21" t="s">
        <v>7932</v>
      </c>
      <c r="B2832" s="21" t="s">
        <v>7933</v>
      </c>
      <c r="C2832" s="21" t="s">
        <v>7934</v>
      </c>
      <c r="D2832" s="21" t="s">
        <v>71</v>
      </c>
      <c r="E2832" s="22" t="s">
        <v>7935</v>
      </c>
      <c r="F2832" s="22" t="s">
        <v>7933</v>
      </c>
      <c r="G2832" s="21" t="s">
        <v>7936</v>
      </c>
      <c r="H2832" s="21" t="s">
        <v>7937</v>
      </c>
      <c r="I2832" s="12" t="s">
        <v>9081</v>
      </c>
      <c r="J2832" s="12" t="s">
        <v>10411</v>
      </c>
      <c r="K2832" s="12" t="s">
        <v>13133</v>
      </c>
      <c r="L2832" s="12" t="s">
        <v>13134</v>
      </c>
      <c r="M2832" s="12" t="s">
        <v>13135</v>
      </c>
    </row>
    <row r="2833" spans="1:13" ht="52.8">
      <c r="A2833" s="21" t="s">
        <v>7932</v>
      </c>
      <c r="B2833" s="21" t="s">
        <v>7933</v>
      </c>
      <c r="C2833" s="21" t="s">
        <v>7934</v>
      </c>
      <c r="D2833" s="21" t="s">
        <v>71</v>
      </c>
      <c r="E2833" s="22" t="s">
        <v>7935</v>
      </c>
      <c r="F2833" s="22" t="s">
        <v>7933</v>
      </c>
      <c r="G2833" s="21" t="s">
        <v>7936</v>
      </c>
      <c r="H2833" s="21" t="s">
        <v>7937</v>
      </c>
      <c r="I2833" s="12" t="s">
        <v>9082</v>
      </c>
      <c r="J2833" s="12" t="s">
        <v>10412</v>
      </c>
      <c r="K2833" s="12" t="s">
        <v>13136</v>
      </c>
      <c r="L2833" s="12" t="s">
        <v>13137</v>
      </c>
      <c r="M2833" s="12" t="s">
        <v>13138</v>
      </c>
    </row>
    <row r="2834" spans="1:13" ht="52.8">
      <c r="A2834" s="21" t="s">
        <v>7932</v>
      </c>
      <c r="B2834" s="21" t="s">
        <v>7933</v>
      </c>
      <c r="C2834" s="21" t="s">
        <v>7934</v>
      </c>
      <c r="D2834" s="21" t="s">
        <v>71</v>
      </c>
      <c r="E2834" s="22" t="s">
        <v>7935</v>
      </c>
      <c r="F2834" s="22" t="s">
        <v>7933</v>
      </c>
      <c r="G2834" s="21" t="s">
        <v>7936</v>
      </c>
      <c r="H2834" s="21" t="s">
        <v>7937</v>
      </c>
      <c r="I2834" s="12" t="s">
        <v>9083</v>
      </c>
      <c r="J2834" s="12" t="s">
        <v>10413</v>
      </c>
      <c r="K2834" s="12" t="s">
        <v>13139</v>
      </c>
      <c r="L2834" s="12" t="s">
        <v>13140</v>
      </c>
      <c r="M2834" s="12" t="s">
        <v>13141</v>
      </c>
    </row>
    <row r="2835" spans="1:13" ht="52.8">
      <c r="A2835" s="21" t="s">
        <v>7932</v>
      </c>
      <c r="B2835" s="21" t="s">
        <v>7933</v>
      </c>
      <c r="C2835" s="21" t="s">
        <v>7934</v>
      </c>
      <c r="D2835" s="21" t="s">
        <v>71</v>
      </c>
      <c r="E2835" s="22" t="s">
        <v>7935</v>
      </c>
      <c r="F2835" s="22" t="s">
        <v>7933</v>
      </c>
      <c r="G2835" s="21" t="s">
        <v>7936</v>
      </c>
      <c r="H2835" s="21" t="s">
        <v>7937</v>
      </c>
      <c r="I2835" s="12" t="s">
        <v>9084</v>
      </c>
      <c r="J2835" s="12" t="s">
        <v>10414</v>
      </c>
      <c r="K2835" s="12"/>
      <c r="L2835" s="12" t="s">
        <v>13142</v>
      </c>
      <c r="M2835" s="12" t="s">
        <v>13143</v>
      </c>
    </row>
    <row r="2836" spans="1:13" ht="52.8">
      <c r="A2836" s="21" t="s">
        <v>7932</v>
      </c>
      <c r="B2836" s="21" t="s">
        <v>7933</v>
      </c>
      <c r="C2836" s="21" t="s">
        <v>7934</v>
      </c>
      <c r="D2836" s="21" t="s">
        <v>71</v>
      </c>
      <c r="E2836" s="22" t="s">
        <v>7935</v>
      </c>
      <c r="F2836" s="22" t="s">
        <v>7933</v>
      </c>
      <c r="G2836" s="21" t="s">
        <v>7936</v>
      </c>
      <c r="H2836" s="21" t="s">
        <v>7937</v>
      </c>
      <c r="I2836" s="12" t="s">
        <v>9085</v>
      </c>
      <c r="J2836" s="12" t="s">
        <v>10415</v>
      </c>
      <c r="K2836" s="12"/>
      <c r="L2836" s="12" t="s">
        <v>13144</v>
      </c>
      <c r="M2836" s="12" t="s">
        <v>13145</v>
      </c>
    </row>
    <row r="2837" spans="1:13" ht="52.8">
      <c r="A2837" s="21" t="s">
        <v>7932</v>
      </c>
      <c r="B2837" s="21" t="s">
        <v>7933</v>
      </c>
      <c r="C2837" s="21" t="s">
        <v>7934</v>
      </c>
      <c r="D2837" s="21" t="s">
        <v>71</v>
      </c>
      <c r="E2837" s="22" t="s">
        <v>7935</v>
      </c>
      <c r="F2837" s="22" t="s">
        <v>7933</v>
      </c>
      <c r="G2837" s="21" t="s">
        <v>7936</v>
      </c>
      <c r="H2837" s="21" t="s">
        <v>7937</v>
      </c>
      <c r="I2837" s="12" t="s">
        <v>9086</v>
      </c>
      <c r="J2837" s="12" t="s">
        <v>10416</v>
      </c>
      <c r="K2837" s="12" t="s">
        <v>13146</v>
      </c>
      <c r="L2837" s="12" t="s">
        <v>13147</v>
      </c>
      <c r="M2837" s="12" t="s">
        <v>13148</v>
      </c>
    </row>
    <row r="2838" spans="1:13" ht="52.8">
      <c r="A2838" s="21" t="s">
        <v>7932</v>
      </c>
      <c r="B2838" s="21" t="s">
        <v>7933</v>
      </c>
      <c r="C2838" s="21" t="s">
        <v>7934</v>
      </c>
      <c r="D2838" s="21" t="s">
        <v>71</v>
      </c>
      <c r="E2838" s="22" t="s">
        <v>7935</v>
      </c>
      <c r="F2838" s="22" t="s">
        <v>7933</v>
      </c>
      <c r="G2838" s="21" t="s">
        <v>7936</v>
      </c>
      <c r="H2838" s="21" t="s">
        <v>7937</v>
      </c>
      <c r="I2838" s="12" t="s">
        <v>9087</v>
      </c>
      <c r="J2838" s="12" t="s">
        <v>10417</v>
      </c>
      <c r="K2838" s="12"/>
      <c r="L2838" s="12" t="s">
        <v>13149</v>
      </c>
      <c r="M2838" s="12" t="s">
        <v>13150</v>
      </c>
    </row>
    <row r="2839" spans="1:13" ht="52.8">
      <c r="A2839" s="21" t="s">
        <v>7932</v>
      </c>
      <c r="B2839" s="21" t="s">
        <v>7933</v>
      </c>
      <c r="C2839" s="21" t="s">
        <v>7934</v>
      </c>
      <c r="D2839" s="21" t="s">
        <v>71</v>
      </c>
      <c r="E2839" s="22" t="s">
        <v>7935</v>
      </c>
      <c r="F2839" s="22" t="s">
        <v>7933</v>
      </c>
      <c r="G2839" s="21" t="s">
        <v>7936</v>
      </c>
      <c r="H2839" s="21" t="s">
        <v>7937</v>
      </c>
      <c r="I2839" s="12" t="s">
        <v>9088</v>
      </c>
      <c r="J2839" s="12" t="s">
        <v>10418</v>
      </c>
      <c r="K2839" s="12"/>
      <c r="L2839" s="12" t="s">
        <v>13151</v>
      </c>
      <c r="M2839" s="12" t="s">
        <v>13152</v>
      </c>
    </row>
    <row r="2840" spans="1:13" ht="52.8">
      <c r="A2840" s="21" t="s">
        <v>7932</v>
      </c>
      <c r="B2840" s="21" t="s">
        <v>7933</v>
      </c>
      <c r="C2840" s="21" t="s">
        <v>7934</v>
      </c>
      <c r="D2840" s="21" t="s">
        <v>71</v>
      </c>
      <c r="E2840" s="22" t="s">
        <v>7935</v>
      </c>
      <c r="F2840" s="22" t="s">
        <v>7933</v>
      </c>
      <c r="G2840" s="21" t="s">
        <v>7936</v>
      </c>
      <c r="H2840" s="21" t="s">
        <v>7937</v>
      </c>
      <c r="I2840" s="12" t="s">
        <v>9089</v>
      </c>
      <c r="J2840" s="12" t="s">
        <v>10419</v>
      </c>
      <c r="K2840" s="12"/>
      <c r="L2840" s="12" t="s">
        <v>13153</v>
      </c>
      <c r="M2840" s="12" t="s">
        <v>13154</v>
      </c>
    </row>
    <row r="2841" spans="1:13" ht="52.8">
      <c r="A2841" s="21" t="s">
        <v>7932</v>
      </c>
      <c r="B2841" s="21" t="s">
        <v>7933</v>
      </c>
      <c r="C2841" s="21" t="s">
        <v>7934</v>
      </c>
      <c r="D2841" s="21" t="s">
        <v>71</v>
      </c>
      <c r="E2841" s="22" t="s">
        <v>7935</v>
      </c>
      <c r="F2841" s="22" t="s">
        <v>7933</v>
      </c>
      <c r="G2841" s="21" t="s">
        <v>7936</v>
      </c>
      <c r="H2841" s="21" t="s">
        <v>7937</v>
      </c>
      <c r="I2841" s="12" t="s">
        <v>9090</v>
      </c>
      <c r="J2841" s="12" t="s">
        <v>10420</v>
      </c>
      <c r="K2841" s="12" t="s">
        <v>13155</v>
      </c>
      <c r="L2841" s="12" t="s">
        <v>13156</v>
      </c>
      <c r="M2841" s="12" t="s">
        <v>13157</v>
      </c>
    </row>
    <row r="2842" spans="1:13" ht="52.8">
      <c r="A2842" s="21" t="s">
        <v>7932</v>
      </c>
      <c r="B2842" s="21" t="s">
        <v>7933</v>
      </c>
      <c r="C2842" s="21" t="s">
        <v>7934</v>
      </c>
      <c r="D2842" s="21" t="s">
        <v>71</v>
      </c>
      <c r="E2842" s="22" t="s">
        <v>7935</v>
      </c>
      <c r="F2842" s="22" t="s">
        <v>7933</v>
      </c>
      <c r="G2842" s="21" t="s">
        <v>7936</v>
      </c>
      <c r="H2842" s="21" t="s">
        <v>7937</v>
      </c>
      <c r="I2842" s="12" t="s">
        <v>9091</v>
      </c>
      <c r="J2842" s="12" t="s">
        <v>10421</v>
      </c>
      <c r="K2842" s="12"/>
      <c r="L2842" s="12" t="s">
        <v>13158</v>
      </c>
      <c r="M2842" s="12" t="s">
        <v>13159</v>
      </c>
    </row>
    <row r="2843" spans="1:13" ht="52.8">
      <c r="A2843" s="21" t="s">
        <v>7932</v>
      </c>
      <c r="B2843" s="21" t="s">
        <v>7933</v>
      </c>
      <c r="C2843" s="21" t="s">
        <v>7934</v>
      </c>
      <c r="D2843" s="21" t="s">
        <v>71</v>
      </c>
      <c r="E2843" s="22" t="s">
        <v>7935</v>
      </c>
      <c r="F2843" s="22" t="s">
        <v>7933</v>
      </c>
      <c r="G2843" s="21" t="s">
        <v>7936</v>
      </c>
      <c r="H2843" s="21" t="s">
        <v>7937</v>
      </c>
      <c r="I2843" s="12" t="s">
        <v>9092</v>
      </c>
      <c r="J2843" s="12" t="s">
        <v>10422</v>
      </c>
      <c r="K2843" s="12" t="s">
        <v>13160</v>
      </c>
      <c r="L2843" s="12" t="s">
        <v>13161</v>
      </c>
      <c r="M2843" s="12" t="s">
        <v>13160</v>
      </c>
    </row>
    <row r="2844" spans="1:13" ht="52.8">
      <c r="A2844" s="21" t="s">
        <v>7932</v>
      </c>
      <c r="B2844" s="21" t="s">
        <v>7933</v>
      </c>
      <c r="C2844" s="21" t="s">
        <v>7934</v>
      </c>
      <c r="D2844" s="21" t="s">
        <v>71</v>
      </c>
      <c r="E2844" s="22" t="s">
        <v>7935</v>
      </c>
      <c r="F2844" s="22" t="s">
        <v>7933</v>
      </c>
      <c r="G2844" s="21" t="s">
        <v>7936</v>
      </c>
      <c r="H2844" s="21" t="s">
        <v>7937</v>
      </c>
      <c r="I2844" s="12" t="s">
        <v>9093</v>
      </c>
      <c r="J2844" s="12" t="s">
        <v>10423</v>
      </c>
      <c r="K2844" s="12"/>
      <c r="L2844" s="12" t="s">
        <v>13162</v>
      </c>
      <c r="M2844" s="12" t="s">
        <v>13163</v>
      </c>
    </row>
    <row r="2845" spans="1:13" ht="52.8">
      <c r="A2845" s="21" t="s">
        <v>7932</v>
      </c>
      <c r="B2845" s="21" t="s">
        <v>7933</v>
      </c>
      <c r="C2845" s="21" t="s">
        <v>7934</v>
      </c>
      <c r="D2845" s="21" t="s">
        <v>71</v>
      </c>
      <c r="E2845" s="22" t="s">
        <v>7935</v>
      </c>
      <c r="F2845" s="22" t="s">
        <v>7933</v>
      </c>
      <c r="G2845" s="21" t="s">
        <v>7936</v>
      </c>
      <c r="H2845" s="21" t="s">
        <v>7937</v>
      </c>
      <c r="I2845" s="12" t="s">
        <v>9094</v>
      </c>
      <c r="J2845" s="12" t="s">
        <v>10424</v>
      </c>
      <c r="K2845" s="12" t="s">
        <v>13164</v>
      </c>
      <c r="L2845" s="12" t="s">
        <v>13165</v>
      </c>
      <c r="M2845" s="12" t="s">
        <v>13166</v>
      </c>
    </row>
    <row r="2846" spans="1:13" ht="52.8">
      <c r="A2846" s="21" t="s">
        <v>7932</v>
      </c>
      <c r="B2846" s="21" t="s">
        <v>7933</v>
      </c>
      <c r="C2846" s="21" t="s">
        <v>7934</v>
      </c>
      <c r="D2846" s="21" t="s">
        <v>71</v>
      </c>
      <c r="E2846" s="22" t="s">
        <v>7935</v>
      </c>
      <c r="F2846" s="22" t="s">
        <v>7933</v>
      </c>
      <c r="G2846" s="21" t="s">
        <v>7936</v>
      </c>
      <c r="H2846" s="21" t="s">
        <v>7937</v>
      </c>
      <c r="I2846" s="12" t="s">
        <v>9095</v>
      </c>
      <c r="J2846" s="12" t="s">
        <v>10425</v>
      </c>
      <c r="K2846" s="12" t="s">
        <v>13167</v>
      </c>
      <c r="L2846" s="12" t="s">
        <v>13168</v>
      </c>
      <c r="M2846" s="12" t="s">
        <v>13169</v>
      </c>
    </row>
    <row r="2847" spans="1:13" ht="52.8">
      <c r="A2847" s="21" t="s">
        <v>7932</v>
      </c>
      <c r="B2847" s="21" t="s">
        <v>7933</v>
      </c>
      <c r="C2847" s="21" t="s">
        <v>7934</v>
      </c>
      <c r="D2847" s="21" t="s">
        <v>71</v>
      </c>
      <c r="E2847" s="22" t="s">
        <v>7935</v>
      </c>
      <c r="F2847" s="22" t="s">
        <v>7933</v>
      </c>
      <c r="G2847" s="21" t="s">
        <v>7936</v>
      </c>
      <c r="H2847" s="21" t="s">
        <v>7937</v>
      </c>
      <c r="I2847" s="12" t="s">
        <v>9096</v>
      </c>
      <c r="J2847" s="12" t="s">
        <v>10426</v>
      </c>
      <c r="K2847" s="12" t="s">
        <v>13170</v>
      </c>
      <c r="L2847" s="12" t="s">
        <v>13171</v>
      </c>
      <c r="M2847" s="12" t="s">
        <v>13172</v>
      </c>
    </row>
    <row r="2848" spans="1:13" ht="52.8">
      <c r="A2848" s="21" t="s">
        <v>7932</v>
      </c>
      <c r="B2848" s="21" t="s">
        <v>7933</v>
      </c>
      <c r="C2848" s="21" t="s">
        <v>7934</v>
      </c>
      <c r="D2848" s="21" t="s">
        <v>71</v>
      </c>
      <c r="E2848" s="22" t="s">
        <v>7935</v>
      </c>
      <c r="F2848" s="22" t="s">
        <v>7933</v>
      </c>
      <c r="G2848" s="21" t="s">
        <v>7936</v>
      </c>
      <c r="H2848" s="21" t="s">
        <v>7937</v>
      </c>
      <c r="I2848" s="12" t="s">
        <v>9097</v>
      </c>
      <c r="J2848" s="12" t="s">
        <v>10427</v>
      </c>
      <c r="K2848" s="12"/>
      <c r="L2848" s="12" t="s">
        <v>13173</v>
      </c>
      <c r="M2848" s="12" t="s">
        <v>13174</v>
      </c>
    </row>
    <row r="2849" spans="1:13" ht="52.8">
      <c r="A2849" s="21" t="s">
        <v>7932</v>
      </c>
      <c r="B2849" s="21" t="s">
        <v>7933</v>
      </c>
      <c r="C2849" s="21" t="s">
        <v>7934</v>
      </c>
      <c r="D2849" s="21" t="s">
        <v>71</v>
      </c>
      <c r="E2849" s="22" t="s">
        <v>7935</v>
      </c>
      <c r="F2849" s="22" t="s">
        <v>7933</v>
      </c>
      <c r="G2849" s="21" t="s">
        <v>7936</v>
      </c>
      <c r="H2849" s="21" t="s">
        <v>7937</v>
      </c>
      <c r="I2849" s="12" t="s">
        <v>9098</v>
      </c>
      <c r="J2849" s="12" t="s">
        <v>10428</v>
      </c>
      <c r="K2849" s="12"/>
      <c r="L2849" s="12" t="s">
        <v>13175</v>
      </c>
      <c r="M2849" s="12" t="s">
        <v>13176</v>
      </c>
    </row>
    <row r="2850" spans="1:13" ht="52.8">
      <c r="A2850" s="21" t="s">
        <v>7932</v>
      </c>
      <c r="B2850" s="21" t="s">
        <v>7933</v>
      </c>
      <c r="C2850" s="21" t="s">
        <v>7934</v>
      </c>
      <c r="D2850" s="21" t="s">
        <v>71</v>
      </c>
      <c r="E2850" s="22" t="s">
        <v>7935</v>
      </c>
      <c r="F2850" s="22" t="s">
        <v>7933</v>
      </c>
      <c r="G2850" s="21" t="s">
        <v>7936</v>
      </c>
      <c r="H2850" s="21" t="s">
        <v>7937</v>
      </c>
      <c r="I2850" s="12" t="s">
        <v>9099</v>
      </c>
      <c r="J2850" s="12" t="s">
        <v>10429</v>
      </c>
      <c r="K2850" s="12" t="s">
        <v>13177</v>
      </c>
      <c r="L2850" s="12" t="s">
        <v>13178</v>
      </c>
      <c r="M2850" s="12" t="s">
        <v>13179</v>
      </c>
    </row>
    <row r="2851" spans="1:13" ht="52.8">
      <c r="A2851" s="21" t="s">
        <v>7932</v>
      </c>
      <c r="B2851" s="21" t="s">
        <v>7933</v>
      </c>
      <c r="C2851" s="21" t="s">
        <v>7934</v>
      </c>
      <c r="D2851" s="21" t="s">
        <v>71</v>
      </c>
      <c r="E2851" s="22" t="s">
        <v>7935</v>
      </c>
      <c r="F2851" s="22" t="s">
        <v>7933</v>
      </c>
      <c r="G2851" s="21" t="s">
        <v>7936</v>
      </c>
      <c r="H2851" s="21" t="s">
        <v>7937</v>
      </c>
      <c r="I2851" s="12" t="s">
        <v>9100</v>
      </c>
      <c r="J2851" s="12" t="s">
        <v>10430</v>
      </c>
      <c r="K2851" s="12" t="s">
        <v>13180</v>
      </c>
      <c r="L2851" s="12" t="s">
        <v>13181</v>
      </c>
      <c r="M2851" s="12" t="s">
        <v>13180</v>
      </c>
    </row>
    <row r="2852" spans="1:13" ht="52.8">
      <c r="A2852" s="21" t="s">
        <v>7932</v>
      </c>
      <c r="B2852" s="21" t="s">
        <v>7933</v>
      </c>
      <c r="C2852" s="21" t="s">
        <v>7934</v>
      </c>
      <c r="D2852" s="21" t="s">
        <v>71</v>
      </c>
      <c r="E2852" s="22" t="s">
        <v>7935</v>
      </c>
      <c r="F2852" s="22" t="s">
        <v>7933</v>
      </c>
      <c r="G2852" s="21" t="s">
        <v>7936</v>
      </c>
      <c r="H2852" s="21" t="s">
        <v>7937</v>
      </c>
      <c r="I2852" s="12" t="s">
        <v>9101</v>
      </c>
      <c r="J2852" s="12" t="s">
        <v>10431</v>
      </c>
      <c r="K2852" s="12"/>
      <c r="L2852" s="12" t="s">
        <v>13182</v>
      </c>
      <c r="M2852" s="12" t="s">
        <v>13183</v>
      </c>
    </row>
    <row r="2853" spans="1:13" ht="52.8">
      <c r="A2853" s="21" t="s">
        <v>7932</v>
      </c>
      <c r="B2853" s="21" t="s">
        <v>7933</v>
      </c>
      <c r="C2853" s="21" t="s">
        <v>7934</v>
      </c>
      <c r="D2853" s="21" t="s">
        <v>71</v>
      </c>
      <c r="E2853" s="22" t="s">
        <v>7935</v>
      </c>
      <c r="F2853" s="22" t="s">
        <v>7933</v>
      </c>
      <c r="G2853" s="21" t="s">
        <v>7936</v>
      </c>
      <c r="H2853" s="21" t="s">
        <v>7937</v>
      </c>
      <c r="I2853" s="12" t="s">
        <v>9102</v>
      </c>
      <c r="J2853" s="12" t="s">
        <v>10432</v>
      </c>
      <c r="K2853" s="12"/>
      <c r="L2853" s="12" t="s">
        <v>13184</v>
      </c>
      <c r="M2853" s="12" t="s">
        <v>13185</v>
      </c>
    </row>
    <row r="2854" spans="1:13" ht="52.8">
      <c r="A2854" s="21" t="s">
        <v>7932</v>
      </c>
      <c r="B2854" s="21" t="s">
        <v>7933</v>
      </c>
      <c r="C2854" s="21" t="s">
        <v>7934</v>
      </c>
      <c r="D2854" s="21" t="s">
        <v>71</v>
      </c>
      <c r="E2854" s="22" t="s">
        <v>7935</v>
      </c>
      <c r="F2854" s="22" t="s">
        <v>7933</v>
      </c>
      <c r="G2854" s="21" t="s">
        <v>7936</v>
      </c>
      <c r="H2854" s="21" t="s">
        <v>7937</v>
      </c>
      <c r="I2854" s="12" t="s">
        <v>9103</v>
      </c>
      <c r="J2854" s="12" t="s">
        <v>10433</v>
      </c>
      <c r="K2854" s="12"/>
      <c r="L2854" s="12" t="s">
        <v>13186</v>
      </c>
      <c r="M2854" s="12" t="s">
        <v>13187</v>
      </c>
    </row>
    <row r="2855" spans="1:13" ht="79.2">
      <c r="A2855" s="21" t="s">
        <v>7932</v>
      </c>
      <c r="B2855" s="21" t="s">
        <v>7933</v>
      </c>
      <c r="C2855" s="21" t="s">
        <v>7934</v>
      </c>
      <c r="D2855" s="21" t="s">
        <v>71</v>
      </c>
      <c r="E2855" s="22" t="s">
        <v>7935</v>
      </c>
      <c r="F2855" s="22" t="s">
        <v>7933</v>
      </c>
      <c r="G2855" s="21" t="s">
        <v>7936</v>
      </c>
      <c r="H2855" s="21" t="s">
        <v>7937</v>
      </c>
      <c r="I2855" s="12" t="s">
        <v>9104</v>
      </c>
      <c r="J2855" s="12" t="s">
        <v>10434</v>
      </c>
      <c r="K2855" s="12"/>
      <c r="L2855" s="12" t="s">
        <v>13188</v>
      </c>
      <c r="M2855" s="12" t="s">
        <v>13189</v>
      </c>
    </row>
    <row r="2856" spans="1:13" ht="52.8">
      <c r="A2856" s="21" t="s">
        <v>7932</v>
      </c>
      <c r="B2856" s="21" t="s">
        <v>7933</v>
      </c>
      <c r="C2856" s="21" t="s">
        <v>7934</v>
      </c>
      <c r="D2856" s="21" t="s">
        <v>71</v>
      </c>
      <c r="E2856" s="22" t="s">
        <v>7935</v>
      </c>
      <c r="F2856" s="22" t="s">
        <v>7933</v>
      </c>
      <c r="G2856" s="21" t="s">
        <v>7936</v>
      </c>
      <c r="H2856" s="21" t="s">
        <v>7937</v>
      </c>
      <c r="I2856" s="12" t="s">
        <v>9105</v>
      </c>
      <c r="J2856" s="12" t="s">
        <v>10435</v>
      </c>
      <c r="K2856" s="12"/>
      <c r="L2856" s="12" t="s">
        <v>13190</v>
      </c>
      <c r="M2856" s="12" t="s">
        <v>13191</v>
      </c>
    </row>
    <row r="2857" spans="1:13" ht="79.2">
      <c r="A2857" s="21" t="s">
        <v>7932</v>
      </c>
      <c r="B2857" s="21" t="s">
        <v>7933</v>
      </c>
      <c r="C2857" s="21" t="s">
        <v>7934</v>
      </c>
      <c r="D2857" s="21" t="s">
        <v>71</v>
      </c>
      <c r="E2857" s="22" t="s">
        <v>7935</v>
      </c>
      <c r="F2857" s="22" t="s">
        <v>7933</v>
      </c>
      <c r="G2857" s="21" t="s">
        <v>7936</v>
      </c>
      <c r="H2857" s="21" t="s">
        <v>7937</v>
      </c>
      <c r="I2857" s="12" t="s">
        <v>9106</v>
      </c>
      <c r="J2857" s="12" t="s">
        <v>10436</v>
      </c>
      <c r="K2857" s="12"/>
      <c r="L2857" s="12" t="s">
        <v>13192</v>
      </c>
      <c r="M2857" s="12" t="s">
        <v>13193</v>
      </c>
    </row>
    <row r="2858" spans="1:13" ht="52.8">
      <c r="A2858" s="21" t="s">
        <v>7932</v>
      </c>
      <c r="B2858" s="21" t="s">
        <v>7933</v>
      </c>
      <c r="C2858" s="21" t="s">
        <v>7934</v>
      </c>
      <c r="D2858" s="21" t="s">
        <v>71</v>
      </c>
      <c r="E2858" s="22" t="s">
        <v>7935</v>
      </c>
      <c r="F2858" s="22" t="s">
        <v>7933</v>
      </c>
      <c r="G2858" s="21" t="s">
        <v>7936</v>
      </c>
      <c r="H2858" s="21" t="s">
        <v>7937</v>
      </c>
      <c r="I2858" s="12" t="s">
        <v>9107</v>
      </c>
      <c r="J2858" s="12" t="s">
        <v>10437</v>
      </c>
      <c r="K2858" s="12"/>
      <c r="L2858" s="12" t="s">
        <v>13194</v>
      </c>
      <c r="M2858" s="12" t="s">
        <v>13195</v>
      </c>
    </row>
    <row r="2859" spans="1:13" ht="52.8">
      <c r="A2859" s="21" t="s">
        <v>7932</v>
      </c>
      <c r="B2859" s="21" t="s">
        <v>7933</v>
      </c>
      <c r="C2859" s="21" t="s">
        <v>7934</v>
      </c>
      <c r="D2859" s="21" t="s">
        <v>71</v>
      </c>
      <c r="E2859" s="22" t="s">
        <v>7935</v>
      </c>
      <c r="F2859" s="22" t="s">
        <v>7933</v>
      </c>
      <c r="G2859" s="21" t="s">
        <v>7936</v>
      </c>
      <c r="H2859" s="21" t="s">
        <v>7937</v>
      </c>
      <c r="I2859" s="12" t="s">
        <v>9108</v>
      </c>
      <c r="J2859" s="12" t="s">
        <v>10438</v>
      </c>
      <c r="K2859" s="12" t="s">
        <v>13196</v>
      </c>
      <c r="L2859" s="12" t="s">
        <v>13197</v>
      </c>
      <c r="M2859" s="12" t="s">
        <v>13198</v>
      </c>
    </row>
    <row r="2860" spans="1:13" ht="66">
      <c r="A2860" s="21" t="s">
        <v>7932</v>
      </c>
      <c r="B2860" s="21" t="s">
        <v>7933</v>
      </c>
      <c r="C2860" s="21" t="s">
        <v>7934</v>
      </c>
      <c r="D2860" s="21" t="s">
        <v>71</v>
      </c>
      <c r="E2860" s="22" t="s">
        <v>7935</v>
      </c>
      <c r="F2860" s="22" t="s">
        <v>7933</v>
      </c>
      <c r="G2860" s="21" t="s">
        <v>7936</v>
      </c>
      <c r="H2860" s="21" t="s">
        <v>7937</v>
      </c>
      <c r="I2860" s="12" t="s">
        <v>9109</v>
      </c>
      <c r="J2860" s="12" t="s">
        <v>10439</v>
      </c>
      <c r="K2860" s="12"/>
      <c r="L2860" s="12" t="s">
        <v>13199</v>
      </c>
      <c r="M2860" s="12" t="s">
        <v>13200</v>
      </c>
    </row>
    <row r="2861" spans="1:13" ht="52.8">
      <c r="A2861" s="21" t="s">
        <v>7932</v>
      </c>
      <c r="B2861" s="21" t="s">
        <v>7933</v>
      </c>
      <c r="C2861" s="21" t="s">
        <v>7934</v>
      </c>
      <c r="D2861" s="21" t="s">
        <v>71</v>
      </c>
      <c r="E2861" s="22" t="s">
        <v>7935</v>
      </c>
      <c r="F2861" s="22" t="s">
        <v>7933</v>
      </c>
      <c r="G2861" s="21" t="s">
        <v>7936</v>
      </c>
      <c r="H2861" s="21" t="s">
        <v>7937</v>
      </c>
      <c r="I2861" s="12" t="s">
        <v>9110</v>
      </c>
      <c r="J2861" s="12" t="s">
        <v>10440</v>
      </c>
      <c r="K2861" s="12"/>
      <c r="L2861" s="12" t="s">
        <v>13201</v>
      </c>
      <c r="M2861" s="12" t="s">
        <v>13202</v>
      </c>
    </row>
    <row r="2862" spans="1:13" ht="52.8">
      <c r="A2862" s="21" t="s">
        <v>7932</v>
      </c>
      <c r="B2862" s="21" t="s">
        <v>7933</v>
      </c>
      <c r="C2862" s="21" t="s">
        <v>7934</v>
      </c>
      <c r="D2862" s="21" t="s">
        <v>71</v>
      </c>
      <c r="E2862" s="22" t="s">
        <v>7935</v>
      </c>
      <c r="F2862" s="22" t="s">
        <v>7933</v>
      </c>
      <c r="G2862" s="21" t="s">
        <v>7936</v>
      </c>
      <c r="H2862" s="21" t="s">
        <v>7937</v>
      </c>
      <c r="I2862" s="12" t="s">
        <v>9111</v>
      </c>
      <c r="J2862" s="12" t="s">
        <v>10441</v>
      </c>
      <c r="K2862" s="12" t="s">
        <v>13203</v>
      </c>
      <c r="L2862" s="12" t="s">
        <v>13204</v>
      </c>
      <c r="M2862" s="12" t="s">
        <v>13203</v>
      </c>
    </row>
    <row r="2863" spans="1:13" ht="52.8">
      <c r="A2863" s="21" t="s">
        <v>7932</v>
      </c>
      <c r="B2863" s="21" t="s">
        <v>7933</v>
      </c>
      <c r="C2863" s="21" t="s">
        <v>7934</v>
      </c>
      <c r="D2863" s="21" t="s">
        <v>71</v>
      </c>
      <c r="E2863" s="22" t="s">
        <v>7935</v>
      </c>
      <c r="F2863" s="22" t="s">
        <v>7933</v>
      </c>
      <c r="G2863" s="21" t="s">
        <v>7936</v>
      </c>
      <c r="H2863" s="21" t="s">
        <v>7937</v>
      </c>
      <c r="I2863" s="12" t="s">
        <v>9112</v>
      </c>
      <c r="J2863" s="12" t="s">
        <v>10442</v>
      </c>
      <c r="K2863" s="12"/>
      <c r="L2863" s="12" t="s">
        <v>13205</v>
      </c>
      <c r="M2863" s="12" t="s">
        <v>13206</v>
      </c>
    </row>
    <row r="2864" spans="1:13" ht="52.8">
      <c r="A2864" s="21" t="s">
        <v>7932</v>
      </c>
      <c r="B2864" s="21" t="s">
        <v>7933</v>
      </c>
      <c r="C2864" s="21" t="s">
        <v>7934</v>
      </c>
      <c r="D2864" s="21" t="s">
        <v>71</v>
      </c>
      <c r="E2864" s="22" t="s">
        <v>7935</v>
      </c>
      <c r="F2864" s="22" t="s">
        <v>7933</v>
      </c>
      <c r="G2864" s="21" t="s">
        <v>7936</v>
      </c>
      <c r="H2864" s="21" t="s">
        <v>7937</v>
      </c>
      <c r="I2864" s="12" t="s">
        <v>9113</v>
      </c>
      <c r="J2864" s="12" t="s">
        <v>10443</v>
      </c>
      <c r="K2864" s="12"/>
      <c r="L2864" s="12" t="s">
        <v>13207</v>
      </c>
      <c r="M2864" s="12" t="s">
        <v>13208</v>
      </c>
    </row>
    <row r="2865" spans="1:13" ht="52.8">
      <c r="A2865" s="21" t="s">
        <v>7932</v>
      </c>
      <c r="B2865" s="21" t="s">
        <v>7933</v>
      </c>
      <c r="C2865" s="21" t="s">
        <v>7934</v>
      </c>
      <c r="D2865" s="21" t="s">
        <v>71</v>
      </c>
      <c r="E2865" s="22" t="s">
        <v>7935</v>
      </c>
      <c r="F2865" s="22" t="s">
        <v>7933</v>
      </c>
      <c r="G2865" s="21" t="s">
        <v>7936</v>
      </c>
      <c r="H2865" s="21" t="s">
        <v>7937</v>
      </c>
      <c r="I2865" s="12" t="s">
        <v>9114</v>
      </c>
      <c r="J2865" s="12" t="s">
        <v>10444</v>
      </c>
      <c r="K2865" s="12"/>
      <c r="L2865" s="12" t="s">
        <v>13209</v>
      </c>
      <c r="M2865" s="12" t="s">
        <v>13210</v>
      </c>
    </row>
    <row r="2866" spans="1:13" ht="52.8">
      <c r="A2866" s="21" t="s">
        <v>7932</v>
      </c>
      <c r="B2866" s="21" t="s">
        <v>7933</v>
      </c>
      <c r="C2866" s="21" t="s">
        <v>7934</v>
      </c>
      <c r="D2866" s="21" t="s">
        <v>71</v>
      </c>
      <c r="E2866" s="22" t="s">
        <v>7935</v>
      </c>
      <c r="F2866" s="22" t="s">
        <v>7933</v>
      </c>
      <c r="G2866" s="21" t="s">
        <v>7936</v>
      </c>
      <c r="H2866" s="21" t="s">
        <v>7937</v>
      </c>
      <c r="I2866" s="12" t="s">
        <v>9115</v>
      </c>
      <c r="J2866" s="12" t="s">
        <v>10445</v>
      </c>
      <c r="K2866" s="12"/>
      <c r="L2866" s="12" t="s">
        <v>13211</v>
      </c>
      <c r="M2866" s="12" t="s">
        <v>13212</v>
      </c>
    </row>
    <row r="2867" spans="1:13" ht="52.8">
      <c r="A2867" s="21" t="s">
        <v>7932</v>
      </c>
      <c r="B2867" s="21" t="s">
        <v>7933</v>
      </c>
      <c r="C2867" s="21" t="s">
        <v>7934</v>
      </c>
      <c r="D2867" s="21" t="s">
        <v>71</v>
      </c>
      <c r="E2867" s="22" t="s">
        <v>7935</v>
      </c>
      <c r="F2867" s="22" t="s">
        <v>7933</v>
      </c>
      <c r="G2867" s="21" t="s">
        <v>7936</v>
      </c>
      <c r="H2867" s="21" t="s">
        <v>7937</v>
      </c>
      <c r="I2867" s="12" t="s">
        <v>9116</v>
      </c>
      <c r="J2867" s="12" t="s">
        <v>10446</v>
      </c>
      <c r="K2867" s="12"/>
      <c r="L2867" s="12" t="s">
        <v>13213</v>
      </c>
      <c r="M2867" s="12" t="s">
        <v>13214</v>
      </c>
    </row>
    <row r="2868" spans="1:13" ht="66">
      <c r="A2868" s="21" t="s">
        <v>7932</v>
      </c>
      <c r="B2868" s="21" t="s">
        <v>7933</v>
      </c>
      <c r="C2868" s="21" t="s">
        <v>7934</v>
      </c>
      <c r="D2868" s="21" t="s">
        <v>71</v>
      </c>
      <c r="E2868" s="22" t="s">
        <v>7935</v>
      </c>
      <c r="F2868" s="22" t="s">
        <v>7933</v>
      </c>
      <c r="G2868" s="21" t="s">
        <v>7936</v>
      </c>
      <c r="H2868" s="21" t="s">
        <v>7937</v>
      </c>
      <c r="I2868" s="12" t="s">
        <v>9117</v>
      </c>
      <c r="J2868" s="12" t="s">
        <v>10447</v>
      </c>
      <c r="K2868" s="12"/>
      <c r="L2868" s="12" t="s">
        <v>13215</v>
      </c>
      <c r="M2868" s="12" t="s">
        <v>13216</v>
      </c>
    </row>
    <row r="2869" spans="1:13" ht="52.8">
      <c r="A2869" s="21" t="s">
        <v>7932</v>
      </c>
      <c r="B2869" s="21" t="s">
        <v>7933</v>
      </c>
      <c r="C2869" s="21" t="s">
        <v>7934</v>
      </c>
      <c r="D2869" s="21" t="s">
        <v>71</v>
      </c>
      <c r="E2869" s="22" t="s">
        <v>7935</v>
      </c>
      <c r="F2869" s="22" t="s">
        <v>7933</v>
      </c>
      <c r="G2869" s="21" t="s">
        <v>7936</v>
      </c>
      <c r="H2869" s="21" t="s">
        <v>7937</v>
      </c>
      <c r="I2869" s="12" t="s">
        <v>9118</v>
      </c>
      <c r="J2869" s="12" t="s">
        <v>10448</v>
      </c>
      <c r="K2869" s="12"/>
      <c r="L2869" s="12" t="s">
        <v>13217</v>
      </c>
      <c r="M2869" s="12" t="s">
        <v>13218</v>
      </c>
    </row>
    <row r="2870" spans="1:13" ht="52.8">
      <c r="A2870" s="21" t="s">
        <v>7932</v>
      </c>
      <c r="B2870" s="21" t="s">
        <v>7933</v>
      </c>
      <c r="C2870" s="21" t="s">
        <v>7934</v>
      </c>
      <c r="D2870" s="21" t="s">
        <v>71</v>
      </c>
      <c r="E2870" s="22" t="s">
        <v>7935</v>
      </c>
      <c r="F2870" s="22" t="s">
        <v>7933</v>
      </c>
      <c r="G2870" s="21" t="s">
        <v>7936</v>
      </c>
      <c r="H2870" s="21" t="s">
        <v>7937</v>
      </c>
      <c r="I2870" s="12" t="s">
        <v>9119</v>
      </c>
      <c r="J2870" s="12" t="s">
        <v>10449</v>
      </c>
      <c r="K2870" s="12"/>
      <c r="L2870" s="12" t="s">
        <v>13219</v>
      </c>
      <c r="M2870" s="12" t="s">
        <v>13220</v>
      </c>
    </row>
    <row r="2871" spans="1:13" ht="52.8">
      <c r="A2871" s="21" t="s">
        <v>7932</v>
      </c>
      <c r="B2871" s="21" t="s">
        <v>7933</v>
      </c>
      <c r="C2871" s="21" t="s">
        <v>7934</v>
      </c>
      <c r="D2871" s="21" t="s">
        <v>71</v>
      </c>
      <c r="E2871" s="22" t="s">
        <v>7935</v>
      </c>
      <c r="F2871" s="22" t="s">
        <v>7933</v>
      </c>
      <c r="G2871" s="21" t="s">
        <v>7936</v>
      </c>
      <c r="H2871" s="21" t="s">
        <v>7937</v>
      </c>
      <c r="I2871" s="12" t="s">
        <v>3599</v>
      </c>
      <c r="J2871" s="12" t="s">
        <v>10450</v>
      </c>
      <c r="K2871" s="12"/>
      <c r="L2871" s="12" t="s">
        <v>13221</v>
      </c>
      <c r="M2871" s="12" t="s">
        <v>13222</v>
      </c>
    </row>
    <row r="2872" spans="1:13" ht="52.8">
      <c r="A2872" s="21" t="s">
        <v>7932</v>
      </c>
      <c r="B2872" s="21" t="s">
        <v>7933</v>
      </c>
      <c r="C2872" s="21" t="s">
        <v>7934</v>
      </c>
      <c r="D2872" s="21" t="s">
        <v>71</v>
      </c>
      <c r="E2872" s="22" t="s">
        <v>7935</v>
      </c>
      <c r="F2872" s="22" t="s">
        <v>7933</v>
      </c>
      <c r="G2872" s="21" t="s">
        <v>7936</v>
      </c>
      <c r="H2872" s="21" t="s">
        <v>7937</v>
      </c>
      <c r="I2872" s="12" t="s">
        <v>9120</v>
      </c>
      <c r="J2872" s="12" t="s">
        <v>10451</v>
      </c>
      <c r="K2872" s="12"/>
      <c r="L2872" s="12" t="s">
        <v>13223</v>
      </c>
      <c r="M2872" s="12" t="s">
        <v>13224</v>
      </c>
    </row>
    <row r="2873" spans="1:13" ht="52.8">
      <c r="A2873" s="21" t="s">
        <v>7932</v>
      </c>
      <c r="B2873" s="21" t="s">
        <v>7933</v>
      </c>
      <c r="C2873" s="21" t="s">
        <v>7934</v>
      </c>
      <c r="D2873" s="21" t="s">
        <v>71</v>
      </c>
      <c r="E2873" s="22" t="s">
        <v>7935</v>
      </c>
      <c r="F2873" s="22" t="s">
        <v>7933</v>
      </c>
      <c r="G2873" s="21" t="s">
        <v>7936</v>
      </c>
      <c r="H2873" s="21" t="s">
        <v>7937</v>
      </c>
      <c r="I2873" s="12" t="s">
        <v>9121</v>
      </c>
      <c r="J2873" s="12" t="s">
        <v>10452</v>
      </c>
      <c r="K2873" s="12" t="s">
        <v>13225</v>
      </c>
      <c r="L2873" s="12" t="s">
        <v>13226</v>
      </c>
      <c r="M2873" s="12" t="s">
        <v>13227</v>
      </c>
    </row>
    <row r="2874" spans="1:13" ht="52.8">
      <c r="A2874" s="21" t="s">
        <v>7932</v>
      </c>
      <c r="B2874" s="21" t="s">
        <v>7933</v>
      </c>
      <c r="C2874" s="21" t="s">
        <v>7934</v>
      </c>
      <c r="D2874" s="21" t="s">
        <v>71</v>
      </c>
      <c r="E2874" s="22" t="s">
        <v>7935</v>
      </c>
      <c r="F2874" s="22" t="s">
        <v>7933</v>
      </c>
      <c r="G2874" s="21" t="s">
        <v>7936</v>
      </c>
      <c r="H2874" s="21" t="s">
        <v>7937</v>
      </c>
      <c r="I2874" s="12" t="s">
        <v>9122</v>
      </c>
      <c r="J2874" s="12" t="s">
        <v>10453</v>
      </c>
      <c r="K2874" s="12" t="s">
        <v>13228</v>
      </c>
      <c r="L2874" s="12" t="s">
        <v>13229</v>
      </c>
      <c r="M2874" s="12" t="s">
        <v>13230</v>
      </c>
    </row>
    <row r="2875" spans="1:13" ht="52.8">
      <c r="A2875" s="21" t="s">
        <v>7932</v>
      </c>
      <c r="B2875" s="21" t="s">
        <v>7933</v>
      </c>
      <c r="C2875" s="21" t="s">
        <v>7934</v>
      </c>
      <c r="D2875" s="21" t="s">
        <v>71</v>
      </c>
      <c r="E2875" s="22" t="s">
        <v>7935</v>
      </c>
      <c r="F2875" s="22" t="s">
        <v>7933</v>
      </c>
      <c r="G2875" s="21" t="s">
        <v>7936</v>
      </c>
      <c r="H2875" s="21" t="s">
        <v>7937</v>
      </c>
      <c r="I2875" s="12" t="s">
        <v>9123</v>
      </c>
      <c r="J2875" s="12" t="s">
        <v>10454</v>
      </c>
      <c r="K2875" s="12" t="s">
        <v>13231</v>
      </c>
      <c r="L2875" s="12" t="s">
        <v>13232</v>
      </c>
      <c r="M2875" s="12" t="s">
        <v>13231</v>
      </c>
    </row>
    <row r="2876" spans="1:13" ht="52.8">
      <c r="A2876" s="21" t="s">
        <v>7932</v>
      </c>
      <c r="B2876" s="21" t="s">
        <v>7933</v>
      </c>
      <c r="C2876" s="21" t="s">
        <v>7934</v>
      </c>
      <c r="D2876" s="21" t="s">
        <v>71</v>
      </c>
      <c r="E2876" s="22" t="s">
        <v>7935</v>
      </c>
      <c r="F2876" s="22" t="s">
        <v>7933</v>
      </c>
      <c r="G2876" s="21" t="s">
        <v>7936</v>
      </c>
      <c r="H2876" s="21" t="s">
        <v>7937</v>
      </c>
      <c r="I2876" s="12" t="s">
        <v>9124</v>
      </c>
      <c r="J2876" s="12" t="s">
        <v>10455</v>
      </c>
      <c r="K2876" s="12" t="s">
        <v>13233</v>
      </c>
      <c r="L2876" s="12" t="s">
        <v>13234</v>
      </c>
      <c r="M2876" s="12" t="s">
        <v>13233</v>
      </c>
    </row>
    <row r="2877" spans="1:13" ht="52.8">
      <c r="A2877" s="21" t="s">
        <v>7932</v>
      </c>
      <c r="B2877" s="21" t="s">
        <v>7933</v>
      </c>
      <c r="C2877" s="21" t="s">
        <v>7934</v>
      </c>
      <c r="D2877" s="21" t="s">
        <v>71</v>
      </c>
      <c r="E2877" s="22" t="s">
        <v>7935</v>
      </c>
      <c r="F2877" s="22" t="s">
        <v>7933</v>
      </c>
      <c r="G2877" s="21" t="s">
        <v>7936</v>
      </c>
      <c r="H2877" s="21" t="s">
        <v>7937</v>
      </c>
      <c r="I2877" s="12" t="s">
        <v>9125</v>
      </c>
      <c r="J2877" s="12" t="s">
        <v>10456</v>
      </c>
      <c r="K2877" s="12" t="s">
        <v>13235</v>
      </c>
      <c r="L2877" s="12" t="s">
        <v>13236</v>
      </c>
      <c r="M2877" s="12" t="s">
        <v>13235</v>
      </c>
    </row>
    <row r="2878" spans="1:13" ht="52.8">
      <c r="A2878" s="21" t="s">
        <v>7932</v>
      </c>
      <c r="B2878" s="21" t="s">
        <v>7933</v>
      </c>
      <c r="C2878" s="21" t="s">
        <v>7934</v>
      </c>
      <c r="D2878" s="21" t="s">
        <v>71</v>
      </c>
      <c r="E2878" s="22" t="s">
        <v>7935</v>
      </c>
      <c r="F2878" s="22" t="s">
        <v>7933</v>
      </c>
      <c r="G2878" s="21" t="s">
        <v>7936</v>
      </c>
      <c r="H2878" s="21" t="s">
        <v>7937</v>
      </c>
      <c r="I2878" s="12" t="s">
        <v>9126</v>
      </c>
      <c r="J2878" s="12" t="s">
        <v>10457</v>
      </c>
      <c r="K2878" s="12" t="s">
        <v>13237</v>
      </c>
      <c r="L2878" s="12" t="s">
        <v>13238</v>
      </c>
      <c r="M2878" s="12" t="s">
        <v>13237</v>
      </c>
    </row>
    <row r="2879" spans="1:13" ht="52.8">
      <c r="A2879" s="21" t="s">
        <v>7932</v>
      </c>
      <c r="B2879" s="21" t="s">
        <v>7933</v>
      </c>
      <c r="C2879" s="21" t="s">
        <v>7934</v>
      </c>
      <c r="D2879" s="21" t="s">
        <v>71</v>
      </c>
      <c r="E2879" s="22" t="s">
        <v>7935</v>
      </c>
      <c r="F2879" s="22" t="s">
        <v>7933</v>
      </c>
      <c r="G2879" s="21" t="s">
        <v>7936</v>
      </c>
      <c r="H2879" s="21" t="s">
        <v>7937</v>
      </c>
      <c r="I2879" s="12" t="s">
        <v>9127</v>
      </c>
      <c r="J2879" s="12" t="s">
        <v>10458</v>
      </c>
      <c r="K2879" s="12" t="s">
        <v>13239</v>
      </c>
      <c r="L2879" s="12" t="s">
        <v>13240</v>
      </c>
      <c r="M2879" s="12" t="s">
        <v>13239</v>
      </c>
    </row>
    <row r="2880" spans="1:13" ht="52.8">
      <c r="A2880" s="21" t="s">
        <v>7932</v>
      </c>
      <c r="B2880" s="21" t="s">
        <v>7933</v>
      </c>
      <c r="C2880" s="21" t="s">
        <v>7934</v>
      </c>
      <c r="D2880" s="21" t="s">
        <v>71</v>
      </c>
      <c r="E2880" s="22" t="s">
        <v>7935</v>
      </c>
      <c r="F2880" s="22" t="s">
        <v>7933</v>
      </c>
      <c r="G2880" s="21" t="s">
        <v>7936</v>
      </c>
      <c r="H2880" s="21" t="s">
        <v>7937</v>
      </c>
      <c r="I2880" s="12" t="s">
        <v>9128</v>
      </c>
      <c r="J2880" s="12" t="s">
        <v>10459</v>
      </c>
      <c r="K2880" s="12" t="s">
        <v>13241</v>
      </c>
      <c r="L2880" s="12" t="s">
        <v>13242</v>
      </c>
      <c r="M2880" s="12" t="s">
        <v>13241</v>
      </c>
    </row>
    <row r="2881" spans="1:13" ht="52.8">
      <c r="A2881" s="21" t="s">
        <v>7932</v>
      </c>
      <c r="B2881" s="21" t="s">
        <v>7933</v>
      </c>
      <c r="C2881" s="21" t="s">
        <v>7934</v>
      </c>
      <c r="D2881" s="21" t="s">
        <v>71</v>
      </c>
      <c r="E2881" s="22" t="s">
        <v>7935</v>
      </c>
      <c r="F2881" s="22" t="s">
        <v>7933</v>
      </c>
      <c r="G2881" s="21" t="s">
        <v>7936</v>
      </c>
      <c r="H2881" s="21" t="s">
        <v>7937</v>
      </c>
      <c r="I2881" s="12" t="s">
        <v>9129</v>
      </c>
      <c r="J2881" s="12" t="s">
        <v>10460</v>
      </c>
      <c r="K2881" s="12" t="s">
        <v>13243</v>
      </c>
      <c r="L2881" s="12" t="s">
        <v>13244</v>
      </c>
      <c r="M2881" s="12" t="s">
        <v>13243</v>
      </c>
    </row>
    <row r="2882" spans="1:13" ht="52.8">
      <c r="A2882" s="21" t="s">
        <v>7932</v>
      </c>
      <c r="B2882" s="21" t="s">
        <v>7933</v>
      </c>
      <c r="C2882" s="21" t="s">
        <v>7934</v>
      </c>
      <c r="D2882" s="21" t="s">
        <v>71</v>
      </c>
      <c r="E2882" s="22" t="s">
        <v>7935</v>
      </c>
      <c r="F2882" s="22" t="s">
        <v>7933</v>
      </c>
      <c r="G2882" s="21" t="s">
        <v>7936</v>
      </c>
      <c r="H2882" s="21" t="s">
        <v>7937</v>
      </c>
      <c r="I2882" s="12" t="s">
        <v>9130</v>
      </c>
      <c r="J2882" s="12" t="s">
        <v>10461</v>
      </c>
      <c r="K2882" s="12" t="s">
        <v>13245</v>
      </c>
      <c r="L2882" s="12" t="s">
        <v>13246</v>
      </c>
      <c r="M2882" s="12" t="s">
        <v>13245</v>
      </c>
    </row>
    <row r="2883" spans="1:13" ht="52.8">
      <c r="A2883" s="21" t="s">
        <v>7932</v>
      </c>
      <c r="B2883" s="21" t="s">
        <v>7933</v>
      </c>
      <c r="C2883" s="21" t="s">
        <v>7934</v>
      </c>
      <c r="D2883" s="21" t="s">
        <v>71</v>
      </c>
      <c r="E2883" s="22" t="s">
        <v>7935</v>
      </c>
      <c r="F2883" s="22" t="s">
        <v>7933</v>
      </c>
      <c r="G2883" s="21" t="s">
        <v>7936</v>
      </c>
      <c r="H2883" s="21" t="s">
        <v>7937</v>
      </c>
      <c r="I2883" s="12" t="s">
        <v>9131</v>
      </c>
      <c r="J2883" s="12" t="s">
        <v>10462</v>
      </c>
      <c r="K2883" s="12" t="s">
        <v>13247</v>
      </c>
      <c r="L2883" s="12" t="s">
        <v>13248</v>
      </c>
      <c r="M2883" s="12" t="s">
        <v>13247</v>
      </c>
    </row>
    <row r="2884" spans="1:13" ht="52.8">
      <c r="A2884" s="21" t="s">
        <v>7932</v>
      </c>
      <c r="B2884" s="21" t="s">
        <v>7933</v>
      </c>
      <c r="C2884" s="21" t="s">
        <v>7934</v>
      </c>
      <c r="D2884" s="21" t="s">
        <v>71</v>
      </c>
      <c r="E2884" s="22" t="s">
        <v>7935</v>
      </c>
      <c r="F2884" s="22" t="s">
        <v>7933</v>
      </c>
      <c r="G2884" s="21" t="s">
        <v>7936</v>
      </c>
      <c r="H2884" s="21" t="s">
        <v>7937</v>
      </c>
      <c r="I2884" s="12" t="s">
        <v>9132</v>
      </c>
      <c r="J2884" s="12" t="s">
        <v>10463</v>
      </c>
      <c r="K2884" s="12" t="s">
        <v>13249</v>
      </c>
      <c r="L2884" s="12" t="s">
        <v>13250</v>
      </c>
      <c r="M2884" s="12" t="s">
        <v>13249</v>
      </c>
    </row>
    <row r="2885" spans="1:13" ht="52.8">
      <c r="A2885" s="21" t="s">
        <v>7932</v>
      </c>
      <c r="B2885" s="21" t="s">
        <v>7933</v>
      </c>
      <c r="C2885" s="21" t="s">
        <v>7934</v>
      </c>
      <c r="D2885" s="21" t="s">
        <v>71</v>
      </c>
      <c r="E2885" s="22" t="s">
        <v>7935</v>
      </c>
      <c r="F2885" s="22" t="s">
        <v>7933</v>
      </c>
      <c r="G2885" s="21" t="s">
        <v>7936</v>
      </c>
      <c r="H2885" s="21" t="s">
        <v>7937</v>
      </c>
      <c r="I2885" s="12" t="s">
        <v>9133</v>
      </c>
      <c r="J2885" s="12" t="s">
        <v>10464</v>
      </c>
      <c r="K2885" s="12" t="s">
        <v>13251</v>
      </c>
      <c r="L2885" s="12" t="s">
        <v>13252</v>
      </c>
      <c r="M2885" s="12" t="s">
        <v>13251</v>
      </c>
    </row>
    <row r="2886" spans="1:13" ht="52.8">
      <c r="A2886" s="21" t="s">
        <v>7932</v>
      </c>
      <c r="B2886" s="21" t="s">
        <v>7933</v>
      </c>
      <c r="C2886" s="21" t="s">
        <v>7934</v>
      </c>
      <c r="D2886" s="21" t="s">
        <v>71</v>
      </c>
      <c r="E2886" s="22" t="s">
        <v>7935</v>
      </c>
      <c r="F2886" s="22" t="s">
        <v>7933</v>
      </c>
      <c r="G2886" s="21" t="s">
        <v>7936</v>
      </c>
      <c r="H2886" s="21" t="s">
        <v>7937</v>
      </c>
      <c r="I2886" s="12" t="s">
        <v>9134</v>
      </c>
      <c r="J2886" s="12" t="s">
        <v>10465</v>
      </c>
      <c r="K2886" s="12" t="s">
        <v>13253</v>
      </c>
      <c r="L2886" s="12" t="s">
        <v>13254</v>
      </c>
      <c r="M2886" s="12" t="s">
        <v>13253</v>
      </c>
    </row>
    <row r="2887" spans="1:13" ht="52.8">
      <c r="A2887" s="21" t="s">
        <v>7932</v>
      </c>
      <c r="B2887" s="21" t="s">
        <v>7933</v>
      </c>
      <c r="C2887" s="21" t="s">
        <v>7934</v>
      </c>
      <c r="D2887" s="21" t="s">
        <v>71</v>
      </c>
      <c r="E2887" s="22" t="s">
        <v>7935</v>
      </c>
      <c r="F2887" s="22" t="s">
        <v>7933</v>
      </c>
      <c r="G2887" s="21" t="s">
        <v>7936</v>
      </c>
      <c r="H2887" s="21" t="s">
        <v>7937</v>
      </c>
      <c r="I2887" s="12" t="s">
        <v>9135</v>
      </c>
      <c r="J2887" s="12" t="s">
        <v>10466</v>
      </c>
      <c r="K2887" s="12"/>
      <c r="L2887" s="12" t="s">
        <v>13255</v>
      </c>
      <c r="M2887" s="12" t="s">
        <v>13256</v>
      </c>
    </row>
    <row r="2888" spans="1:13" ht="52.8">
      <c r="A2888" s="21" t="s">
        <v>7932</v>
      </c>
      <c r="B2888" s="21" t="s">
        <v>7933</v>
      </c>
      <c r="C2888" s="21" t="s">
        <v>7934</v>
      </c>
      <c r="D2888" s="21" t="s">
        <v>71</v>
      </c>
      <c r="E2888" s="22" t="s">
        <v>7935</v>
      </c>
      <c r="F2888" s="22" t="s">
        <v>7933</v>
      </c>
      <c r="G2888" s="21" t="s">
        <v>7936</v>
      </c>
      <c r="H2888" s="21" t="s">
        <v>7937</v>
      </c>
      <c r="I2888" s="12" t="s">
        <v>9136</v>
      </c>
      <c r="J2888" s="12" t="s">
        <v>10467</v>
      </c>
      <c r="K2888" s="12" t="s">
        <v>13257</v>
      </c>
      <c r="L2888" s="12" t="s">
        <v>13258</v>
      </c>
      <c r="M2888" s="12" t="s">
        <v>13257</v>
      </c>
    </row>
    <row r="2889" spans="1:13" ht="52.8">
      <c r="A2889" s="21" t="s">
        <v>7932</v>
      </c>
      <c r="B2889" s="21" t="s">
        <v>7933</v>
      </c>
      <c r="C2889" s="21" t="s">
        <v>7934</v>
      </c>
      <c r="D2889" s="21" t="s">
        <v>71</v>
      </c>
      <c r="E2889" s="22" t="s">
        <v>7935</v>
      </c>
      <c r="F2889" s="22" t="s">
        <v>7933</v>
      </c>
      <c r="G2889" s="21" t="s">
        <v>7936</v>
      </c>
      <c r="H2889" s="21" t="s">
        <v>7937</v>
      </c>
      <c r="I2889" s="12" t="s">
        <v>9137</v>
      </c>
      <c r="J2889" s="12" t="s">
        <v>10468</v>
      </c>
      <c r="K2889" s="12"/>
      <c r="L2889" s="12" t="s">
        <v>13259</v>
      </c>
      <c r="M2889" s="12" t="s">
        <v>13260</v>
      </c>
    </row>
    <row r="2890" spans="1:13" ht="52.8">
      <c r="A2890" s="21" t="s">
        <v>7932</v>
      </c>
      <c r="B2890" s="21" t="s">
        <v>7933</v>
      </c>
      <c r="C2890" s="21" t="s">
        <v>7934</v>
      </c>
      <c r="D2890" s="21" t="s">
        <v>71</v>
      </c>
      <c r="E2890" s="22" t="s">
        <v>7935</v>
      </c>
      <c r="F2890" s="22" t="s">
        <v>7933</v>
      </c>
      <c r="G2890" s="21" t="s">
        <v>7936</v>
      </c>
      <c r="H2890" s="21" t="s">
        <v>7937</v>
      </c>
      <c r="I2890" s="12" t="s">
        <v>9138</v>
      </c>
      <c r="J2890" s="12" t="s">
        <v>10469</v>
      </c>
      <c r="K2890" s="12" t="s">
        <v>13261</v>
      </c>
      <c r="L2890" s="12" t="s">
        <v>13262</v>
      </c>
      <c r="M2890" s="12" t="s">
        <v>13263</v>
      </c>
    </row>
    <row r="2891" spans="1:13" ht="52.8">
      <c r="A2891" s="21" t="s">
        <v>7932</v>
      </c>
      <c r="B2891" s="21" t="s">
        <v>7933</v>
      </c>
      <c r="C2891" s="21" t="s">
        <v>7934</v>
      </c>
      <c r="D2891" s="21" t="s">
        <v>71</v>
      </c>
      <c r="E2891" s="22" t="s">
        <v>7935</v>
      </c>
      <c r="F2891" s="22" t="s">
        <v>7933</v>
      </c>
      <c r="G2891" s="21" t="s">
        <v>7936</v>
      </c>
      <c r="H2891" s="21" t="s">
        <v>7937</v>
      </c>
      <c r="I2891" s="12" t="s">
        <v>9139</v>
      </c>
      <c r="J2891" s="12" t="s">
        <v>10470</v>
      </c>
      <c r="K2891" s="12"/>
      <c r="L2891" s="12" t="s">
        <v>13264</v>
      </c>
      <c r="M2891" s="12" t="s">
        <v>13265</v>
      </c>
    </row>
    <row r="2892" spans="1:13" ht="52.8">
      <c r="A2892" s="21" t="s">
        <v>7932</v>
      </c>
      <c r="B2892" s="21" t="s">
        <v>7933</v>
      </c>
      <c r="C2892" s="21" t="s">
        <v>7934</v>
      </c>
      <c r="D2892" s="21" t="s">
        <v>71</v>
      </c>
      <c r="E2892" s="22" t="s">
        <v>7935</v>
      </c>
      <c r="F2892" s="22" t="s">
        <v>7933</v>
      </c>
      <c r="G2892" s="21" t="s">
        <v>7936</v>
      </c>
      <c r="H2892" s="21" t="s">
        <v>7937</v>
      </c>
      <c r="I2892" s="12" t="s">
        <v>9140</v>
      </c>
      <c r="J2892" s="12" t="s">
        <v>10471</v>
      </c>
      <c r="K2892" s="12"/>
      <c r="L2892" s="12" t="s">
        <v>13266</v>
      </c>
      <c r="M2892" s="12" t="s">
        <v>13267</v>
      </c>
    </row>
    <row r="2893" spans="1:13" ht="52.8">
      <c r="A2893" s="21" t="s">
        <v>7932</v>
      </c>
      <c r="B2893" s="21" t="s">
        <v>7933</v>
      </c>
      <c r="C2893" s="21" t="s">
        <v>7934</v>
      </c>
      <c r="D2893" s="21" t="s">
        <v>71</v>
      </c>
      <c r="E2893" s="22" t="s">
        <v>7935</v>
      </c>
      <c r="F2893" s="22" t="s">
        <v>7933</v>
      </c>
      <c r="G2893" s="21" t="s">
        <v>7936</v>
      </c>
      <c r="H2893" s="21" t="s">
        <v>7937</v>
      </c>
      <c r="I2893" s="12" t="s">
        <v>9141</v>
      </c>
      <c r="J2893" s="12" t="s">
        <v>10472</v>
      </c>
      <c r="K2893" s="12"/>
      <c r="L2893" s="12" t="s">
        <v>13268</v>
      </c>
      <c r="M2893" s="12" t="s">
        <v>13269</v>
      </c>
    </row>
    <row r="2894" spans="1:13" ht="79.2">
      <c r="A2894" s="21" t="s">
        <v>7932</v>
      </c>
      <c r="B2894" s="21" t="s">
        <v>7933</v>
      </c>
      <c r="C2894" s="21" t="s">
        <v>7934</v>
      </c>
      <c r="D2894" s="21" t="s">
        <v>71</v>
      </c>
      <c r="E2894" s="22" t="s">
        <v>7935</v>
      </c>
      <c r="F2894" s="22" t="s">
        <v>7933</v>
      </c>
      <c r="G2894" s="21" t="s">
        <v>7936</v>
      </c>
      <c r="H2894" s="21" t="s">
        <v>7937</v>
      </c>
      <c r="I2894" s="12" t="s">
        <v>9142</v>
      </c>
      <c r="J2894" s="12" t="s">
        <v>10473</v>
      </c>
      <c r="K2894" s="12" t="s">
        <v>13270</v>
      </c>
      <c r="L2894" s="12" t="s">
        <v>13271</v>
      </c>
      <c r="M2894" s="12" t="s">
        <v>13270</v>
      </c>
    </row>
    <row r="2895" spans="1:13" ht="184.8">
      <c r="A2895" s="21" t="s">
        <v>7932</v>
      </c>
      <c r="B2895" s="21" t="s">
        <v>7933</v>
      </c>
      <c r="C2895" s="21" t="s">
        <v>7934</v>
      </c>
      <c r="D2895" s="21" t="s">
        <v>71</v>
      </c>
      <c r="E2895" s="22" t="s">
        <v>7935</v>
      </c>
      <c r="F2895" s="22" t="s">
        <v>7933</v>
      </c>
      <c r="G2895" s="21" t="s">
        <v>7936</v>
      </c>
      <c r="H2895" s="21" t="s">
        <v>7937</v>
      </c>
      <c r="I2895" s="12" t="s">
        <v>9143</v>
      </c>
      <c r="J2895" s="12" t="s">
        <v>10474</v>
      </c>
      <c r="K2895" s="12"/>
      <c r="L2895" s="12" t="s">
        <v>13272</v>
      </c>
      <c r="M2895" s="12" t="s">
        <v>13273</v>
      </c>
    </row>
    <row r="2896" spans="1:13" ht="52.8">
      <c r="A2896" s="21" t="s">
        <v>7932</v>
      </c>
      <c r="B2896" s="21" t="s">
        <v>7933</v>
      </c>
      <c r="C2896" s="21" t="s">
        <v>7934</v>
      </c>
      <c r="D2896" s="21" t="s">
        <v>71</v>
      </c>
      <c r="E2896" s="22" t="s">
        <v>7935</v>
      </c>
      <c r="F2896" s="22" t="s">
        <v>7933</v>
      </c>
      <c r="G2896" s="21" t="s">
        <v>7936</v>
      </c>
      <c r="H2896" s="21" t="s">
        <v>7937</v>
      </c>
      <c r="I2896" s="12" t="s">
        <v>9144</v>
      </c>
      <c r="J2896" s="12" t="s">
        <v>10475</v>
      </c>
      <c r="K2896" s="12" t="s">
        <v>13274</v>
      </c>
      <c r="L2896" s="12" t="s">
        <v>13275</v>
      </c>
      <c r="M2896" s="12" t="s">
        <v>13276</v>
      </c>
    </row>
    <row r="2897" spans="1:13" ht="52.8">
      <c r="A2897" s="21" t="s">
        <v>7932</v>
      </c>
      <c r="B2897" s="21" t="s">
        <v>7933</v>
      </c>
      <c r="C2897" s="21" t="s">
        <v>7934</v>
      </c>
      <c r="D2897" s="21" t="s">
        <v>71</v>
      </c>
      <c r="E2897" s="22" t="s">
        <v>7935</v>
      </c>
      <c r="F2897" s="22" t="s">
        <v>7933</v>
      </c>
      <c r="G2897" s="21" t="s">
        <v>7936</v>
      </c>
      <c r="H2897" s="21" t="s">
        <v>7937</v>
      </c>
      <c r="I2897" s="12" t="s">
        <v>9145</v>
      </c>
      <c r="J2897" s="12" t="s">
        <v>10476</v>
      </c>
      <c r="K2897" s="12"/>
      <c r="L2897" s="12" t="s">
        <v>13277</v>
      </c>
      <c r="M2897" s="12" t="s">
        <v>13278</v>
      </c>
    </row>
    <row r="2898" spans="1:13" ht="52.8">
      <c r="A2898" s="21" t="s">
        <v>7932</v>
      </c>
      <c r="B2898" s="21" t="s">
        <v>7933</v>
      </c>
      <c r="C2898" s="21" t="s">
        <v>7934</v>
      </c>
      <c r="D2898" s="21" t="s">
        <v>71</v>
      </c>
      <c r="E2898" s="22" t="s">
        <v>7935</v>
      </c>
      <c r="F2898" s="22" t="s">
        <v>7933</v>
      </c>
      <c r="G2898" s="21" t="s">
        <v>7936</v>
      </c>
      <c r="H2898" s="21" t="s">
        <v>7937</v>
      </c>
      <c r="I2898" s="12" t="s">
        <v>9146</v>
      </c>
      <c r="J2898" s="12" t="s">
        <v>10477</v>
      </c>
      <c r="K2898" s="12" t="s">
        <v>13279</v>
      </c>
      <c r="L2898" s="12" t="s">
        <v>13280</v>
      </c>
      <c r="M2898" s="12" t="s">
        <v>13281</v>
      </c>
    </row>
    <row r="2899" spans="1:13" ht="52.8">
      <c r="A2899" s="21" t="s">
        <v>7932</v>
      </c>
      <c r="B2899" s="21" t="s">
        <v>7933</v>
      </c>
      <c r="C2899" s="21" t="s">
        <v>7934</v>
      </c>
      <c r="D2899" s="21" t="s">
        <v>71</v>
      </c>
      <c r="E2899" s="22" t="s">
        <v>7935</v>
      </c>
      <c r="F2899" s="22" t="s">
        <v>7933</v>
      </c>
      <c r="G2899" s="21" t="s">
        <v>7936</v>
      </c>
      <c r="H2899" s="21" t="s">
        <v>7937</v>
      </c>
      <c r="I2899" s="12" t="s">
        <v>9147</v>
      </c>
      <c r="J2899" s="12" t="s">
        <v>10478</v>
      </c>
      <c r="K2899" s="12"/>
      <c r="L2899" s="12" t="s">
        <v>13282</v>
      </c>
      <c r="M2899" s="12" t="s">
        <v>13283</v>
      </c>
    </row>
    <row r="2900" spans="1:13" ht="52.8">
      <c r="A2900" s="21" t="s">
        <v>7932</v>
      </c>
      <c r="B2900" s="21" t="s">
        <v>7933</v>
      </c>
      <c r="C2900" s="21" t="s">
        <v>7934</v>
      </c>
      <c r="D2900" s="21" t="s">
        <v>71</v>
      </c>
      <c r="E2900" s="22" t="s">
        <v>7935</v>
      </c>
      <c r="F2900" s="22" t="s">
        <v>7933</v>
      </c>
      <c r="G2900" s="21" t="s">
        <v>7936</v>
      </c>
      <c r="H2900" s="21" t="s">
        <v>7937</v>
      </c>
      <c r="I2900" s="12" t="s">
        <v>9148</v>
      </c>
      <c r="J2900" s="12" t="s">
        <v>10479</v>
      </c>
      <c r="K2900" s="12" t="s">
        <v>13284</v>
      </c>
      <c r="L2900" s="12" t="s">
        <v>13285</v>
      </c>
      <c r="M2900" s="12" t="s">
        <v>13286</v>
      </c>
    </row>
    <row r="2901" spans="1:13" ht="52.8">
      <c r="A2901" s="21" t="s">
        <v>7932</v>
      </c>
      <c r="B2901" s="21" t="s">
        <v>7933</v>
      </c>
      <c r="C2901" s="21" t="s">
        <v>7934</v>
      </c>
      <c r="D2901" s="21" t="s">
        <v>71</v>
      </c>
      <c r="E2901" s="22" t="s">
        <v>7935</v>
      </c>
      <c r="F2901" s="22" t="s">
        <v>7933</v>
      </c>
      <c r="G2901" s="21" t="s">
        <v>7936</v>
      </c>
      <c r="H2901" s="21" t="s">
        <v>7937</v>
      </c>
      <c r="I2901" s="12" t="s">
        <v>9149</v>
      </c>
      <c r="J2901" s="12" t="s">
        <v>10480</v>
      </c>
      <c r="K2901" s="12"/>
      <c r="L2901" s="12" t="s">
        <v>13287</v>
      </c>
      <c r="M2901" s="12" t="s">
        <v>13288</v>
      </c>
    </row>
    <row r="2902" spans="1:13" ht="52.8">
      <c r="A2902" s="21" t="s">
        <v>7932</v>
      </c>
      <c r="B2902" s="21" t="s">
        <v>7933</v>
      </c>
      <c r="C2902" s="21" t="s">
        <v>7934</v>
      </c>
      <c r="D2902" s="21" t="s">
        <v>71</v>
      </c>
      <c r="E2902" s="22" t="s">
        <v>7935</v>
      </c>
      <c r="F2902" s="22" t="s">
        <v>7933</v>
      </c>
      <c r="G2902" s="21" t="s">
        <v>7936</v>
      </c>
      <c r="H2902" s="21" t="s">
        <v>7937</v>
      </c>
      <c r="I2902" s="12" t="s">
        <v>9150</v>
      </c>
      <c r="J2902" s="12" t="s">
        <v>10481</v>
      </c>
      <c r="K2902" s="12" t="s">
        <v>13289</v>
      </c>
      <c r="L2902" s="12" t="s">
        <v>13290</v>
      </c>
      <c r="M2902" s="12" t="s">
        <v>13289</v>
      </c>
    </row>
    <row r="2903" spans="1:13" ht="52.8">
      <c r="A2903" s="21" t="s">
        <v>7932</v>
      </c>
      <c r="B2903" s="21" t="s">
        <v>7933</v>
      </c>
      <c r="C2903" s="21" t="s">
        <v>7934</v>
      </c>
      <c r="D2903" s="21" t="s">
        <v>71</v>
      </c>
      <c r="E2903" s="22" t="s">
        <v>7935</v>
      </c>
      <c r="F2903" s="22" t="s">
        <v>7933</v>
      </c>
      <c r="G2903" s="21" t="s">
        <v>7936</v>
      </c>
      <c r="H2903" s="21" t="s">
        <v>7937</v>
      </c>
      <c r="I2903" s="12" t="s">
        <v>9151</v>
      </c>
      <c r="J2903" s="12" t="s">
        <v>10482</v>
      </c>
      <c r="K2903" s="12" t="s">
        <v>13291</v>
      </c>
      <c r="L2903" s="12" t="s">
        <v>13292</v>
      </c>
      <c r="M2903" s="12" t="s">
        <v>13293</v>
      </c>
    </row>
    <row r="2904" spans="1:13" ht="66">
      <c r="A2904" s="21" t="s">
        <v>7932</v>
      </c>
      <c r="B2904" s="21" t="s">
        <v>7933</v>
      </c>
      <c r="C2904" s="21" t="s">
        <v>7934</v>
      </c>
      <c r="D2904" s="21" t="s">
        <v>71</v>
      </c>
      <c r="E2904" s="22" t="s">
        <v>7935</v>
      </c>
      <c r="F2904" s="22" t="s">
        <v>7933</v>
      </c>
      <c r="G2904" s="21" t="s">
        <v>7936</v>
      </c>
      <c r="H2904" s="21" t="s">
        <v>7937</v>
      </c>
      <c r="I2904" s="12" t="s">
        <v>9152</v>
      </c>
      <c r="J2904" s="12" t="s">
        <v>10483</v>
      </c>
      <c r="K2904" s="12" t="s">
        <v>13294</v>
      </c>
      <c r="L2904" s="12" t="s">
        <v>13295</v>
      </c>
      <c r="M2904" s="12" t="s">
        <v>13296</v>
      </c>
    </row>
    <row r="2905" spans="1:13" ht="66">
      <c r="A2905" s="21" t="s">
        <v>7932</v>
      </c>
      <c r="B2905" s="21" t="s">
        <v>7933</v>
      </c>
      <c r="C2905" s="21" t="s">
        <v>7934</v>
      </c>
      <c r="D2905" s="21" t="s">
        <v>71</v>
      </c>
      <c r="E2905" s="22" t="s">
        <v>7935</v>
      </c>
      <c r="F2905" s="22" t="s">
        <v>7933</v>
      </c>
      <c r="G2905" s="21" t="s">
        <v>7936</v>
      </c>
      <c r="H2905" s="21" t="s">
        <v>7937</v>
      </c>
      <c r="I2905" s="12" t="s">
        <v>9153</v>
      </c>
      <c r="J2905" s="12" t="s">
        <v>10484</v>
      </c>
      <c r="K2905" s="12" t="s">
        <v>13297</v>
      </c>
      <c r="L2905" s="12" t="s">
        <v>13298</v>
      </c>
      <c r="M2905" s="12" t="s">
        <v>13299</v>
      </c>
    </row>
    <row r="2906" spans="1:13" ht="66">
      <c r="A2906" s="21" t="s">
        <v>7932</v>
      </c>
      <c r="B2906" s="21" t="s">
        <v>7933</v>
      </c>
      <c r="C2906" s="21" t="s">
        <v>7934</v>
      </c>
      <c r="D2906" s="21" t="s">
        <v>71</v>
      </c>
      <c r="E2906" s="22" t="s">
        <v>7935</v>
      </c>
      <c r="F2906" s="22" t="s">
        <v>7933</v>
      </c>
      <c r="G2906" s="21" t="s">
        <v>7936</v>
      </c>
      <c r="H2906" s="21" t="s">
        <v>7937</v>
      </c>
      <c r="I2906" s="12" t="s">
        <v>9154</v>
      </c>
      <c r="J2906" s="12" t="s">
        <v>10485</v>
      </c>
      <c r="K2906" s="12" t="s">
        <v>13300</v>
      </c>
      <c r="L2906" s="12" t="s">
        <v>13301</v>
      </c>
      <c r="M2906" s="12" t="s">
        <v>13302</v>
      </c>
    </row>
    <row r="2907" spans="1:13" ht="52.8">
      <c r="A2907" s="21" t="s">
        <v>7932</v>
      </c>
      <c r="B2907" s="21" t="s">
        <v>7933</v>
      </c>
      <c r="C2907" s="21" t="s">
        <v>7934</v>
      </c>
      <c r="D2907" s="21" t="s">
        <v>71</v>
      </c>
      <c r="E2907" s="22" t="s">
        <v>7935</v>
      </c>
      <c r="F2907" s="22" t="s">
        <v>7933</v>
      </c>
      <c r="G2907" s="21" t="s">
        <v>7936</v>
      </c>
      <c r="H2907" s="21" t="s">
        <v>7937</v>
      </c>
      <c r="I2907" s="12" t="s">
        <v>9155</v>
      </c>
      <c r="J2907" s="12" t="s">
        <v>10486</v>
      </c>
      <c r="K2907" s="12"/>
      <c r="L2907" s="12" t="s">
        <v>13303</v>
      </c>
      <c r="M2907" s="12" t="s">
        <v>13304</v>
      </c>
    </row>
    <row r="2908" spans="1:13" ht="52.8">
      <c r="A2908" s="21" t="s">
        <v>7932</v>
      </c>
      <c r="B2908" s="21" t="s">
        <v>7933</v>
      </c>
      <c r="C2908" s="21" t="s">
        <v>7934</v>
      </c>
      <c r="D2908" s="21" t="s">
        <v>71</v>
      </c>
      <c r="E2908" s="22" t="s">
        <v>7935</v>
      </c>
      <c r="F2908" s="22" t="s">
        <v>7933</v>
      </c>
      <c r="G2908" s="21" t="s">
        <v>7936</v>
      </c>
      <c r="H2908" s="21" t="s">
        <v>7937</v>
      </c>
      <c r="I2908" s="12" t="s">
        <v>9156</v>
      </c>
      <c r="J2908" s="12" t="s">
        <v>10487</v>
      </c>
      <c r="K2908" s="12"/>
      <c r="L2908" s="12" t="s">
        <v>13305</v>
      </c>
      <c r="M2908" s="12" t="s">
        <v>13306</v>
      </c>
    </row>
    <row r="2909" spans="1:13" ht="52.8">
      <c r="A2909" s="21" t="s">
        <v>7932</v>
      </c>
      <c r="B2909" s="21" t="s">
        <v>7933</v>
      </c>
      <c r="C2909" s="21" t="s">
        <v>7934</v>
      </c>
      <c r="D2909" s="21" t="s">
        <v>71</v>
      </c>
      <c r="E2909" s="22" t="s">
        <v>7935</v>
      </c>
      <c r="F2909" s="22" t="s">
        <v>7933</v>
      </c>
      <c r="G2909" s="21" t="s">
        <v>7936</v>
      </c>
      <c r="H2909" s="21" t="s">
        <v>7937</v>
      </c>
      <c r="I2909" s="12" t="s">
        <v>9157</v>
      </c>
      <c r="J2909" s="12" t="s">
        <v>10488</v>
      </c>
      <c r="K2909" s="12"/>
      <c r="L2909" s="12" t="s">
        <v>13307</v>
      </c>
      <c r="M2909" s="12" t="s">
        <v>13308</v>
      </c>
    </row>
    <row r="2910" spans="1:13" ht="52.8">
      <c r="A2910" s="21" t="s">
        <v>7932</v>
      </c>
      <c r="B2910" s="21" t="s">
        <v>7933</v>
      </c>
      <c r="C2910" s="21" t="s">
        <v>7934</v>
      </c>
      <c r="D2910" s="21" t="s">
        <v>71</v>
      </c>
      <c r="E2910" s="22" t="s">
        <v>7935</v>
      </c>
      <c r="F2910" s="22" t="s">
        <v>7933</v>
      </c>
      <c r="G2910" s="21" t="s">
        <v>7936</v>
      </c>
      <c r="H2910" s="21" t="s">
        <v>7937</v>
      </c>
      <c r="I2910" s="12" t="s">
        <v>9158</v>
      </c>
      <c r="J2910" s="12" t="s">
        <v>10489</v>
      </c>
      <c r="K2910" s="12"/>
      <c r="L2910" s="12" t="s">
        <v>13309</v>
      </c>
      <c r="M2910" s="12" t="s">
        <v>13310</v>
      </c>
    </row>
    <row r="2911" spans="1:13" ht="52.8">
      <c r="A2911" s="21" t="s">
        <v>7932</v>
      </c>
      <c r="B2911" s="21" t="s">
        <v>7933</v>
      </c>
      <c r="C2911" s="21" t="s">
        <v>7934</v>
      </c>
      <c r="D2911" s="21" t="s">
        <v>71</v>
      </c>
      <c r="E2911" s="22" t="s">
        <v>7935</v>
      </c>
      <c r="F2911" s="22" t="s">
        <v>7933</v>
      </c>
      <c r="G2911" s="21" t="s">
        <v>7936</v>
      </c>
      <c r="H2911" s="21" t="s">
        <v>7937</v>
      </c>
      <c r="I2911" s="12" t="s">
        <v>9159</v>
      </c>
      <c r="J2911" s="12" t="s">
        <v>10490</v>
      </c>
      <c r="K2911" s="12"/>
      <c r="L2911" s="12" t="s">
        <v>13311</v>
      </c>
      <c r="M2911" s="12" t="s">
        <v>13312</v>
      </c>
    </row>
    <row r="2912" spans="1:13" ht="52.8">
      <c r="A2912" s="21" t="s">
        <v>7932</v>
      </c>
      <c r="B2912" s="21" t="s">
        <v>7933</v>
      </c>
      <c r="C2912" s="21" t="s">
        <v>7934</v>
      </c>
      <c r="D2912" s="21" t="s">
        <v>71</v>
      </c>
      <c r="E2912" s="22" t="s">
        <v>7935</v>
      </c>
      <c r="F2912" s="22" t="s">
        <v>7933</v>
      </c>
      <c r="G2912" s="21" t="s">
        <v>7936</v>
      </c>
      <c r="H2912" s="21" t="s">
        <v>7937</v>
      </c>
      <c r="I2912" s="12" t="s">
        <v>9160</v>
      </c>
      <c r="J2912" s="12" t="s">
        <v>10491</v>
      </c>
      <c r="K2912" s="12" t="s">
        <v>13313</v>
      </c>
      <c r="L2912" s="12" t="s">
        <v>13314</v>
      </c>
      <c r="M2912" s="12" t="s">
        <v>13313</v>
      </c>
    </row>
    <row r="2913" spans="1:13" ht="52.8">
      <c r="A2913" s="21" t="s">
        <v>7932</v>
      </c>
      <c r="B2913" s="21" t="s">
        <v>7933</v>
      </c>
      <c r="C2913" s="21" t="s">
        <v>7934</v>
      </c>
      <c r="D2913" s="21" t="s">
        <v>71</v>
      </c>
      <c r="E2913" s="22" t="s">
        <v>7935</v>
      </c>
      <c r="F2913" s="22" t="s">
        <v>7933</v>
      </c>
      <c r="G2913" s="21" t="s">
        <v>7936</v>
      </c>
      <c r="H2913" s="21" t="s">
        <v>7937</v>
      </c>
      <c r="I2913" s="12" t="s">
        <v>9161</v>
      </c>
      <c r="J2913" s="12" t="s">
        <v>10492</v>
      </c>
      <c r="K2913" s="12" t="s">
        <v>13315</v>
      </c>
      <c r="L2913" s="12" t="s">
        <v>13316</v>
      </c>
      <c r="M2913" s="12" t="s">
        <v>13315</v>
      </c>
    </row>
    <row r="2914" spans="1:13" ht="52.8">
      <c r="A2914" s="21" t="s">
        <v>7932</v>
      </c>
      <c r="B2914" s="21" t="s">
        <v>7933</v>
      </c>
      <c r="C2914" s="21" t="s">
        <v>7934</v>
      </c>
      <c r="D2914" s="21" t="s">
        <v>71</v>
      </c>
      <c r="E2914" s="22" t="s">
        <v>7935</v>
      </c>
      <c r="F2914" s="22" t="s">
        <v>7933</v>
      </c>
      <c r="G2914" s="21" t="s">
        <v>7936</v>
      </c>
      <c r="H2914" s="21" t="s">
        <v>7937</v>
      </c>
      <c r="I2914" s="12" t="s">
        <v>9162</v>
      </c>
      <c r="J2914" s="12" t="s">
        <v>10493</v>
      </c>
      <c r="K2914" s="12" t="s">
        <v>13317</v>
      </c>
      <c r="L2914" s="12" t="s">
        <v>13318</v>
      </c>
      <c r="M2914" s="12" t="s">
        <v>13317</v>
      </c>
    </row>
    <row r="2915" spans="1:13" ht="52.8">
      <c r="A2915" s="21" t="s">
        <v>7932</v>
      </c>
      <c r="B2915" s="21" t="s">
        <v>7933</v>
      </c>
      <c r="C2915" s="21" t="s">
        <v>7934</v>
      </c>
      <c r="D2915" s="21" t="s">
        <v>71</v>
      </c>
      <c r="E2915" s="22" t="s">
        <v>7935</v>
      </c>
      <c r="F2915" s="22" t="s">
        <v>7933</v>
      </c>
      <c r="G2915" s="21" t="s">
        <v>7936</v>
      </c>
      <c r="H2915" s="21" t="s">
        <v>7937</v>
      </c>
      <c r="I2915" s="12" t="s">
        <v>9163</v>
      </c>
      <c r="J2915" s="12" t="s">
        <v>10494</v>
      </c>
      <c r="K2915" s="12" t="s">
        <v>13319</v>
      </c>
      <c r="L2915" s="12" t="s">
        <v>13320</v>
      </c>
      <c r="M2915" s="12" t="s">
        <v>13319</v>
      </c>
    </row>
    <row r="2916" spans="1:13" ht="52.8">
      <c r="A2916" s="21" t="s">
        <v>7932</v>
      </c>
      <c r="B2916" s="21" t="s">
        <v>7933</v>
      </c>
      <c r="C2916" s="21" t="s">
        <v>7934</v>
      </c>
      <c r="D2916" s="21" t="s">
        <v>71</v>
      </c>
      <c r="E2916" s="22" t="s">
        <v>7935</v>
      </c>
      <c r="F2916" s="22" t="s">
        <v>7933</v>
      </c>
      <c r="G2916" s="21" t="s">
        <v>7936</v>
      </c>
      <c r="H2916" s="21" t="s">
        <v>7937</v>
      </c>
      <c r="I2916" s="12" t="s">
        <v>9164</v>
      </c>
      <c r="J2916" s="12" t="s">
        <v>10495</v>
      </c>
      <c r="K2916" s="12"/>
      <c r="L2916" s="12" t="s">
        <v>13321</v>
      </c>
      <c r="M2916" s="12" t="s">
        <v>13322</v>
      </c>
    </row>
    <row r="2917" spans="1:13" ht="52.8">
      <c r="A2917" s="21" t="s">
        <v>7932</v>
      </c>
      <c r="B2917" s="21" t="s">
        <v>7933</v>
      </c>
      <c r="C2917" s="21" t="s">
        <v>7934</v>
      </c>
      <c r="D2917" s="21" t="s">
        <v>71</v>
      </c>
      <c r="E2917" s="22" t="s">
        <v>7935</v>
      </c>
      <c r="F2917" s="22" t="s">
        <v>7933</v>
      </c>
      <c r="G2917" s="21" t="s">
        <v>7936</v>
      </c>
      <c r="H2917" s="21" t="s">
        <v>7937</v>
      </c>
      <c r="I2917" s="12" t="s">
        <v>9165</v>
      </c>
      <c r="J2917" s="12" t="s">
        <v>10496</v>
      </c>
      <c r="K2917" s="12"/>
      <c r="L2917" s="12" t="s">
        <v>13323</v>
      </c>
      <c r="M2917" s="12" t="s">
        <v>13324</v>
      </c>
    </row>
    <row r="2918" spans="1:13" ht="52.8">
      <c r="A2918" s="21" t="s">
        <v>7932</v>
      </c>
      <c r="B2918" s="21" t="s">
        <v>7933</v>
      </c>
      <c r="C2918" s="21" t="s">
        <v>7934</v>
      </c>
      <c r="D2918" s="21" t="s">
        <v>71</v>
      </c>
      <c r="E2918" s="22" t="s">
        <v>7935</v>
      </c>
      <c r="F2918" s="22" t="s">
        <v>7933</v>
      </c>
      <c r="G2918" s="21" t="s">
        <v>7936</v>
      </c>
      <c r="H2918" s="21" t="s">
        <v>7937</v>
      </c>
      <c r="I2918" s="12" t="s">
        <v>9166</v>
      </c>
      <c r="J2918" s="12" t="s">
        <v>10497</v>
      </c>
      <c r="K2918" s="12" t="s">
        <v>13325</v>
      </c>
      <c r="L2918" s="12" t="s">
        <v>13326</v>
      </c>
      <c r="M2918" s="12" t="s">
        <v>13325</v>
      </c>
    </row>
    <row r="2919" spans="1:13" ht="52.8">
      <c r="A2919" s="21" t="s">
        <v>7932</v>
      </c>
      <c r="B2919" s="21" t="s">
        <v>7933</v>
      </c>
      <c r="C2919" s="21" t="s">
        <v>7934</v>
      </c>
      <c r="D2919" s="21" t="s">
        <v>71</v>
      </c>
      <c r="E2919" s="22" t="s">
        <v>7935</v>
      </c>
      <c r="F2919" s="22" t="s">
        <v>7933</v>
      </c>
      <c r="G2919" s="21" t="s">
        <v>7936</v>
      </c>
      <c r="H2919" s="21" t="s">
        <v>7937</v>
      </c>
      <c r="I2919" s="12" t="s">
        <v>9167</v>
      </c>
      <c r="J2919" s="12" t="s">
        <v>10498</v>
      </c>
      <c r="K2919" s="12" t="s">
        <v>13327</v>
      </c>
      <c r="L2919" s="12" t="s">
        <v>13328</v>
      </c>
      <c r="M2919" s="12" t="s">
        <v>13327</v>
      </c>
    </row>
    <row r="2920" spans="1:13" ht="52.8">
      <c r="A2920" s="21" t="s">
        <v>7932</v>
      </c>
      <c r="B2920" s="21" t="s">
        <v>7933</v>
      </c>
      <c r="C2920" s="21" t="s">
        <v>7934</v>
      </c>
      <c r="D2920" s="21" t="s">
        <v>71</v>
      </c>
      <c r="E2920" s="22" t="s">
        <v>7935</v>
      </c>
      <c r="F2920" s="22" t="s">
        <v>7933</v>
      </c>
      <c r="G2920" s="21" t="s">
        <v>7936</v>
      </c>
      <c r="H2920" s="21" t="s">
        <v>7937</v>
      </c>
      <c r="I2920" s="12" t="s">
        <v>9168</v>
      </c>
      <c r="J2920" s="12" t="s">
        <v>10499</v>
      </c>
      <c r="K2920" s="12"/>
      <c r="L2920" s="12" t="s">
        <v>13329</v>
      </c>
      <c r="M2920" s="12" t="s">
        <v>13330</v>
      </c>
    </row>
    <row r="2921" spans="1:13" ht="52.8">
      <c r="A2921" s="21" t="s">
        <v>7932</v>
      </c>
      <c r="B2921" s="21" t="s">
        <v>7933</v>
      </c>
      <c r="C2921" s="21" t="s">
        <v>7934</v>
      </c>
      <c r="D2921" s="21" t="s">
        <v>71</v>
      </c>
      <c r="E2921" s="22" t="s">
        <v>7935</v>
      </c>
      <c r="F2921" s="22" t="s">
        <v>7933</v>
      </c>
      <c r="G2921" s="21" t="s">
        <v>7936</v>
      </c>
      <c r="H2921" s="21" t="s">
        <v>7937</v>
      </c>
      <c r="I2921" s="12" t="s">
        <v>9169</v>
      </c>
      <c r="J2921" s="12" t="s">
        <v>10500</v>
      </c>
      <c r="K2921" s="12"/>
      <c r="L2921" s="12" t="s">
        <v>13331</v>
      </c>
      <c r="M2921" s="12" t="s">
        <v>13332</v>
      </c>
    </row>
    <row r="2922" spans="1:13" ht="66">
      <c r="A2922" s="21" t="s">
        <v>7932</v>
      </c>
      <c r="B2922" s="21" t="s">
        <v>7933</v>
      </c>
      <c r="C2922" s="21" t="s">
        <v>7934</v>
      </c>
      <c r="D2922" s="21" t="s">
        <v>71</v>
      </c>
      <c r="E2922" s="22" t="s">
        <v>7935</v>
      </c>
      <c r="F2922" s="22" t="s">
        <v>7933</v>
      </c>
      <c r="G2922" s="21" t="s">
        <v>7936</v>
      </c>
      <c r="H2922" s="21" t="s">
        <v>7937</v>
      </c>
      <c r="I2922" s="12" t="s">
        <v>9170</v>
      </c>
      <c r="J2922" s="12" t="s">
        <v>10501</v>
      </c>
      <c r="K2922" s="12" t="s">
        <v>13333</v>
      </c>
      <c r="L2922" s="12" t="s">
        <v>13334</v>
      </c>
      <c r="M2922" s="12" t="s">
        <v>13335</v>
      </c>
    </row>
    <row r="2923" spans="1:13" ht="52.8">
      <c r="A2923" s="21" t="s">
        <v>7932</v>
      </c>
      <c r="B2923" s="21" t="s">
        <v>7933</v>
      </c>
      <c r="C2923" s="21" t="s">
        <v>7934</v>
      </c>
      <c r="D2923" s="21" t="s">
        <v>71</v>
      </c>
      <c r="E2923" s="22" t="s">
        <v>7935</v>
      </c>
      <c r="F2923" s="22" t="s">
        <v>7933</v>
      </c>
      <c r="G2923" s="21" t="s">
        <v>7936</v>
      </c>
      <c r="H2923" s="21" t="s">
        <v>7937</v>
      </c>
      <c r="I2923" s="12" t="s">
        <v>9171</v>
      </c>
      <c r="J2923" s="12" t="s">
        <v>10502</v>
      </c>
      <c r="K2923" s="12"/>
      <c r="L2923" s="12" t="s">
        <v>13336</v>
      </c>
      <c r="M2923" s="12" t="s">
        <v>13337</v>
      </c>
    </row>
    <row r="2924" spans="1:13" ht="52.8">
      <c r="A2924" s="21" t="s">
        <v>7932</v>
      </c>
      <c r="B2924" s="21" t="s">
        <v>7933</v>
      </c>
      <c r="C2924" s="21" t="s">
        <v>7934</v>
      </c>
      <c r="D2924" s="21" t="s">
        <v>71</v>
      </c>
      <c r="E2924" s="22" t="s">
        <v>7935</v>
      </c>
      <c r="F2924" s="22" t="s">
        <v>7933</v>
      </c>
      <c r="G2924" s="21" t="s">
        <v>7936</v>
      </c>
      <c r="H2924" s="21" t="s">
        <v>7937</v>
      </c>
      <c r="I2924" s="12" t="s">
        <v>9172</v>
      </c>
      <c r="J2924" s="12" t="s">
        <v>10503</v>
      </c>
      <c r="K2924" s="12"/>
      <c r="L2924" s="12" t="s">
        <v>13338</v>
      </c>
      <c r="M2924" s="12" t="s">
        <v>13339</v>
      </c>
    </row>
    <row r="2925" spans="1:13" ht="66">
      <c r="A2925" s="21" t="s">
        <v>7932</v>
      </c>
      <c r="B2925" s="21" t="s">
        <v>7933</v>
      </c>
      <c r="C2925" s="21" t="s">
        <v>7934</v>
      </c>
      <c r="D2925" s="21" t="s">
        <v>71</v>
      </c>
      <c r="E2925" s="22" t="s">
        <v>7935</v>
      </c>
      <c r="F2925" s="22" t="s">
        <v>7933</v>
      </c>
      <c r="G2925" s="21" t="s">
        <v>7936</v>
      </c>
      <c r="H2925" s="21" t="s">
        <v>7937</v>
      </c>
      <c r="I2925" s="12" t="s">
        <v>9173</v>
      </c>
      <c r="J2925" s="12" t="s">
        <v>10504</v>
      </c>
      <c r="K2925" s="12"/>
      <c r="L2925" s="12" t="s">
        <v>13340</v>
      </c>
      <c r="M2925" s="12" t="s">
        <v>13341</v>
      </c>
    </row>
    <row r="2926" spans="1:13" ht="66">
      <c r="A2926" s="21" t="s">
        <v>7932</v>
      </c>
      <c r="B2926" s="21" t="s">
        <v>7933</v>
      </c>
      <c r="C2926" s="21" t="s">
        <v>7934</v>
      </c>
      <c r="D2926" s="21" t="s">
        <v>71</v>
      </c>
      <c r="E2926" s="22" t="s">
        <v>7935</v>
      </c>
      <c r="F2926" s="22" t="s">
        <v>7933</v>
      </c>
      <c r="G2926" s="21" t="s">
        <v>7936</v>
      </c>
      <c r="H2926" s="21" t="s">
        <v>7937</v>
      </c>
      <c r="I2926" s="12" t="s">
        <v>9174</v>
      </c>
      <c r="J2926" s="12" t="s">
        <v>10505</v>
      </c>
      <c r="K2926" s="12"/>
      <c r="L2926" s="12" t="s">
        <v>13342</v>
      </c>
      <c r="M2926" s="12" t="s">
        <v>13343</v>
      </c>
    </row>
    <row r="2927" spans="1:13" ht="52.8">
      <c r="A2927" s="21" t="s">
        <v>7932</v>
      </c>
      <c r="B2927" s="21" t="s">
        <v>7933</v>
      </c>
      <c r="C2927" s="21" t="s">
        <v>7934</v>
      </c>
      <c r="D2927" s="21" t="s">
        <v>71</v>
      </c>
      <c r="E2927" s="22" t="s">
        <v>7935</v>
      </c>
      <c r="F2927" s="22" t="s">
        <v>7933</v>
      </c>
      <c r="G2927" s="21" t="s">
        <v>7936</v>
      </c>
      <c r="H2927" s="21" t="s">
        <v>7937</v>
      </c>
      <c r="I2927" s="12" t="s">
        <v>9175</v>
      </c>
      <c r="J2927" s="12" t="s">
        <v>10506</v>
      </c>
      <c r="K2927" s="12"/>
      <c r="L2927" s="12" t="s">
        <v>13344</v>
      </c>
      <c r="M2927" s="12" t="s">
        <v>13345</v>
      </c>
    </row>
    <row r="2928" spans="1:13" ht="52.8">
      <c r="A2928" s="21" t="s">
        <v>7932</v>
      </c>
      <c r="B2928" s="21" t="s">
        <v>7933</v>
      </c>
      <c r="C2928" s="21" t="s">
        <v>7934</v>
      </c>
      <c r="D2928" s="21" t="s">
        <v>71</v>
      </c>
      <c r="E2928" s="22" t="s">
        <v>7935</v>
      </c>
      <c r="F2928" s="22" t="s">
        <v>7933</v>
      </c>
      <c r="G2928" s="21" t="s">
        <v>7936</v>
      </c>
      <c r="H2928" s="21" t="s">
        <v>7937</v>
      </c>
      <c r="I2928" s="12" t="s">
        <v>9176</v>
      </c>
      <c r="J2928" s="12" t="s">
        <v>10507</v>
      </c>
      <c r="K2928" s="12"/>
      <c r="L2928" s="12" t="s">
        <v>13346</v>
      </c>
      <c r="M2928" s="12" t="s">
        <v>13347</v>
      </c>
    </row>
    <row r="2929" spans="1:13" ht="52.8">
      <c r="A2929" s="21" t="s">
        <v>7932</v>
      </c>
      <c r="B2929" s="21" t="s">
        <v>7933</v>
      </c>
      <c r="C2929" s="21" t="s">
        <v>7934</v>
      </c>
      <c r="D2929" s="21" t="s">
        <v>71</v>
      </c>
      <c r="E2929" s="22" t="s">
        <v>7935</v>
      </c>
      <c r="F2929" s="22" t="s">
        <v>7933</v>
      </c>
      <c r="G2929" s="21" t="s">
        <v>7936</v>
      </c>
      <c r="H2929" s="21" t="s">
        <v>7937</v>
      </c>
      <c r="I2929" s="12" t="s">
        <v>9177</v>
      </c>
      <c r="J2929" s="12" t="s">
        <v>10508</v>
      </c>
      <c r="K2929" s="12" t="s">
        <v>13348</v>
      </c>
      <c r="L2929" s="12" t="s">
        <v>13349</v>
      </c>
      <c r="M2929" s="12" t="s">
        <v>13348</v>
      </c>
    </row>
    <row r="2930" spans="1:13" ht="52.8">
      <c r="A2930" s="21" t="s">
        <v>7932</v>
      </c>
      <c r="B2930" s="21" t="s">
        <v>7933</v>
      </c>
      <c r="C2930" s="21" t="s">
        <v>7934</v>
      </c>
      <c r="D2930" s="21" t="s">
        <v>71</v>
      </c>
      <c r="E2930" s="22" t="s">
        <v>7935</v>
      </c>
      <c r="F2930" s="22" t="s">
        <v>7933</v>
      </c>
      <c r="G2930" s="21" t="s">
        <v>7936</v>
      </c>
      <c r="H2930" s="21" t="s">
        <v>7937</v>
      </c>
      <c r="I2930" s="12" t="s">
        <v>9178</v>
      </c>
      <c r="J2930" s="12" t="s">
        <v>10509</v>
      </c>
      <c r="K2930" s="12" t="s">
        <v>13350</v>
      </c>
      <c r="L2930" s="12" t="s">
        <v>13351</v>
      </c>
      <c r="M2930" s="12" t="s">
        <v>13350</v>
      </c>
    </row>
    <row r="2931" spans="1:13" ht="52.8">
      <c r="A2931" s="21" t="s">
        <v>7932</v>
      </c>
      <c r="B2931" s="21" t="s">
        <v>7933</v>
      </c>
      <c r="C2931" s="21" t="s">
        <v>7934</v>
      </c>
      <c r="D2931" s="21" t="s">
        <v>71</v>
      </c>
      <c r="E2931" s="22" t="s">
        <v>7935</v>
      </c>
      <c r="F2931" s="22" t="s">
        <v>7933</v>
      </c>
      <c r="G2931" s="21" t="s">
        <v>7936</v>
      </c>
      <c r="H2931" s="21" t="s">
        <v>7937</v>
      </c>
      <c r="I2931" s="12" t="s">
        <v>9179</v>
      </c>
      <c r="J2931" s="12" t="s">
        <v>10510</v>
      </c>
      <c r="K2931" s="12"/>
      <c r="L2931" s="12" t="s">
        <v>13352</v>
      </c>
      <c r="M2931" s="12" t="s">
        <v>13353</v>
      </c>
    </row>
    <row r="2932" spans="1:13" ht="52.8">
      <c r="A2932" s="21" t="s">
        <v>7932</v>
      </c>
      <c r="B2932" s="21" t="s">
        <v>7933</v>
      </c>
      <c r="C2932" s="21" t="s">
        <v>7934</v>
      </c>
      <c r="D2932" s="21" t="s">
        <v>71</v>
      </c>
      <c r="E2932" s="22" t="s">
        <v>7935</v>
      </c>
      <c r="F2932" s="22" t="s">
        <v>7933</v>
      </c>
      <c r="G2932" s="21" t="s">
        <v>7936</v>
      </c>
      <c r="H2932" s="21" t="s">
        <v>7937</v>
      </c>
      <c r="I2932" s="12" t="s">
        <v>9180</v>
      </c>
      <c r="J2932" s="12" t="s">
        <v>10511</v>
      </c>
      <c r="K2932" s="12"/>
      <c r="L2932" s="12" t="s">
        <v>13354</v>
      </c>
      <c r="M2932" s="12" t="s">
        <v>13355</v>
      </c>
    </row>
    <row r="2933" spans="1:13" ht="52.8">
      <c r="A2933" s="21" t="s">
        <v>7932</v>
      </c>
      <c r="B2933" s="21" t="s">
        <v>7933</v>
      </c>
      <c r="C2933" s="21" t="s">
        <v>7934</v>
      </c>
      <c r="D2933" s="21" t="s">
        <v>71</v>
      </c>
      <c r="E2933" s="22" t="s">
        <v>7935</v>
      </c>
      <c r="F2933" s="22" t="s">
        <v>7933</v>
      </c>
      <c r="G2933" s="21" t="s">
        <v>7936</v>
      </c>
      <c r="H2933" s="21" t="s">
        <v>7937</v>
      </c>
      <c r="I2933" s="12" t="s">
        <v>9181</v>
      </c>
      <c r="J2933" s="12" t="s">
        <v>10512</v>
      </c>
      <c r="K2933" s="12" t="s">
        <v>13356</v>
      </c>
      <c r="L2933" s="12" t="s">
        <v>13357</v>
      </c>
      <c r="M2933" s="12" t="s">
        <v>13356</v>
      </c>
    </row>
    <row r="2934" spans="1:13" ht="52.8">
      <c r="A2934" s="21" t="s">
        <v>7932</v>
      </c>
      <c r="B2934" s="21" t="s">
        <v>7933</v>
      </c>
      <c r="C2934" s="21" t="s">
        <v>7934</v>
      </c>
      <c r="D2934" s="21" t="s">
        <v>71</v>
      </c>
      <c r="E2934" s="22" t="s">
        <v>7935</v>
      </c>
      <c r="F2934" s="22" t="s">
        <v>7933</v>
      </c>
      <c r="G2934" s="21" t="s">
        <v>7936</v>
      </c>
      <c r="H2934" s="21" t="s">
        <v>7937</v>
      </c>
      <c r="I2934" s="12" t="s">
        <v>9182</v>
      </c>
      <c r="J2934" s="12" t="s">
        <v>10513</v>
      </c>
      <c r="K2934" s="12"/>
      <c r="L2934" s="12" t="s">
        <v>13358</v>
      </c>
      <c r="M2934" s="12" t="s">
        <v>13359</v>
      </c>
    </row>
    <row r="2935" spans="1:13" ht="52.8">
      <c r="A2935" s="21" t="s">
        <v>7932</v>
      </c>
      <c r="B2935" s="21" t="s">
        <v>7933</v>
      </c>
      <c r="C2935" s="21" t="s">
        <v>7934</v>
      </c>
      <c r="D2935" s="21" t="s">
        <v>71</v>
      </c>
      <c r="E2935" s="22" t="s">
        <v>7935</v>
      </c>
      <c r="F2935" s="22" t="s">
        <v>7933</v>
      </c>
      <c r="G2935" s="21" t="s">
        <v>7936</v>
      </c>
      <c r="H2935" s="21" t="s">
        <v>7937</v>
      </c>
      <c r="I2935" s="12" t="s">
        <v>9183</v>
      </c>
      <c r="J2935" s="12" t="s">
        <v>10514</v>
      </c>
      <c r="K2935" s="12" t="s">
        <v>13360</v>
      </c>
      <c r="L2935" s="12" t="s">
        <v>13361</v>
      </c>
      <c r="M2935" s="12" t="s">
        <v>13362</v>
      </c>
    </row>
    <row r="2936" spans="1:13" ht="52.8">
      <c r="A2936" s="21" t="s">
        <v>7932</v>
      </c>
      <c r="B2936" s="21" t="s">
        <v>7933</v>
      </c>
      <c r="C2936" s="21" t="s">
        <v>7934</v>
      </c>
      <c r="D2936" s="21" t="s">
        <v>71</v>
      </c>
      <c r="E2936" s="22" t="s">
        <v>7935</v>
      </c>
      <c r="F2936" s="22" t="s">
        <v>7933</v>
      </c>
      <c r="G2936" s="21" t="s">
        <v>7936</v>
      </c>
      <c r="H2936" s="21" t="s">
        <v>7937</v>
      </c>
      <c r="I2936" s="12" t="s">
        <v>9184</v>
      </c>
      <c r="J2936" s="12" t="s">
        <v>10515</v>
      </c>
      <c r="K2936" s="12"/>
      <c r="L2936" s="12" t="s">
        <v>13363</v>
      </c>
      <c r="M2936" s="12" t="s">
        <v>13364</v>
      </c>
    </row>
    <row r="2937" spans="1:13" ht="52.8">
      <c r="A2937" s="21" t="s">
        <v>7932</v>
      </c>
      <c r="B2937" s="21" t="s">
        <v>7933</v>
      </c>
      <c r="C2937" s="21" t="s">
        <v>7934</v>
      </c>
      <c r="D2937" s="21" t="s">
        <v>71</v>
      </c>
      <c r="E2937" s="22" t="s">
        <v>7935</v>
      </c>
      <c r="F2937" s="22" t="s">
        <v>7933</v>
      </c>
      <c r="G2937" s="21" t="s">
        <v>7936</v>
      </c>
      <c r="H2937" s="21" t="s">
        <v>7937</v>
      </c>
      <c r="I2937" s="12" t="s">
        <v>9185</v>
      </c>
      <c r="J2937" s="12" t="s">
        <v>10516</v>
      </c>
      <c r="K2937" s="12" t="s">
        <v>13365</v>
      </c>
      <c r="L2937" s="12" t="s">
        <v>13366</v>
      </c>
      <c r="M2937" s="12" t="s">
        <v>13367</v>
      </c>
    </row>
    <row r="2938" spans="1:13" ht="52.8">
      <c r="A2938" s="21" t="s">
        <v>7932</v>
      </c>
      <c r="B2938" s="21" t="s">
        <v>7933</v>
      </c>
      <c r="C2938" s="21" t="s">
        <v>7934</v>
      </c>
      <c r="D2938" s="21" t="s">
        <v>71</v>
      </c>
      <c r="E2938" s="22" t="s">
        <v>7935</v>
      </c>
      <c r="F2938" s="22" t="s">
        <v>7933</v>
      </c>
      <c r="G2938" s="21" t="s">
        <v>7936</v>
      </c>
      <c r="H2938" s="21" t="s">
        <v>7937</v>
      </c>
      <c r="I2938" s="12" t="s">
        <v>9186</v>
      </c>
      <c r="J2938" s="12" t="s">
        <v>10517</v>
      </c>
      <c r="K2938" s="12" t="s">
        <v>13368</v>
      </c>
      <c r="L2938" s="12" t="s">
        <v>13369</v>
      </c>
      <c r="M2938" s="12" t="s">
        <v>13370</v>
      </c>
    </row>
    <row r="2939" spans="1:13" ht="52.8">
      <c r="A2939" s="21" t="s">
        <v>7932</v>
      </c>
      <c r="B2939" s="21" t="s">
        <v>7933</v>
      </c>
      <c r="C2939" s="21" t="s">
        <v>7934</v>
      </c>
      <c r="D2939" s="21" t="s">
        <v>71</v>
      </c>
      <c r="E2939" s="22" t="s">
        <v>7935</v>
      </c>
      <c r="F2939" s="22" t="s">
        <v>7933</v>
      </c>
      <c r="G2939" s="21" t="s">
        <v>7936</v>
      </c>
      <c r="H2939" s="21" t="s">
        <v>7937</v>
      </c>
      <c r="I2939" s="12" t="s">
        <v>9187</v>
      </c>
      <c r="J2939" s="12" t="s">
        <v>10518</v>
      </c>
      <c r="K2939" s="12"/>
      <c r="L2939" s="12" t="s">
        <v>13371</v>
      </c>
      <c r="M2939" s="12" t="s">
        <v>13372</v>
      </c>
    </row>
    <row r="2940" spans="1:13" ht="66">
      <c r="A2940" s="21" t="s">
        <v>7932</v>
      </c>
      <c r="B2940" s="21" t="s">
        <v>7933</v>
      </c>
      <c r="C2940" s="21" t="s">
        <v>7934</v>
      </c>
      <c r="D2940" s="21" t="s">
        <v>71</v>
      </c>
      <c r="E2940" s="22" t="s">
        <v>7935</v>
      </c>
      <c r="F2940" s="22" t="s">
        <v>7933</v>
      </c>
      <c r="G2940" s="21" t="s">
        <v>7936</v>
      </c>
      <c r="H2940" s="21" t="s">
        <v>7937</v>
      </c>
      <c r="I2940" s="12" t="s">
        <v>9188</v>
      </c>
      <c r="J2940" s="12" t="s">
        <v>10519</v>
      </c>
      <c r="K2940" s="12" t="s">
        <v>13373</v>
      </c>
      <c r="L2940" s="12" t="s">
        <v>13374</v>
      </c>
      <c r="M2940" s="12" t="s">
        <v>13373</v>
      </c>
    </row>
    <row r="2941" spans="1:13" ht="52.8">
      <c r="A2941" s="21" t="s">
        <v>7932</v>
      </c>
      <c r="B2941" s="21" t="s">
        <v>7933</v>
      </c>
      <c r="C2941" s="21" t="s">
        <v>7934</v>
      </c>
      <c r="D2941" s="21" t="s">
        <v>71</v>
      </c>
      <c r="E2941" s="22" t="s">
        <v>7935</v>
      </c>
      <c r="F2941" s="22" t="s">
        <v>7933</v>
      </c>
      <c r="G2941" s="21" t="s">
        <v>7936</v>
      </c>
      <c r="H2941" s="21" t="s">
        <v>7937</v>
      </c>
      <c r="I2941" s="12" t="s">
        <v>9189</v>
      </c>
      <c r="J2941" s="12" t="s">
        <v>10520</v>
      </c>
      <c r="K2941" s="12" t="s">
        <v>13375</v>
      </c>
      <c r="L2941" s="12" t="s">
        <v>13376</v>
      </c>
      <c r="M2941" s="12" t="s">
        <v>13375</v>
      </c>
    </row>
    <row r="2942" spans="1:13" ht="52.8">
      <c r="A2942" s="21" t="s">
        <v>7932</v>
      </c>
      <c r="B2942" s="21" t="s">
        <v>7933</v>
      </c>
      <c r="C2942" s="21" t="s">
        <v>7934</v>
      </c>
      <c r="D2942" s="21" t="s">
        <v>71</v>
      </c>
      <c r="E2942" s="22" t="s">
        <v>7935</v>
      </c>
      <c r="F2942" s="22" t="s">
        <v>7933</v>
      </c>
      <c r="G2942" s="21" t="s">
        <v>7936</v>
      </c>
      <c r="H2942" s="21" t="s">
        <v>7937</v>
      </c>
      <c r="I2942" s="12" t="s">
        <v>9190</v>
      </c>
      <c r="J2942" s="12" t="s">
        <v>10521</v>
      </c>
      <c r="K2942" s="12"/>
      <c r="L2942" s="12" t="s">
        <v>13377</v>
      </c>
      <c r="M2942" s="12" t="s">
        <v>13378</v>
      </c>
    </row>
    <row r="2943" spans="1:13" ht="52.8">
      <c r="A2943" s="21" t="s">
        <v>7932</v>
      </c>
      <c r="B2943" s="21" t="s">
        <v>7933</v>
      </c>
      <c r="C2943" s="21" t="s">
        <v>7934</v>
      </c>
      <c r="D2943" s="21" t="s">
        <v>71</v>
      </c>
      <c r="E2943" s="22" t="s">
        <v>7935</v>
      </c>
      <c r="F2943" s="22" t="s">
        <v>7933</v>
      </c>
      <c r="G2943" s="21" t="s">
        <v>7936</v>
      </c>
      <c r="H2943" s="21" t="s">
        <v>7937</v>
      </c>
      <c r="I2943" s="12" t="s">
        <v>9191</v>
      </c>
      <c r="J2943" s="12" t="s">
        <v>10522</v>
      </c>
      <c r="K2943" s="12" t="s">
        <v>13379</v>
      </c>
      <c r="L2943" s="12" t="s">
        <v>13380</v>
      </c>
      <c r="M2943" s="12" t="s">
        <v>13381</v>
      </c>
    </row>
    <row r="2944" spans="1:13" ht="52.8">
      <c r="A2944" s="21" t="s">
        <v>7932</v>
      </c>
      <c r="B2944" s="21" t="s">
        <v>7933</v>
      </c>
      <c r="C2944" s="21" t="s">
        <v>7934</v>
      </c>
      <c r="D2944" s="21" t="s">
        <v>71</v>
      </c>
      <c r="E2944" s="22" t="s">
        <v>7935</v>
      </c>
      <c r="F2944" s="22" t="s">
        <v>7933</v>
      </c>
      <c r="G2944" s="21" t="s">
        <v>7936</v>
      </c>
      <c r="H2944" s="21" t="s">
        <v>7937</v>
      </c>
      <c r="I2944" s="12" t="s">
        <v>9192</v>
      </c>
      <c r="J2944" s="12" t="s">
        <v>10523</v>
      </c>
      <c r="K2944" s="12" t="s">
        <v>13382</v>
      </c>
      <c r="L2944" s="12" t="s">
        <v>13383</v>
      </c>
      <c r="M2944" s="12" t="s">
        <v>13384</v>
      </c>
    </row>
    <row r="2945" spans="1:13" ht="52.8">
      <c r="A2945" s="21" t="s">
        <v>7932</v>
      </c>
      <c r="B2945" s="21" t="s">
        <v>7933</v>
      </c>
      <c r="C2945" s="21" t="s">
        <v>7934</v>
      </c>
      <c r="D2945" s="21" t="s">
        <v>71</v>
      </c>
      <c r="E2945" s="22" t="s">
        <v>7935</v>
      </c>
      <c r="F2945" s="22" t="s">
        <v>7933</v>
      </c>
      <c r="G2945" s="21" t="s">
        <v>7936</v>
      </c>
      <c r="H2945" s="21" t="s">
        <v>7937</v>
      </c>
      <c r="I2945" s="12" t="s">
        <v>9193</v>
      </c>
      <c r="J2945" s="12" t="s">
        <v>10524</v>
      </c>
      <c r="K2945" s="12" t="s">
        <v>13385</v>
      </c>
      <c r="L2945" s="12" t="s">
        <v>13386</v>
      </c>
      <c r="M2945" s="12" t="s">
        <v>13387</v>
      </c>
    </row>
    <row r="2946" spans="1:13" ht="52.8">
      <c r="A2946" s="21" t="s">
        <v>7932</v>
      </c>
      <c r="B2946" s="21" t="s">
        <v>7933</v>
      </c>
      <c r="C2946" s="21" t="s">
        <v>7934</v>
      </c>
      <c r="D2946" s="21" t="s">
        <v>71</v>
      </c>
      <c r="E2946" s="22" t="s">
        <v>7935</v>
      </c>
      <c r="F2946" s="22" t="s">
        <v>7933</v>
      </c>
      <c r="G2946" s="21" t="s">
        <v>7936</v>
      </c>
      <c r="H2946" s="21" t="s">
        <v>7937</v>
      </c>
      <c r="I2946" s="12" t="s">
        <v>9194</v>
      </c>
      <c r="J2946" s="12" t="s">
        <v>10525</v>
      </c>
      <c r="K2946" s="12"/>
      <c r="L2946" s="12" t="s">
        <v>13388</v>
      </c>
      <c r="M2946" s="12" t="s">
        <v>13389</v>
      </c>
    </row>
    <row r="2947" spans="1:13" ht="52.8">
      <c r="A2947" s="21" t="s">
        <v>7932</v>
      </c>
      <c r="B2947" s="21" t="s">
        <v>7933</v>
      </c>
      <c r="C2947" s="21" t="s">
        <v>7934</v>
      </c>
      <c r="D2947" s="21" t="s">
        <v>71</v>
      </c>
      <c r="E2947" s="22" t="s">
        <v>7935</v>
      </c>
      <c r="F2947" s="22" t="s">
        <v>7933</v>
      </c>
      <c r="G2947" s="21" t="s">
        <v>7936</v>
      </c>
      <c r="H2947" s="21" t="s">
        <v>7937</v>
      </c>
      <c r="I2947" s="12" t="s">
        <v>9195</v>
      </c>
      <c r="J2947" s="12" t="s">
        <v>10526</v>
      </c>
      <c r="K2947" s="12"/>
      <c r="L2947" s="12" t="s">
        <v>13390</v>
      </c>
      <c r="M2947" s="12" t="s">
        <v>13391</v>
      </c>
    </row>
    <row r="2948" spans="1:13" ht="52.8">
      <c r="A2948" s="21" t="s">
        <v>7932</v>
      </c>
      <c r="B2948" s="21" t="s">
        <v>7933</v>
      </c>
      <c r="C2948" s="21" t="s">
        <v>7934</v>
      </c>
      <c r="D2948" s="21" t="s">
        <v>71</v>
      </c>
      <c r="E2948" s="22" t="s">
        <v>7935</v>
      </c>
      <c r="F2948" s="22" t="s">
        <v>7933</v>
      </c>
      <c r="G2948" s="21" t="s">
        <v>7936</v>
      </c>
      <c r="H2948" s="21" t="s">
        <v>7937</v>
      </c>
      <c r="I2948" s="12" t="s">
        <v>9196</v>
      </c>
      <c r="J2948" s="12" t="s">
        <v>10527</v>
      </c>
      <c r="K2948" s="12" t="s">
        <v>13392</v>
      </c>
      <c r="L2948" s="12" t="s">
        <v>13393</v>
      </c>
      <c r="M2948" s="12" t="s">
        <v>13394</v>
      </c>
    </row>
    <row r="2949" spans="1:13" ht="52.8">
      <c r="A2949" s="21" t="s">
        <v>7932</v>
      </c>
      <c r="B2949" s="21" t="s">
        <v>7933</v>
      </c>
      <c r="C2949" s="21" t="s">
        <v>7934</v>
      </c>
      <c r="D2949" s="21" t="s">
        <v>71</v>
      </c>
      <c r="E2949" s="22" t="s">
        <v>7935</v>
      </c>
      <c r="F2949" s="22" t="s">
        <v>7933</v>
      </c>
      <c r="G2949" s="21" t="s">
        <v>7936</v>
      </c>
      <c r="H2949" s="21" t="s">
        <v>7937</v>
      </c>
      <c r="I2949" s="12" t="s">
        <v>9197</v>
      </c>
      <c r="J2949" s="12" t="s">
        <v>10528</v>
      </c>
      <c r="K2949" s="12"/>
      <c r="L2949" s="12" t="s">
        <v>13395</v>
      </c>
      <c r="M2949" s="12" t="s">
        <v>13396</v>
      </c>
    </row>
    <row r="2950" spans="1:13" ht="52.8">
      <c r="A2950" s="21" t="s">
        <v>7932</v>
      </c>
      <c r="B2950" s="21" t="s">
        <v>7933</v>
      </c>
      <c r="C2950" s="21" t="s">
        <v>7934</v>
      </c>
      <c r="D2950" s="21" t="s">
        <v>71</v>
      </c>
      <c r="E2950" s="22" t="s">
        <v>7935</v>
      </c>
      <c r="F2950" s="22" t="s">
        <v>7933</v>
      </c>
      <c r="G2950" s="21" t="s">
        <v>7936</v>
      </c>
      <c r="H2950" s="21" t="s">
        <v>7937</v>
      </c>
      <c r="I2950" s="12" t="s">
        <v>9198</v>
      </c>
      <c r="J2950" s="12" t="s">
        <v>10529</v>
      </c>
      <c r="K2950" s="12"/>
      <c r="L2950" s="12" t="s">
        <v>13397</v>
      </c>
      <c r="M2950" s="12" t="s">
        <v>13398</v>
      </c>
    </row>
    <row r="2951" spans="1:13" ht="52.8">
      <c r="A2951" s="21" t="s">
        <v>7932</v>
      </c>
      <c r="B2951" s="21" t="s">
        <v>7933</v>
      </c>
      <c r="C2951" s="21" t="s">
        <v>7934</v>
      </c>
      <c r="D2951" s="21" t="s">
        <v>71</v>
      </c>
      <c r="E2951" s="22" t="s">
        <v>7935</v>
      </c>
      <c r="F2951" s="22" t="s">
        <v>7933</v>
      </c>
      <c r="G2951" s="21" t="s">
        <v>7936</v>
      </c>
      <c r="H2951" s="21" t="s">
        <v>7937</v>
      </c>
      <c r="I2951" s="12" t="s">
        <v>9199</v>
      </c>
      <c r="J2951" s="12" t="s">
        <v>10530</v>
      </c>
      <c r="K2951" s="12"/>
      <c r="L2951" s="12" t="s">
        <v>13399</v>
      </c>
      <c r="M2951" s="12" t="s">
        <v>13400</v>
      </c>
    </row>
    <row r="2952" spans="1:13" ht="52.8">
      <c r="A2952" s="21" t="s">
        <v>7932</v>
      </c>
      <c r="B2952" s="21" t="s">
        <v>7933</v>
      </c>
      <c r="C2952" s="21" t="s">
        <v>7934</v>
      </c>
      <c r="D2952" s="21" t="s">
        <v>71</v>
      </c>
      <c r="E2952" s="22" t="s">
        <v>7935</v>
      </c>
      <c r="F2952" s="22" t="s">
        <v>7933</v>
      </c>
      <c r="G2952" s="21" t="s">
        <v>7936</v>
      </c>
      <c r="H2952" s="21" t="s">
        <v>7937</v>
      </c>
      <c r="I2952" s="12" t="s">
        <v>9200</v>
      </c>
      <c r="J2952" s="12" t="s">
        <v>10531</v>
      </c>
      <c r="K2952" s="12"/>
      <c r="L2952" s="12" t="s">
        <v>13401</v>
      </c>
      <c r="M2952" s="12" t="s">
        <v>13402</v>
      </c>
    </row>
    <row r="2953" spans="1:13" ht="52.8">
      <c r="A2953" s="21" t="s">
        <v>7932</v>
      </c>
      <c r="B2953" s="21" t="s">
        <v>7933</v>
      </c>
      <c r="C2953" s="21" t="s">
        <v>7934</v>
      </c>
      <c r="D2953" s="21" t="s">
        <v>71</v>
      </c>
      <c r="E2953" s="22" t="s">
        <v>7935</v>
      </c>
      <c r="F2953" s="22" t="s">
        <v>7933</v>
      </c>
      <c r="G2953" s="21" t="s">
        <v>7936</v>
      </c>
      <c r="H2953" s="21" t="s">
        <v>7937</v>
      </c>
      <c r="I2953" s="12" t="s">
        <v>9201</v>
      </c>
      <c r="J2953" s="12" t="s">
        <v>10532</v>
      </c>
      <c r="K2953" s="12" t="s">
        <v>13403</v>
      </c>
      <c r="L2953" s="12" t="s">
        <v>13404</v>
      </c>
      <c r="M2953" s="12" t="s">
        <v>13405</v>
      </c>
    </row>
    <row r="2954" spans="1:13" ht="52.8">
      <c r="A2954" s="21" t="s">
        <v>7932</v>
      </c>
      <c r="B2954" s="21" t="s">
        <v>7933</v>
      </c>
      <c r="C2954" s="21" t="s">
        <v>7934</v>
      </c>
      <c r="D2954" s="21" t="s">
        <v>71</v>
      </c>
      <c r="E2954" s="22" t="s">
        <v>7935</v>
      </c>
      <c r="F2954" s="22" t="s">
        <v>7933</v>
      </c>
      <c r="G2954" s="21" t="s">
        <v>7936</v>
      </c>
      <c r="H2954" s="21" t="s">
        <v>7937</v>
      </c>
      <c r="I2954" s="12" t="s">
        <v>9202</v>
      </c>
      <c r="J2954" s="12" t="s">
        <v>10533</v>
      </c>
      <c r="K2954" s="12" t="s">
        <v>13406</v>
      </c>
      <c r="L2954" s="12" t="s">
        <v>13407</v>
      </c>
      <c r="M2954" s="12" t="s">
        <v>13406</v>
      </c>
    </row>
    <row r="2955" spans="1:13" ht="52.8">
      <c r="A2955" s="21" t="s">
        <v>7932</v>
      </c>
      <c r="B2955" s="21" t="s">
        <v>7933</v>
      </c>
      <c r="C2955" s="21" t="s">
        <v>7934</v>
      </c>
      <c r="D2955" s="21" t="s">
        <v>71</v>
      </c>
      <c r="E2955" s="22" t="s">
        <v>7935</v>
      </c>
      <c r="F2955" s="22" t="s">
        <v>7933</v>
      </c>
      <c r="G2955" s="21" t="s">
        <v>7936</v>
      </c>
      <c r="H2955" s="21" t="s">
        <v>7937</v>
      </c>
      <c r="I2955" s="12" t="s">
        <v>9203</v>
      </c>
      <c r="J2955" s="12" t="s">
        <v>10534</v>
      </c>
      <c r="K2955" s="12" t="s">
        <v>13408</v>
      </c>
      <c r="L2955" s="12" t="s">
        <v>13409</v>
      </c>
      <c r="M2955" s="12" t="s">
        <v>13408</v>
      </c>
    </row>
    <row r="2956" spans="1:13" ht="52.8">
      <c r="A2956" s="21" t="s">
        <v>7932</v>
      </c>
      <c r="B2956" s="21" t="s">
        <v>7933</v>
      </c>
      <c r="C2956" s="21" t="s">
        <v>7934</v>
      </c>
      <c r="D2956" s="21" t="s">
        <v>71</v>
      </c>
      <c r="E2956" s="22" t="s">
        <v>7935</v>
      </c>
      <c r="F2956" s="22" t="s">
        <v>7933</v>
      </c>
      <c r="G2956" s="21" t="s">
        <v>7936</v>
      </c>
      <c r="H2956" s="21" t="s">
        <v>7937</v>
      </c>
      <c r="I2956" s="12" t="s">
        <v>9204</v>
      </c>
      <c r="J2956" s="12" t="s">
        <v>10535</v>
      </c>
      <c r="K2956" s="12" t="s">
        <v>13410</v>
      </c>
      <c r="L2956" s="12" t="s">
        <v>13411</v>
      </c>
      <c r="M2956" s="12" t="s">
        <v>13412</v>
      </c>
    </row>
    <row r="2957" spans="1:13" ht="66">
      <c r="A2957" s="21" t="s">
        <v>7932</v>
      </c>
      <c r="B2957" s="21" t="s">
        <v>7933</v>
      </c>
      <c r="C2957" s="21" t="s">
        <v>7934</v>
      </c>
      <c r="D2957" s="21" t="s">
        <v>71</v>
      </c>
      <c r="E2957" s="22" t="s">
        <v>7935</v>
      </c>
      <c r="F2957" s="22" t="s">
        <v>7933</v>
      </c>
      <c r="G2957" s="21" t="s">
        <v>7936</v>
      </c>
      <c r="H2957" s="21" t="s">
        <v>7937</v>
      </c>
      <c r="I2957" s="12" t="s">
        <v>9205</v>
      </c>
      <c r="J2957" s="12" t="s">
        <v>10536</v>
      </c>
      <c r="K2957" s="12" t="s">
        <v>13413</v>
      </c>
      <c r="L2957" s="12" t="s">
        <v>13414</v>
      </c>
      <c r="M2957" s="12" t="s">
        <v>13413</v>
      </c>
    </row>
    <row r="2958" spans="1:13" ht="52.8">
      <c r="A2958" s="21" t="s">
        <v>7932</v>
      </c>
      <c r="B2958" s="21" t="s">
        <v>7933</v>
      </c>
      <c r="C2958" s="21" t="s">
        <v>7934</v>
      </c>
      <c r="D2958" s="21" t="s">
        <v>71</v>
      </c>
      <c r="E2958" s="22" t="s">
        <v>7935</v>
      </c>
      <c r="F2958" s="22" t="s">
        <v>7933</v>
      </c>
      <c r="G2958" s="21" t="s">
        <v>7936</v>
      </c>
      <c r="H2958" s="21" t="s">
        <v>7937</v>
      </c>
      <c r="I2958" s="12" t="s">
        <v>9206</v>
      </c>
      <c r="J2958" s="12" t="s">
        <v>10537</v>
      </c>
      <c r="K2958" s="12" t="s">
        <v>13415</v>
      </c>
      <c r="L2958" s="12" t="s">
        <v>13416</v>
      </c>
      <c r="M2958" s="12" t="s">
        <v>13415</v>
      </c>
    </row>
    <row r="2959" spans="1:13" ht="52.8">
      <c r="A2959" s="21" t="s">
        <v>7932</v>
      </c>
      <c r="B2959" s="21" t="s">
        <v>7933</v>
      </c>
      <c r="C2959" s="21" t="s">
        <v>7934</v>
      </c>
      <c r="D2959" s="21" t="s">
        <v>71</v>
      </c>
      <c r="E2959" s="22" t="s">
        <v>7935</v>
      </c>
      <c r="F2959" s="22" t="s">
        <v>7933</v>
      </c>
      <c r="G2959" s="21" t="s">
        <v>7936</v>
      </c>
      <c r="H2959" s="21" t="s">
        <v>7937</v>
      </c>
      <c r="I2959" s="12" t="s">
        <v>9207</v>
      </c>
      <c r="J2959" s="12" t="s">
        <v>10538</v>
      </c>
      <c r="K2959" s="12"/>
      <c r="L2959" s="12" t="s">
        <v>13417</v>
      </c>
      <c r="M2959" s="12" t="s">
        <v>13418</v>
      </c>
    </row>
    <row r="2960" spans="1:13" ht="52.8">
      <c r="A2960" s="21" t="s">
        <v>7932</v>
      </c>
      <c r="B2960" s="21" t="s">
        <v>7933</v>
      </c>
      <c r="C2960" s="21" t="s">
        <v>7934</v>
      </c>
      <c r="D2960" s="21" t="s">
        <v>71</v>
      </c>
      <c r="E2960" s="22" t="s">
        <v>7935</v>
      </c>
      <c r="F2960" s="22" t="s">
        <v>7933</v>
      </c>
      <c r="G2960" s="21" t="s">
        <v>7936</v>
      </c>
      <c r="H2960" s="21" t="s">
        <v>7937</v>
      </c>
      <c r="I2960" s="12" t="s">
        <v>9208</v>
      </c>
      <c r="J2960" s="12" t="s">
        <v>10539</v>
      </c>
      <c r="K2960" s="12"/>
      <c r="L2960" s="12" t="s">
        <v>13419</v>
      </c>
      <c r="M2960" s="12" t="s">
        <v>13420</v>
      </c>
    </row>
    <row r="2961" spans="1:13" ht="52.8">
      <c r="A2961" s="21" t="s">
        <v>7932</v>
      </c>
      <c r="B2961" s="21" t="s">
        <v>7933</v>
      </c>
      <c r="C2961" s="21" t="s">
        <v>7934</v>
      </c>
      <c r="D2961" s="21" t="s">
        <v>71</v>
      </c>
      <c r="E2961" s="22" t="s">
        <v>7935</v>
      </c>
      <c r="F2961" s="22" t="s">
        <v>7933</v>
      </c>
      <c r="G2961" s="21" t="s">
        <v>7936</v>
      </c>
      <c r="H2961" s="21" t="s">
        <v>7937</v>
      </c>
      <c r="I2961" s="12" t="s">
        <v>9209</v>
      </c>
      <c r="J2961" s="12" t="s">
        <v>10540</v>
      </c>
      <c r="K2961" s="12"/>
      <c r="L2961" s="12" t="s">
        <v>13421</v>
      </c>
      <c r="M2961" s="12" t="s">
        <v>13422</v>
      </c>
    </row>
    <row r="2962" spans="1:13" ht="52.8">
      <c r="A2962" s="21" t="s">
        <v>7932</v>
      </c>
      <c r="B2962" s="21" t="s">
        <v>7933</v>
      </c>
      <c r="C2962" s="21" t="s">
        <v>7934</v>
      </c>
      <c r="D2962" s="21" t="s">
        <v>71</v>
      </c>
      <c r="E2962" s="22" t="s">
        <v>7935</v>
      </c>
      <c r="F2962" s="22" t="s">
        <v>7933</v>
      </c>
      <c r="G2962" s="21" t="s">
        <v>7936</v>
      </c>
      <c r="H2962" s="21" t="s">
        <v>7937</v>
      </c>
      <c r="I2962" s="12" t="s">
        <v>9210</v>
      </c>
      <c r="J2962" s="12" t="s">
        <v>10541</v>
      </c>
      <c r="K2962" s="12"/>
      <c r="L2962" s="12" t="s">
        <v>13423</v>
      </c>
      <c r="M2962" s="12" t="s">
        <v>13424</v>
      </c>
    </row>
    <row r="2963" spans="1:13" ht="52.8">
      <c r="A2963" s="21" t="s">
        <v>7932</v>
      </c>
      <c r="B2963" s="21" t="s">
        <v>7933</v>
      </c>
      <c r="C2963" s="21" t="s">
        <v>7934</v>
      </c>
      <c r="D2963" s="21" t="s">
        <v>71</v>
      </c>
      <c r="E2963" s="22" t="s">
        <v>7935</v>
      </c>
      <c r="F2963" s="22" t="s">
        <v>7933</v>
      </c>
      <c r="G2963" s="21" t="s">
        <v>7936</v>
      </c>
      <c r="H2963" s="21" t="s">
        <v>7937</v>
      </c>
      <c r="I2963" s="12" t="s">
        <v>9211</v>
      </c>
      <c r="J2963" s="12" t="s">
        <v>10542</v>
      </c>
      <c r="K2963" s="12"/>
      <c r="L2963" s="12" t="s">
        <v>13425</v>
      </c>
      <c r="M2963" s="12" t="s">
        <v>13426</v>
      </c>
    </row>
    <row r="2964" spans="1:13" ht="52.8">
      <c r="A2964" s="21" t="s">
        <v>7932</v>
      </c>
      <c r="B2964" s="21" t="s">
        <v>7933</v>
      </c>
      <c r="C2964" s="21" t="s">
        <v>7934</v>
      </c>
      <c r="D2964" s="21" t="s">
        <v>71</v>
      </c>
      <c r="E2964" s="22" t="s">
        <v>7935</v>
      </c>
      <c r="F2964" s="22" t="s">
        <v>7933</v>
      </c>
      <c r="G2964" s="21" t="s">
        <v>7936</v>
      </c>
      <c r="H2964" s="21" t="s">
        <v>7937</v>
      </c>
      <c r="I2964" s="12" t="s">
        <v>9212</v>
      </c>
      <c r="J2964" s="12" t="s">
        <v>10543</v>
      </c>
      <c r="K2964" s="12"/>
      <c r="L2964" s="12" t="s">
        <v>13427</v>
      </c>
      <c r="M2964" s="12" t="s">
        <v>13428</v>
      </c>
    </row>
    <row r="2965" spans="1:13" ht="52.8">
      <c r="A2965" s="21" t="s">
        <v>7932</v>
      </c>
      <c r="B2965" s="21" t="s">
        <v>7933</v>
      </c>
      <c r="C2965" s="21" t="s">
        <v>7934</v>
      </c>
      <c r="D2965" s="21" t="s">
        <v>71</v>
      </c>
      <c r="E2965" s="22" t="s">
        <v>7935</v>
      </c>
      <c r="F2965" s="22" t="s">
        <v>7933</v>
      </c>
      <c r="G2965" s="21" t="s">
        <v>7936</v>
      </c>
      <c r="H2965" s="21" t="s">
        <v>7937</v>
      </c>
      <c r="I2965" s="12" t="s">
        <v>9213</v>
      </c>
      <c r="J2965" s="12" t="s">
        <v>10544</v>
      </c>
      <c r="K2965" s="12"/>
      <c r="L2965" s="12" t="s">
        <v>13429</v>
      </c>
      <c r="M2965" s="12" t="s">
        <v>13430</v>
      </c>
    </row>
    <row r="2966" spans="1:13" ht="52.8">
      <c r="A2966" s="21" t="s">
        <v>7932</v>
      </c>
      <c r="B2966" s="21" t="s">
        <v>7933</v>
      </c>
      <c r="C2966" s="21" t="s">
        <v>7934</v>
      </c>
      <c r="D2966" s="21" t="s">
        <v>71</v>
      </c>
      <c r="E2966" s="22" t="s">
        <v>7935</v>
      </c>
      <c r="F2966" s="22" t="s">
        <v>7933</v>
      </c>
      <c r="G2966" s="21" t="s">
        <v>7936</v>
      </c>
      <c r="H2966" s="21" t="s">
        <v>7937</v>
      </c>
      <c r="I2966" s="12" t="s">
        <v>9214</v>
      </c>
      <c r="J2966" s="12" t="s">
        <v>10545</v>
      </c>
      <c r="K2966" s="12" t="s">
        <v>13431</v>
      </c>
      <c r="L2966" s="12" t="s">
        <v>13432</v>
      </c>
      <c r="M2966" s="12" t="s">
        <v>13433</v>
      </c>
    </row>
    <row r="2967" spans="1:13" ht="52.8">
      <c r="A2967" s="21" t="s">
        <v>7932</v>
      </c>
      <c r="B2967" s="21" t="s">
        <v>7933</v>
      </c>
      <c r="C2967" s="21" t="s">
        <v>7934</v>
      </c>
      <c r="D2967" s="21" t="s">
        <v>71</v>
      </c>
      <c r="E2967" s="22" t="s">
        <v>7935</v>
      </c>
      <c r="F2967" s="22" t="s">
        <v>7933</v>
      </c>
      <c r="G2967" s="21" t="s">
        <v>7936</v>
      </c>
      <c r="H2967" s="21" t="s">
        <v>7937</v>
      </c>
      <c r="I2967" s="12" t="s">
        <v>9215</v>
      </c>
      <c r="J2967" s="12" t="s">
        <v>10546</v>
      </c>
      <c r="K2967" s="12" t="s">
        <v>13434</v>
      </c>
      <c r="L2967" s="12" t="s">
        <v>13435</v>
      </c>
      <c r="M2967" s="12" t="s">
        <v>13434</v>
      </c>
    </row>
    <row r="2968" spans="1:13" ht="52.8">
      <c r="A2968" s="21" t="s">
        <v>7932</v>
      </c>
      <c r="B2968" s="21" t="s">
        <v>7933</v>
      </c>
      <c r="C2968" s="21" t="s">
        <v>7934</v>
      </c>
      <c r="D2968" s="21" t="s">
        <v>71</v>
      </c>
      <c r="E2968" s="22" t="s">
        <v>7935</v>
      </c>
      <c r="F2968" s="22" t="s">
        <v>7933</v>
      </c>
      <c r="G2968" s="21" t="s">
        <v>7936</v>
      </c>
      <c r="H2968" s="21" t="s">
        <v>7937</v>
      </c>
      <c r="I2968" s="12" t="s">
        <v>9216</v>
      </c>
      <c r="J2968" s="12" t="s">
        <v>10547</v>
      </c>
      <c r="K2968" s="12"/>
      <c r="L2968" s="12" t="s">
        <v>13436</v>
      </c>
      <c r="M2968" s="12" t="s">
        <v>13437</v>
      </c>
    </row>
    <row r="2969" spans="1:13" ht="52.8">
      <c r="A2969" s="21" t="s">
        <v>7932</v>
      </c>
      <c r="B2969" s="21" t="s">
        <v>7933</v>
      </c>
      <c r="C2969" s="21" t="s">
        <v>7934</v>
      </c>
      <c r="D2969" s="21" t="s">
        <v>71</v>
      </c>
      <c r="E2969" s="22" t="s">
        <v>7935</v>
      </c>
      <c r="F2969" s="22" t="s">
        <v>7933</v>
      </c>
      <c r="G2969" s="21" t="s">
        <v>7936</v>
      </c>
      <c r="H2969" s="21" t="s">
        <v>7937</v>
      </c>
      <c r="I2969" s="12" t="s">
        <v>9217</v>
      </c>
      <c r="J2969" s="12" t="s">
        <v>10548</v>
      </c>
      <c r="K2969" s="12"/>
      <c r="L2969" s="12" t="s">
        <v>13438</v>
      </c>
      <c r="M2969" s="12" t="s">
        <v>13439</v>
      </c>
    </row>
    <row r="2970" spans="1:13" ht="52.8">
      <c r="A2970" s="21" t="s">
        <v>7932</v>
      </c>
      <c r="B2970" s="21" t="s">
        <v>7933</v>
      </c>
      <c r="C2970" s="21" t="s">
        <v>7934</v>
      </c>
      <c r="D2970" s="21" t="s">
        <v>71</v>
      </c>
      <c r="E2970" s="22" t="s">
        <v>7935</v>
      </c>
      <c r="F2970" s="22" t="s">
        <v>7933</v>
      </c>
      <c r="G2970" s="21" t="s">
        <v>7936</v>
      </c>
      <c r="H2970" s="21" t="s">
        <v>7937</v>
      </c>
      <c r="I2970" s="12" t="s">
        <v>9218</v>
      </c>
      <c r="J2970" s="12" t="s">
        <v>10549</v>
      </c>
      <c r="K2970" s="12" t="s">
        <v>13440</v>
      </c>
      <c r="L2970" s="12" t="s">
        <v>13441</v>
      </c>
      <c r="M2970" s="12" t="s">
        <v>13442</v>
      </c>
    </row>
    <row r="2971" spans="1:13" ht="52.8">
      <c r="A2971" s="21" t="s">
        <v>7932</v>
      </c>
      <c r="B2971" s="21" t="s">
        <v>7933</v>
      </c>
      <c r="C2971" s="21" t="s">
        <v>7934</v>
      </c>
      <c r="D2971" s="21" t="s">
        <v>71</v>
      </c>
      <c r="E2971" s="22" t="s">
        <v>7935</v>
      </c>
      <c r="F2971" s="22" t="s">
        <v>7933</v>
      </c>
      <c r="G2971" s="21" t="s">
        <v>7936</v>
      </c>
      <c r="H2971" s="21" t="s">
        <v>7937</v>
      </c>
      <c r="I2971" s="12" t="s">
        <v>9219</v>
      </c>
      <c r="J2971" s="12" t="s">
        <v>10550</v>
      </c>
      <c r="K2971" s="12"/>
      <c r="L2971" s="12" t="s">
        <v>13443</v>
      </c>
      <c r="M2971" s="12" t="s">
        <v>13444</v>
      </c>
    </row>
    <row r="2972" spans="1:13" ht="52.8">
      <c r="A2972" s="21" t="s">
        <v>7932</v>
      </c>
      <c r="B2972" s="21" t="s">
        <v>7933</v>
      </c>
      <c r="C2972" s="21" t="s">
        <v>7934</v>
      </c>
      <c r="D2972" s="21" t="s">
        <v>71</v>
      </c>
      <c r="E2972" s="22" t="s">
        <v>7935</v>
      </c>
      <c r="F2972" s="22" t="s">
        <v>7933</v>
      </c>
      <c r="G2972" s="21" t="s">
        <v>7936</v>
      </c>
      <c r="H2972" s="21" t="s">
        <v>7937</v>
      </c>
      <c r="I2972" s="12" t="s">
        <v>9220</v>
      </c>
      <c r="J2972" s="12" t="s">
        <v>10551</v>
      </c>
      <c r="K2972" s="12"/>
      <c r="L2972" s="12" t="s">
        <v>13445</v>
      </c>
      <c r="M2972" s="12" t="s">
        <v>13446</v>
      </c>
    </row>
    <row r="2973" spans="1:13" ht="52.8">
      <c r="A2973" s="21" t="s">
        <v>7932</v>
      </c>
      <c r="B2973" s="21" t="s">
        <v>7933</v>
      </c>
      <c r="C2973" s="21" t="s">
        <v>7934</v>
      </c>
      <c r="D2973" s="21" t="s">
        <v>71</v>
      </c>
      <c r="E2973" s="22" t="s">
        <v>7935</v>
      </c>
      <c r="F2973" s="22" t="s">
        <v>7933</v>
      </c>
      <c r="G2973" s="21" t="s">
        <v>7936</v>
      </c>
      <c r="H2973" s="21" t="s">
        <v>7937</v>
      </c>
      <c r="I2973" s="12" t="s">
        <v>9221</v>
      </c>
      <c r="J2973" s="12" t="s">
        <v>10552</v>
      </c>
      <c r="K2973" s="12"/>
      <c r="L2973" s="12" t="s">
        <v>13447</v>
      </c>
      <c r="M2973" s="12" t="s">
        <v>13448</v>
      </c>
    </row>
    <row r="2974" spans="1:13" ht="52.8">
      <c r="A2974" s="21" t="s">
        <v>7932</v>
      </c>
      <c r="B2974" s="21" t="s">
        <v>7933</v>
      </c>
      <c r="C2974" s="21" t="s">
        <v>7934</v>
      </c>
      <c r="D2974" s="21" t="s">
        <v>71</v>
      </c>
      <c r="E2974" s="22" t="s">
        <v>7935</v>
      </c>
      <c r="F2974" s="22" t="s">
        <v>7933</v>
      </c>
      <c r="G2974" s="21" t="s">
        <v>7936</v>
      </c>
      <c r="H2974" s="21" t="s">
        <v>7937</v>
      </c>
      <c r="I2974" s="12" t="s">
        <v>9222</v>
      </c>
      <c r="J2974" s="12" t="s">
        <v>10553</v>
      </c>
      <c r="K2974" s="12"/>
      <c r="L2974" s="12" t="s">
        <v>13449</v>
      </c>
      <c r="M2974" s="12" t="s">
        <v>13450</v>
      </c>
    </row>
    <row r="2975" spans="1:13" ht="52.8">
      <c r="A2975" s="21" t="s">
        <v>7932</v>
      </c>
      <c r="B2975" s="21" t="s">
        <v>7933</v>
      </c>
      <c r="C2975" s="21" t="s">
        <v>7934</v>
      </c>
      <c r="D2975" s="21" t="s">
        <v>71</v>
      </c>
      <c r="E2975" s="22" t="s">
        <v>7935</v>
      </c>
      <c r="F2975" s="22" t="s">
        <v>7933</v>
      </c>
      <c r="G2975" s="21" t="s">
        <v>7936</v>
      </c>
      <c r="H2975" s="21" t="s">
        <v>7937</v>
      </c>
      <c r="I2975" s="12" t="s">
        <v>9223</v>
      </c>
      <c r="J2975" s="12" t="s">
        <v>10554</v>
      </c>
      <c r="K2975" s="12" t="s">
        <v>13451</v>
      </c>
      <c r="L2975" s="12" t="s">
        <v>13452</v>
      </c>
      <c r="M2975" s="12" t="s">
        <v>13451</v>
      </c>
    </row>
    <row r="2976" spans="1:13" ht="52.8">
      <c r="A2976" s="21" t="s">
        <v>7932</v>
      </c>
      <c r="B2976" s="21" t="s">
        <v>7933</v>
      </c>
      <c r="C2976" s="21" t="s">
        <v>7934</v>
      </c>
      <c r="D2976" s="21" t="s">
        <v>71</v>
      </c>
      <c r="E2976" s="22" t="s">
        <v>7935</v>
      </c>
      <c r="F2976" s="22" t="s">
        <v>7933</v>
      </c>
      <c r="G2976" s="21" t="s">
        <v>7936</v>
      </c>
      <c r="H2976" s="21" t="s">
        <v>7937</v>
      </c>
      <c r="I2976" s="12" t="s">
        <v>9224</v>
      </c>
      <c r="J2976" s="12" t="s">
        <v>10555</v>
      </c>
      <c r="K2976" s="12" t="s">
        <v>13453</v>
      </c>
      <c r="L2976" s="12" t="s">
        <v>13454</v>
      </c>
      <c r="M2976" s="12" t="s">
        <v>13453</v>
      </c>
    </row>
    <row r="2977" spans="1:13" ht="52.8">
      <c r="A2977" s="21" t="s">
        <v>7932</v>
      </c>
      <c r="B2977" s="21" t="s">
        <v>7933</v>
      </c>
      <c r="C2977" s="21" t="s">
        <v>7934</v>
      </c>
      <c r="D2977" s="21" t="s">
        <v>71</v>
      </c>
      <c r="E2977" s="22" t="s">
        <v>7935</v>
      </c>
      <c r="F2977" s="22" t="s">
        <v>7933</v>
      </c>
      <c r="G2977" s="21" t="s">
        <v>7936</v>
      </c>
      <c r="H2977" s="21" t="s">
        <v>7937</v>
      </c>
      <c r="I2977" s="12" t="s">
        <v>9225</v>
      </c>
      <c r="J2977" s="12" t="s">
        <v>10556</v>
      </c>
      <c r="K2977" s="12" t="s">
        <v>13455</v>
      </c>
      <c r="L2977" s="12" t="s">
        <v>13456</v>
      </c>
      <c r="M2977" s="12" t="s">
        <v>13455</v>
      </c>
    </row>
    <row r="2978" spans="1:13" ht="52.8">
      <c r="A2978" s="21" t="s">
        <v>7932</v>
      </c>
      <c r="B2978" s="21" t="s">
        <v>7933</v>
      </c>
      <c r="C2978" s="21" t="s">
        <v>7934</v>
      </c>
      <c r="D2978" s="21" t="s">
        <v>71</v>
      </c>
      <c r="E2978" s="22" t="s">
        <v>7935</v>
      </c>
      <c r="F2978" s="22" t="s">
        <v>7933</v>
      </c>
      <c r="G2978" s="21" t="s">
        <v>7936</v>
      </c>
      <c r="H2978" s="21" t="s">
        <v>7937</v>
      </c>
      <c r="I2978" s="12" t="s">
        <v>9226</v>
      </c>
      <c r="J2978" s="12" t="s">
        <v>10557</v>
      </c>
      <c r="K2978" s="12" t="s">
        <v>13457</v>
      </c>
      <c r="L2978" s="12" t="s">
        <v>13458</v>
      </c>
      <c r="M2978" s="12" t="s">
        <v>13457</v>
      </c>
    </row>
    <row r="2979" spans="1:13" ht="52.8">
      <c r="A2979" s="21" t="s">
        <v>7932</v>
      </c>
      <c r="B2979" s="21" t="s">
        <v>7933</v>
      </c>
      <c r="C2979" s="21" t="s">
        <v>7934</v>
      </c>
      <c r="D2979" s="21" t="s">
        <v>71</v>
      </c>
      <c r="E2979" s="22" t="s">
        <v>7935</v>
      </c>
      <c r="F2979" s="22" t="s">
        <v>7933</v>
      </c>
      <c r="G2979" s="21" t="s">
        <v>7936</v>
      </c>
      <c r="H2979" s="21" t="s">
        <v>7937</v>
      </c>
      <c r="I2979" s="12" t="s">
        <v>9227</v>
      </c>
      <c r="J2979" s="12" t="s">
        <v>10558</v>
      </c>
      <c r="K2979" s="12"/>
      <c r="L2979" s="12" t="s">
        <v>13459</v>
      </c>
      <c r="M2979" s="12" t="s">
        <v>13460</v>
      </c>
    </row>
    <row r="2980" spans="1:13" ht="52.8">
      <c r="A2980" s="21" t="s">
        <v>7932</v>
      </c>
      <c r="B2980" s="21" t="s">
        <v>7933</v>
      </c>
      <c r="C2980" s="21" t="s">
        <v>7934</v>
      </c>
      <c r="D2980" s="21" t="s">
        <v>71</v>
      </c>
      <c r="E2980" s="22" t="s">
        <v>7935</v>
      </c>
      <c r="F2980" s="22" t="s">
        <v>7933</v>
      </c>
      <c r="G2980" s="21" t="s">
        <v>7936</v>
      </c>
      <c r="H2980" s="21" t="s">
        <v>7937</v>
      </c>
      <c r="I2980" s="12" t="s">
        <v>9228</v>
      </c>
      <c r="J2980" s="12" t="s">
        <v>10559</v>
      </c>
      <c r="K2980" s="12" t="s">
        <v>13461</v>
      </c>
      <c r="L2980" s="12" t="s">
        <v>13462</v>
      </c>
      <c r="M2980" s="12" t="s">
        <v>13461</v>
      </c>
    </row>
    <row r="2981" spans="1:13" ht="145.19999999999999">
      <c r="A2981" s="21" t="s">
        <v>7932</v>
      </c>
      <c r="B2981" s="21" t="s">
        <v>7933</v>
      </c>
      <c r="C2981" s="21" t="s">
        <v>7934</v>
      </c>
      <c r="D2981" s="21" t="s">
        <v>71</v>
      </c>
      <c r="E2981" s="22" t="s">
        <v>7935</v>
      </c>
      <c r="F2981" s="22" t="s">
        <v>7933</v>
      </c>
      <c r="G2981" s="21" t="s">
        <v>7936</v>
      </c>
      <c r="H2981" s="21" t="s">
        <v>7937</v>
      </c>
      <c r="I2981" s="12" t="s">
        <v>9229</v>
      </c>
      <c r="J2981" s="12" t="s">
        <v>10560</v>
      </c>
      <c r="K2981" s="12"/>
      <c r="L2981" s="12" t="s">
        <v>13463</v>
      </c>
      <c r="M2981" s="12" t="s">
        <v>13464</v>
      </c>
    </row>
    <row r="2982" spans="1:13" ht="52.8">
      <c r="A2982" s="21" t="s">
        <v>7932</v>
      </c>
      <c r="B2982" s="21" t="s">
        <v>7933</v>
      </c>
      <c r="C2982" s="21" t="s">
        <v>7934</v>
      </c>
      <c r="D2982" s="21" t="s">
        <v>71</v>
      </c>
      <c r="E2982" s="22" t="s">
        <v>7935</v>
      </c>
      <c r="F2982" s="22" t="s">
        <v>7933</v>
      </c>
      <c r="G2982" s="21" t="s">
        <v>7936</v>
      </c>
      <c r="H2982" s="21" t="s">
        <v>7937</v>
      </c>
      <c r="I2982" s="12" t="s">
        <v>9230</v>
      </c>
      <c r="J2982" s="12" t="s">
        <v>10561</v>
      </c>
      <c r="K2982" s="12"/>
      <c r="L2982" s="12" t="s">
        <v>13465</v>
      </c>
      <c r="M2982" s="12" t="s">
        <v>13466</v>
      </c>
    </row>
    <row r="2983" spans="1:13" ht="52.8">
      <c r="A2983" s="21" t="s">
        <v>7932</v>
      </c>
      <c r="B2983" s="21" t="s">
        <v>7933</v>
      </c>
      <c r="C2983" s="21" t="s">
        <v>7934</v>
      </c>
      <c r="D2983" s="21" t="s">
        <v>71</v>
      </c>
      <c r="E2983" s="22" t="s">
        <v>7935</v>
      </c>
      <c r="F2983" s="22" t="s">
        <v>7933</v>
      </c>
      <c r="G2983" s="21" t="s">
        <v>7936</v>
      </c>
      <c r="H2983" s="21" t="s">
        <v>7937</v>
      </c>
      <c r="I2983" s="12" t="s">
        <v>9231</v>
      </c>
      <c r="J2983" s="12" t="s">
        <v>10562</v>
      </c>
      <c r="K2983" s="12" t="s">
        <v>13467</v>
      </c>
      <c r="L2983" s="12" t="s">
        <v>13468</v>
      </c>
      <c r="M2983" s="12" t="s">
        <v>13469</v>
      </c>
    </row>
    <row r="2984" spans="1:13" ht="52.8">
      <c r="A2984" s="21" t="s">
        <v>7932</v>
      </c>
      <c r="B2984" s="21" t="s">
        <v>7933</v>
      </c>
      <c r="C2984" s="21" t="s">
        <v>7934</v>
      </c>
      <c r="D2984" s="21" t="s">
        <v>71</v>
      </c>
      <c r="E2984" s="22" t="s">
        <v>7935</v>
      </c>
      <c r="F2984" s="22" t="s">
        <v>7933</v>
      </c>
      <c r="G2984" s="21" t="s">
        <v>7936</v>
      </c>
      <c r="H2984" s="21" t="s">
        <v>7937</v>
      </c>
      <c r="I2984" s="12" t="s">
        <v>9232</v>
      </c>
      <c r="J2984" s="12" t="s">
        <v>10563</v>
      </c>
      <c r="K2984" s="12" t="s">
        <v>13470</v>
      </c>
      <c r="L2984" s="12" t="s">
        <v>13471</v>
      </c>
      <c r="M2984" s="12" t="s">
        <v>13472</v>
      </c>
    </row>
    <row r="2985" spans="1:13" ht="52.8">
      <c r="A2985" s="21" t="s">
        <v>7932</v>
      </c>
      <c r="B2985" s="21" t="s">
        <v>7933</v>
      </c>
      <c r="C2985" s="21" t="s">
        <v>7934</v>
      </c>
      <c r="D2985" s="21" t="s">
        <v>71</v>
      </c>
      <c r="E2985" s="22" t="s">
        <v>7935</v>
      </c>
      <c r="F2985" s="22" t="s">
        <v>7933</v>
      </c>
      <c r="G2985" s="21" t="s">
        <v>7936</v>
      </c>
      <c r="H2985" s="21" t="s">
        <v>7937</v>
      </c>
      <c r="I2985" s="12" t="s">
        <v>9233</v>
      </c>
      <c r="J2985" s="12" t="s">
        <v>10564</v>
      </c>
      <c r="K2985" s="12" t="s">
        <v>13473</v>
      </c>
      <c r="L2985" s="12" t="s">
        <v>13474</v>
      </c>
      <c r="M2985" s="12" t="s">
        <v>13473</v>
      </c>
    </row>
    <row r="2986" spans="1:13" ht="52.8">
      <c r="A2986" s="21" t="s">
        <v>7932</v>
      </c>
      <c r="B2986" s="21" t="s">
        <v>7933</v>
      </c>
      <c r="C2986" s="21" t="s">
        <v>7934</v>
      </c>
      <c r="D2986" s="21" t="s">
        <v>71</v>
      </c>
      <c r="E2986" s="22" t="s">
        <v>7935</v>
      </c>
      <c r="F2986" s="22" t="s">
        <v>7933</v>
      </c>
      <c r="G2986" s="21" t="s">
        <v>7936</v>
      </c>
      <c r="H2986" s="21" t="s">
        <v>7937</v>
      </c>
      <c r="I2986" s="12" t="s">
        <v>9234</v>
      </c>
      <c r="J2986" s="12" t="s">
        <v>10565</v>
      </c>
      <c r="K2986" s="12" t="s">
        <v>13475</v>
      </c>
      <c r="L2986" s="12" t="s">
        <v>13476</v>
      </c>
      <c r="M2986" s="12" t="s">
        <v>13475</v>
      </c>
    </row>
    <row r="2987" spans="1:13" ht="52.8">
      <c r="A2987" s="21" t="s">
        <v>7932</v>
      </c>
      <c r="B2987" s="21" t="s">
        <v>7933</v>
      </c>
      <c r="C2987" s="21" t="s">
        <v>7934</v>
      </c>
      <c r="D2987" s="21" t="s">
        <v>71</v>
      </c>
      <c r="E2987" s="22" t="s">
        <v>7935</v>
      </c>
      <c r="F2987" s="22" t="s">
        <v>7933</v>
      </c>
      <c r="G2987" s="21" t="s">
        <v>7936</v>
      </c>
      <c r="H2987" s="21" t="s">
        <v>7937</v>
      </c>
      <c r="I2987" s="12" t="s">
        <v>9235</v>
      </c>
      <c r="J2987" s="12" t="s">
        <v>10566</v>
      </c>
      <c r="K2987" s="12"/>
      <c r="L2987" s="12" t="s">
        <v>13477</v>
      </c>
      <c r="M2987" s="12" t="s">
        <v>13478</v>
      </c>
    </row>
    <row r="2988" spans="1:13" ht="52.8">
      <c r="A2988" s="21" t="s">
        <v>7932</v>
      </c>
      <c r="B2988" s="21" t="s">
        <v>7933</v>
      </c>
      <c r="C2988" s="21" t="s">
        <v>7934</v>
      </c>
      <c r="D2988" s="21" t="s">
        <v>71</v>
      </c>
      <c r="E2988" s="22" t="s">
        <v>7935</v>
      </c>
      <c r="F2988" s="22" t="s">
        <v>7933</v>
      </c>
      <c r="G2988" s="21" t="s">
        <v>7936</v>
      </c>
      <c r="H2988" s="21" t="s">
        <v>7937</v>
      </c>
      <c r="I2988" s="12" t="s">
        <v>9236</v>
      </c>
      <c r="J2988" s="12" t="s">
        <v>10567</v>
      </c>
      <c r="K2988" s="12" t="s">
        <v>13479</v>
      </c>
      <c r="L2988" s="12" t="s">
        <v>13480</v>
      </c>
      <c r="M2988" s="12" t="s">
        <v>13481</v>
      </c>
    </row>
    <row r="2989" spans="1:13" ht="52.8">
      <c r="A2989" s="21" t="s">
        <v>7932</v>
      </c>
      <c r="B2989" s="21" t="s">
        <v>7933</v>
      </c>
      <c r="C2989" s="21" t="s">
        <v>7934</v>
      </c>
      <c r="D2989" s="21" t="s">
        <v>71</v>
      </c>
      <c r="E2989" s="22" t="s">
        <v>7935</v>
      </c>
      <c r="F2989" s="22" t="s">
        <v>7933</v>
      </c>
      <c r="G2989" s="21" t="s">
        <v>7936</v>
      </c>
      <c r="H2989" s="21" t="s">
        <v>7937</v>
      </c>
      <c r="I2989" s="12" t="s">
        <v>9237</v>
      </c>
      <c r="J2989" s="12" t="s">
        <v>10568</v>
      </c>
      <c r="K2989" s="12" t="s">
        <v>13482</v>
      </c>
      <c r="L2989" s="12" t="s">
        <v>13483</v>
      </c>
      <c r="M2989" s="12" t="s">
        <v>13484</v>
      </c>
    </row>
    <row r="2990" spans="1:13" ht="52.8">
      <c r="A2990" s="21" t="s">
        <v>7932</v>
      </c>
      <c r="B2990" s="21" t="s">
        <v>7933</v>
      </c>
      <c r="C2990" s="21" t="s">
        <v>7934</v>
      </c>
      <c r="D2990" s="21" t="s">
        <v>71</v>
      </c>
      <c r="E2990" s="22" t="s">
        <v>7935</v>
      </c>
      <c r="F2990" s="22" t="s">
        <v>7933</v>
      </c>
      <c r="G2990" s="21" t="s">
        <v>7936</v>
      </c>
      <c r="H2990" s="21" t="s">
        <v>7937</v>
      </c>
      <c r="I2990" s="12" t="s">
        <v>9238</v>
      </c>
      <c r="J2990" s="12" t="s">
        <v>10569</v>
      </c>
      <c r="K2990" s="12"/>
      <c r="L2990" s="12" t="s">
        <v>13485</v>
      </c>
      <c r="M2990" s="12" t="s">
        <v>13486</v>
      </c>
    </row>
    <row r="2991" spans="1:13" ht="52.8">
      <c r="A2991" s="21" t="s">
        <v>7932</v>
      </c>
      <c r="B2991" s="21" t="s">
        <v>7933</v>
      </c>
      <c r="C2991" s="21" t="s">
        <v>7934</v>
      </c>
      <c r="D2991" s="21" t="s">
        <v>71</v>
      </c>
      <c r="E2991" s="22" t="s">
        <v>7935</v>
      </c>
      <c r="F2991" s="22" t="s">
        <v>7933</v>
      </c>
      <c r="G2991" s="21" t="s">
        <v>7936</v>
      </c>
      <c r="H2991" s="21" t="s">
        <v>7937</v>
      </c>
      <c r="I2991" s="12" t="s">
        <v>9239</v>
      </c>
      <c r="J2991" s="12" t="s">
        <v>10570</v>
      </c>
      <c r="K2991" s="12"/>
      <c r="L2991" s="12" t="s">
        <v>13487</v>
      </c>
      <c r="M2991" s="12" t="s">
        <v>13488</v>
      </c>
    </row>
    <row r="2992" spans="1:13" ht="52.8">
      <c r="A2992" s="21" t="s">
        <v>7932</v>
      </c>
      <c r="B2992" s="21" t="s">
        <v>7933</v>
      </c>
      <c r="C2992" s="21" t="s">
        <v>7934</v>
      </c>
      <c r="D2992" s="21" t="s">
        <v>71</v>
      </c>
      <c r="E2992" s="22" t="s">
        <v>7935</v>
      </c>
      <c r="F2992" s="22" t="s">
        <v>7933</v>
      </c>
      <c r="G2992" s="21" t="s">
        <v>7936</v>
      </c>
      <c r="H2992" s="21" t="s">
        <v>7937</v>
      </c>
      <c r="I2992" s="12" t="s">
        <v>9240</v>
      </c>
      <c r="J2992" s="12" t="s">
        <v>10571</v>
      </c>
      <c r="K2992" s="12"/>
      <c r="L2992" s="12" t="s">
        <v>13489</v>
      </c>
      <c r="M2992" s="12" t="s">
        <v>13490</v>
      </c>
    </row>
    <row r="2993" spans="1:13" ht="52.8">
      <c r="A2993" s="21" t="s">
        <v>7932</v>
      </c>
      <c r="B2993" s="21" t="s">
        <v>7933</v>
      </c>
      <c r="C2993" s="21" t="s">
        <v>7934</v>
      </c>
      <c r="D2993" s="21" t="s">
        <v>71</v>
      </c>
      <c r="E2993" s="22" t="s">
        <v>7935</v>
      </c>
      <c r="F2993" s="22" t="s">
        <v>7933</v>
      </c>
      <c r="G2993" s="21" t="s">
        <v>7936</v>
      </c>
      <c r="H2993" s="21" t="s">
        <v>7937</v>
      </c>
      <c r="I2993" s="12" t="s">
        <v>9241</v>
      </c>
      <c r="J2993" s="12" t="s">
        <v>10572</v>
      </c>
      <c r="K2993" s="12" t="s">
        <v>13491</v>
      </c>
      <c r="L2993" s="12" t="s">
        <v>13492</v>
      </c>
      <c r="M2993" s="12" t="s">
        <v>13491</v>
      </c>
    </row>
    <row r="2994" spans="1:13" ht="52.8">
      <c r="A2994" s="21" t="s">
        <v>7932</v>
      </c>
      <c r="B2994" s="21" t="s">
        <v>7933</v>
      </c>
      <c r="C2994" s="21" t="s">
        <v>7934</v>
      </c>
      <c r="D2994" s="21" t="s">
        <v>71</v>
      </c>
      <c r="E2994" s="22" t="s">
        <v>7935</v>
      </c>
      <c r="F2994" s="22" t="s">
        <v>7933</v>
      </c>
      <c r="G2994" s="21" t="s">
        <v>7936</v>
      </c>
      <c r="H2994" s="21" t="s">
        <v>7937</v>
      </c>
      <c r="I2994" s="12" t="s">
        <v>9242</v>
      </c>
      <c r="J2994" s="12" t="s">
        <v>10573</v>
      </c>
      <c r="K2994" s="12"/>
      <c r="L2994" s="12" t="s">
        <v>13493</v>
      </c>
      <c r="M2994" s="12" t="s">
        <v>13494</v>
      </c>
    </row>
    <row r="2995" spans="1:13" ht="52.8">
      <c r="A2995" s="21" t="s">
        <v>7932</v>
      </c>
      <c r="B2995" s="21" t="s">
        <v>7933</v>
      </c>
      <c r="C2995" s="21" t="s">
        <v>7934</v>
      </c>
      <c r="D2995" s="21" t="s">
        <v>71</v>
      </c>
      <c r="E2995" s="22" t="s">
        <v>7935</v>
      </c>
      <c r="F2995" s="22" t="s">
        <v>7933</v>
      </c>
      <c r="G2995" s="21" t="s">
        <v>7936</v>
      </c>
      <c r="H2995" s="21" t="s">
        <v>7937</v>
      </c>
      <c r="I2995" s="12" t="s">
        <v>9243</v>
      </c>
      <c r="J2995" s="12" t="s">
        <v>10574</v>
      </c>
      <c r="K2995" s="12"/>
      <c r="L2995" s="12" t="s">
        <v>13495</v>
      </c>
      <c r="M2995" s="12" t="s">
        <v>13496</v>
      </c>
    </row>
    <row r="2996" spans="1:13" ht="52.8">
      <c r="A2996" s="21" t="s">
        <v>7932</v>
      </c>
      <c r="B2996" s="21" t="s">
        <v>7933</v>
      </c>
      <c r="C2996" s="21" t="s">
        <v>7934</v>
      </c>
      <c r="D2996" s="21" t="s">
        <v>71</v>
      </c>
      <c r="E2996" s="22" t="s">
        <v>7935</v>
      </c>
      <c r="F2996" s="22" t="s">
        <v>7933</v>
      </c>
      <c r="G2996" s="21" t="s">
        <v>7936</v>
      </c>
      <c r="H2996" s="21" t="s">
        <v>7937</v>
      </c>
      <c r="I2996" s="12" t="s">
        <v>9244</v>
      </c>
      <c r="J2996" s="12" t="s">
        <v>10575</v>
      </c>
      <c r="K2996" s="12" t="s">
        <v>13497</v>
      </c>
      <c r="L2996" s="12" t="s">
        <v>13498</v>
      </c>
      <c r="M2996" s="12" t="s">
        <v>13499</v>
      </c>
    </row>
    <row r="2997" spans="1:13" ht="52.8">
      <c r="A2997" s="21" t="s">
        <v>7932</v>
      </c>
      <c r="B2997" s="21" t="s">
        <v>7933</v>
      </c>
      <c r="C2997" s="21" t="s">
        <v>7934</v>
      </c>
      <c r="D2997" s="21" t="s">
        <v>71</v>
      </c>
      <c r="E2997" s="22" t="s">
        <v>7935</v>
      </c>
      <c r="F2997" s="22" t="s">
        <v>7933</v>
      </c>
      <c r="G2997" s="21" t="s">
        <v>7936</v>
      </c>
      <c r="H2997" s="21" t="s">
        <v>7937</v>
      </c>
      <c r="I2997" s="12" t="s">
        <v>9245</v>
      </c>
      <c r="J2997" s="12" t="s">
        <v>10576</v>
      </c>
      <c r="K2997" s="12"/>
      <c r="L2997" s="12" t="s">
        <v>13500</v>
      </c>
      <c r="M2997" s="12" t="s">
        <v>13501</v>
      </c>
    </row>
    <row r="2998" spans="1:13" ht="52.8">
      <c r="A2998" s="21" t="s">
        <v>7932</v>
      </c>
      <c r="B2998" s="21" t="s">
        <v>7933</v>
      </c>
      <c r="C2998" s="21" t="s">
        <v>7934</v>
      </c>
      <c r="D2998" s="21" t="s">
        <v>71</v>
      </c>
      <c r="E2998" s="22" t="s">
        <v>7935</v>
      </c>
      <c r="F2998" s="22" t="s">
        <v>7933</v>
      </c>
      <c r="G2998" s="21" t="s">
        <v>7936</v>
      </c>
      <c r="H2998" s="21" t="s">
        <v>7937</v>
      </c>
      <c r="I2998" s="12" t="s">
        <v>9246</v>
      </c>
      <c r="J2998" s="12" t="s">
        <v>10577</v>
      </c>
      <c r="K2998" s="12" t="s">
        <v>13502</v>
      </c>
      <c r="L2998" s="12" t="s">
        <v>13503</v>
      </c>
      <c r="M2998" s="12" t="s">
        <v>13502</v>
      </c>
    </row>
    <row r="2999" spans="1:13" ht="52.8">
      <c r="A2999" s="21" t="s">
        <v>7932</v>
      </c>
      <c r="B2999" s="21" t="s">
        <v>7933</v>
      </c>
      <c r="C2999" s="21" t="s">
        <v>7934</v>
      </c>
      <c r="D2999" s="21" t="s">
        <v>71</v>
      </c>
      <c r="E2999" s="22" t="s">
        <v>7935</v>
      </c>
      <c r="F2999" s="22" t="s">
        <v>7933</v>
      </c>
      <c r="G2999" s="21" t="s">
        <v>7936</v>
      </c>
      <c r="H2999" s="21" t="s">
        <v>7937</v>
      </c>
      <c r="I2999" s="12" t="s">
        <v>9247</v>
      </c>
      <c r="J2999" s="12" t="s">
        <v>10578</v>
      </c>
      <c r="K2999" s="12" t="s">
        <v>13504</v>
      </c>
      <c r="L2999" s="12" t="s">
        <v>13505</v>
      </c>
      <c r="M2999" s="12" t="s">
        <v>13506</v>
      </c>
    </row>
    <row r="3000" spans="1:13" ht="52.8">
      <c r="A3000" s="21" t="s">
        <v>7932</v>
      </c>
      <c r="B3000" s="21" t="s">
        <v>7933</v>
      </c>
      <c r="C3000" s="21" t="s">
        <v>7934</v>
      </c>
      <c r="D3000" s="21" t="s">
        <v>71</v>
      </c>
      <c r="E3000" s="22" t="s">
        <v>7935</v>
      </c>
      <c r="F3000" s="22" t="s">
        <v>7933</v>
      </c>
      <c r="G3000" s="21" t="s">
        <v>7936</v>
      </c>
      <c r="H3000" s="21" t="s">
        <v>7937</v>
      </c>
      <c r="I3000" s="12" t="s">
        <v>9248</v>
      </c>
      <c r="J3000" s="12" t="s">
        <v>10579</v>
      </c>
      <c r="K3000" s="12"/>
      <c r="L3000" s="12" t="s">
        <v>13507</v>
      </c>
      <c r="M3000" s="12" t="s">
        <v>13508</v>
      </c>
    </row>
    <row r="3001" spans="1:13" ht="52.8">
      <c r="A3001" s="21" t="s">
        <v>7932</v>
      </c>
      <c r="B3001" s="21" t="s">
        <v>7933</v>
      </c>
      <c r="C3001" s="21" t="s">
        <v>7934</v>
      </c>
      <c r="D3001" s="21" t="s">
        <v>71</v>
      </c>
      <c r="E3001" s="22" t="s">
        <v>7935</v>
      </c>
      <c r="F3001" s="22" t="s">
        <v>7933</v>
      </c>
      <c r="G3001" s="21" t="s">
        <v>7936</v>
      </c>
      <c r="H3001" s="21" t="s">
        <v>7937</v>
      </c>
      <c r="I3001" s="12" t="s">
        <v>9249</v>
      </c>
      <c r="J3001" s="12" t="s">
        <v>10580</v>
      </c>
      <c r="K3001" s="12" t="s">
        <v>13509</v>
      </c>
      <c r="L3001" s="12" t="s">
        <v>13510</v>
      </c>
      <c r="M3001" s="12" t="s">
        <v>13509</v>
      </c>
    </row>
    <row r="3002" spans="1:13" ht="52.8">
      <c r="A3002" s="21" t="s">
        <v>7932</v>
      </c>
      <c r="B3002" s="21" t="s">
        <v>7933</v>
      </c>
      <c r="C3002" s="21" t="s">
        <v>7934</v>
      </c>
      <c r="D3002" s="21" t="s">
        <v>71</v>
      </c>
      <c r="E3002" s="22" t="s">
        <v>7935</v>
      </c>
      <c r="F3002" s="22" t="s">
        <v>7933</v>
      </c>
      <c r="G3002" s="21" t="s">
        <v>7936</v>
      </c>
      <c r="H3002" s="21" t="s">
        <v>7937</v>
      </c>
      <c r="I3002" s="12" t="s">
        <v>9250</v>
      </c>
      <c r="J3002" s="12" t="s">
        <v>10581</v>
      </c>
      <c r="K3002" s="12" t="s">
        <v>13511</v>
      </c>
      <c r="L3002" s="12" t="s">
        <v>13512</v>
      </c>
      <c r="M3002" s="12" t="s">
        <v>13511</v>
      </c>
    </row>
    <row r="3003" spans="1:13" ht="52.8">
      <c r="A3003" s="21" t="s">
        <v>7932</v>
      </c>
      <c r="B3003" s="21" t="s">
        <v>7933</v>
      </c>
      <c r="C3003" s="21" t="s">
        <v>7934</v>
      </c>
      <c r="D3003" s="21" t="s">
        <v>71</v>
      </c>
      <c r="E3003" s="22" t="s">
        <v>7935</v>
      </c>
      <c r="F3003" s="22" t="s">
        <v>7933</v>
      </c>
      <c r="G3003" s="21" t="s">
        <v>7936</v>
      </c>
      <c r="H3003" s="21" t="s">
        <v>7937</v>
      </c>
      <c r="I3003" s="12" t="s">
        <v>9251</v>
      </c>
      <c r="J3003" s="12" t="s">
        <v>10582</v>
      </c>
      <c r="K3003" s="12"/>
      <c r="L3003" s="12" t="s">
        <v>13513</v>
      </c>
      <c r="M3003" s="12" t="s">
        <v>13514</v>
      </c>
    </row>
    <row r="3004" spans="1:13" ht="52.8">
      <c r="A3004" s="21" t="s">
        <v>7932</v>
      </c>
      <c r="B3004" s="21" t="s">
        <v>7933</v>
      </c>
      <c r="C3004" s="21" t="s">
        <v>7934</v>
      </c>
      <c r="D3004" s="21" t="s">
        <v>71</v>
      </c>
      <c r="E3004" s="22" t="s">
        <v>7935</v>
      </c>
      <c r="F3004" s="22" t="s">
        <v>7933</v>
      </c>
      <c r="G3004" s="21" t="s">
        <v>7936</v>
      </c>
      <c r="H3004" s="21" t="s">
        <v>7937</v>
      </c>
      <c r="I3004" s="12" t="s">
        <v>9252</v>
      </c>
      <c r="J3004" s="12" t="s">
        <v>10583</v>
      </c>
      <c r="K3004" s="12"/>
      <c r="L3004" s="12" t="s">
        <v>13515</v>
      </c>
      <c r="M3004" s="12" t="s">
        <v>13516</v>
      </c>
    </row>
    <row r="3005" spans="1:13" ht="52.8">
      <c r="A3005" s="21" t="s">
        <v>7932</v>
      </c>
      <c r="B3005" s="21" t="s">
        <v>7933</v>
      </c>
      <c r="C3005" s="21" t="s">
        <v>7934</v>
      </c>
      <c r="D3005" s="21" t="s">
        <v>71</v>
      </c>
      <c r="E3005" s="22" t="s">
        <v>7935</v>
      </c>
      <c r="F3005" s="22" t="s">
        <v>7933</v>
      </c>
      <c r="G3005" s="21" t="s">
        <v>7936</v>
      </c>
      <c r="H3005" s="21" t="s">
        <v>7937</v>
      </c>
      <c r="I3005" s="12" t="s">
        <v>9253</v>
      </c>
      <c r="J3005" s="12" t="s">
        <v>10584</v>
      </c>
      <c r="K3005" s="12" t="s">
        <v>13517</v>
      </c>
      <c r="L3005" s="12" t="s">
        <v>13518</v>
      </c>
      <c r="M3005" s="12" t="s">
        <v>13517</v>
      </c>
    </row>
    <row r="3006" spans="1:13" ht="52.8">
      <c r="A3006" s="21" t="s">
        <v>7932</v>
      </c>
      <c r="B3006" s="21" t="s">
        <v>7933</v>
      </c>
      <c r="C3006" s="21" t="s">
        <v>7934</v>
      </c>
      <c r="D3006" s="21" t="s">
        <v>71</v>
      </c>
      <c r="E3006" s="22" t="s">
        <v>7935</v>
      </c>
      <c r="F3006" s="22" t="s">
        <v>7933</v>
      </c>
      <c r="G3006" s="21" t="s">
        <v>7936</v>
      </c>
      <c r="H3006" s="21" t="s">
        <v>7937</v>
      </c>
      <c r="I3006" s="12" t="s">
        <v>9254</v>
      </c>
      <c r="J3006" s="12" t="s">
        <v>10585</v>
      </c>
      <c r="K3006" s="12"/>
      <c r="L3006" s="12" t="s">
        <v>13519</v>
      </c>
      <c r="M3006" s="12" t="s">
        <v>13520</v>
      </c>
    </row>
    <row r="3007" spans="1:13" ht="52.8">
      <c r="A3007" s="21" t="s">
        <v>7932</v>
      </c>
      <c r="B3007" s="21" t="s">
        <v>7933</v>
      </c>
      <c r="C3007" s="21" t="s">
        <v>7934</v>
      </c>
      <c r="D3007" s="21" t="s">
        <v>71</v>
      </c>
      <c r="E3007" s="22" t="s">
        <v>7935</v>
      </c>
      <c r="F3007" s="22" t="s">
        <v>7933</v>
      </c>
      <c r="G3007" s="21" t="s">
        <v>7936</v>
      </c>
      <c r="H3007" s="21" t="s">
        <v>7937</v>
      </c>
      <c r="I3007" s="12" t="s">
        <v>9255</v>
      </c>
      <c r="J3007" s="12" t="s">
        <v>10586</v>
      </c>
      <c r="K3007" s="12"/>
      <c r="L3007" s="12" t="s">
        <v>13521</v>
      </c>
      <c r="M3007" s="12" t="s">
        <v>13522</v>
      </c>
    </row>
    <row r="3008" spans="1:13" ht="52.8">
      <c r="A3008" s="21" t="s">
        <v>7932</v>
      </c>
      <c r="B3008" s="21" t="s">
        <v>7933</v>
      </c>
      <c r="C3008" s="21" t="s">
        <v>7934</v>
      </c>
      <c r="D3008" s="21" t="s">
        <v>71</v>
      </c>
      <c r="E3008" s="22" t="s">
        <v>7935</v>
      </c>
      <c r="F3008" s="22" t="s">
        <v>7933</v>
      </c>
      <c r="G3008" s="21" t="s">
        <v>7936</v>
      </c>
      <c r="H3008" s="21" t="s">
        <v>7937</v>
      </c>
      <c r="I3008" s="12" t="s">
        <v>9256</v>
      </c>
      <c r="J3008" s="12" t="s">
        <v>10587</v>
      </c>
      <c r="K3008" s="12" t="s">
        <v>13523</v>
      </c>
      <c r="L3008" s="12" t="s">
        <v>13524</v>
      </c>
      <c r="M3008" s="12" t="s">
        <v>13525</v>
      </c>
    </row>
    <row r="3009" spans="1:13" ht="92.4">
      <c r="A3009" s="21" t="s">
        <v>7932</v>
      </c>
      <c r="B3009" s="21" t="s">
        <v>7933</v>
      </c>
      <c r="C3009" s="21" t="s">
        <v>7934</v>
      </c>
      <c r="D3009" s="21" t="s">
        <v>71</v>
      </c>
      <c r="E3009" s="22" t="s">
        <v>7935</v>
      </c>
      <c r="F3009" s="22" t="s">
        <v>7933</v>
      </c>
      <c r="G3009" s="21" t="s">
        <v>7936</v>
      </c>
      <c r="H3009" s="21" t="s">
        <v>7937</v>
      </c>
      <c r="I3009" s="12" t="s">
        <v>9257</v>
      </c>
      <c r="J3009" s="12" t="s">
        <v>10588</v>
      </c>
      <c r="K3009" s="12"/>
      <c r="L3009" s="12" t="s">
        <v>13526</v>
      </c>
      <c r="M3009" s="12" t="s">
        <v>13527</v>
      </c>
    </row>
    <row r="3010" spans="1:13" ht="52.8">
      <c r="A3010" s="21" t="s">
        <v>7932</v>
      </c>
      <c r="B3010" s="21" t="s">
        <v>7933</v>
      </c>
      <c r="C3010" s="21" t="s">
        <v>7934</v>
      </c>
      <c r="D3010" s="21" t="s">
        <v>71</v>
      </c>
      <c r="E3010" s="22" t="s">
        <v>7935</v>
      </c>
      <c r="F3010" s="22" t="s">
        <v>7933</v>
      </c>
      <c r="G3010" s="21" t="s">
        <v>7936</v>
      </c>
      <c r="H3010" s="21" t="s">
        <v>7937</v>
      </c>
      <c r="I3010" s="12" t="s">
        <v>9258</v>
      </c>
      <c r="J3010" s="12" t="s">
        <v>10589</v>
      </c>
      <c r="K3010" s="12"/>
      <c r="L3010" s="12" t="s">
        <v>13528</v>
      </c>
      <c r="M3010" s="12" t="s">
        <v>13529</v>
      </c>
    </row>
    <row r="3011" spans="1:13" ht="79.2">
      <c r="A3011" s="21" t="s">
        <v>7932</v>
      </c>
      <c r="B3011" s="21" t="s">
        <v>7933</v>
      </c>
      <c r="C3011" s="21" t="s">
        <v>7934</v>
      </c>
      <c r="D3011" s="21" t="s">
        <v>71</v>
      </c>
      <c r="E3011" s="22" t="s">
        <v>7935</v>
      </c>
      <c r="F3011" s="22" t="s">
        <v>7933</v>
      </c>
      <c r="G3011" s="21" t="s">
        <v>7936</v>
      </c>
      <c r="H3011" s="21" t="s">
        <v>7937</v>
      </c>
      <c r="I3011" s="12" t="s">
        <v>9259</v>
      </c>
      <c r="J3011" s="12" t="s">
        <v>10590</v>
      </c>
      <c r="K3011" s="12"/>
      <c r="L3011" s="12" t="s">
        <v>13530</v>
      </c>
      <c r="M3011" s="12" t="s">
        <v>13531</v>
      </c>
    </row>
    <row r="3012" spans="1:13" ht="52.8">
      <c r="A3012" s="21" t="s">
        <v>7932</v>
      </c>
      <c r="B3012" s="21" t="s">
        <v>7933</v>
      </c>
      <c r="C3012" s="21" t="s">
        <v>7934</v>
      </c>
      <c r="D3012" s="21" t="s">
        <v>71</v>
      </c>
      <c r="E3012" s="22" t="s">
        <v>7935</v>
      </c>
      <c r="F3012" s="22" t="s">
        <v>7933</v>
      </c>
      <c r="G3012" s="21" t="s">
        <v>7936</v>
      </c>
      <c r="H3012" s="21" t="s">
        <v>7937</v>
      </c>
      <c r="I3012" s="12" t="s">
        <v>9260</v>
      </c>
      <c r="J3012" s="12" t="s">
        <v>10591</v>
      </c>
      <c r="K3012" s="12"/>
      <c r="L3012" s="12" t="s">
        <v>13532</v>
      </c>
      <c r="M3012" s="12" t="s">
        <v>13533</v>
      </c>
    </row>
    <row r="3013" spans="1:13" ht="52.8">
      <c r="A3013" s="21" t="s">
        <v>7932</v>
      </c>
      <c r="B3013" s="21" t="s">
        <v>7933</v>
      </c>
      <c r="C3013" s="21" t="s">
        <v>7934</v>
      </c>
      <c r="D3013" s="21" t="s">
        <v>71</v>
      </c>
      <c r="E3013" s="22" t="s">
        <v>7935</v>
      </c>
      <c r="F3013" s="22" t="s">
        <v>7933</v>
      </c>
      <c r="G3013" s="21" t="s">
        <v>7936</v>
      </c>
      <c r="H3013" s="21" t="s">
        <v>7937</v>
      </c>
      <c r="I3013" s="12" t="s">
        <v>9261</v>
      </c>
      <c r="J3013" s="12" t="s">
        <v>10592</v>
      </c>
      <c r="K3013" s="12" t="s">
        <v>13534</v>
      </c>
      <c r="L3013" s="12" t="s">
        <v>13535</v>
      </c>
      <c r="M3013" s="12" t="s">
        <v>13536</v>
      </c>
    </row>
    <row r="3014" spans="1:13" ht="52.8">
      <c r="A3014" s="21" t="s">
        <v>7932</v>
      </c>
      <c r="B3014" s="21" t="s">
        <v>7933</v>
      </c>
      <c r="C3014" s="21" t="s">
        <v>7934</v>
      </c>
      <c r="D3014" s="21" t="s">
        <v>71</v>
      </c>
      <c r="E3014" s="22" t="s">
        <v>7935</v>
      </c>
      <c r="F3014" s="22" t="s">
        <v>7933</v>
      </c>
      <c r="G3014" s="21" t="s">
        <v>7936</v>
      </c>
      <c r="H3014" s="21" t="s">
        <v>7937</v>
      </c>
      <c r="I3014" s="12" t="s">
        <v>9262</v>
      </c>
      <c r="J3014" s="12" t="s">
        <v>10593</v>
      </c>
      <c r="K3014" s="12" t="s">
        <v>13537</v>
      </c>
      <c r="L3014" s="12" t="s">
        <v>13538</v>
      </c>
      <c r="M3014" s="12" t="s">
        <v>13537</v>
      </c>
    </row>
    <row r="3015" spans="1:13" ht="52.8">
      <c r="A3015" s="21" t="s">
        <v>7932</v>
      </c>
      <c r="B3015" s="21" t="s">
        <v>7933</v>
      </c>
      <c r="C3015" s="21" t="s">
        <v>7934</v>
      </c>
      <c r="D3015" s="21" t="s">
        <v>71</v>
      </c>
      <c r="E3015" s="22" t="s">
        <v>7935</v>
      </c>
      <c r="F3015" s="22" t="s">
        <v>7933</v>
      </c>
      <c r="G3015" s="21" t="s">
        <v>7936</v>
      </c>
      <c r="H3015" s="21" t="s">
        <v>7937</v>
      </c>
      <c r="I3015" s="12" t="s">
        <v>9263</v>
      </c>
      <c r="J3015" s="12" t="s">
        <v>10594</v>
      </c>
      <c r="K3015" s="12" t="s">
        <v>13539</v>
      </c>
      <c r="L3015" s="12" t="s">
        <v>13540</v>
      </c>
      <c r="M3015" s="12" t="s">
        <v>13541</v>
      </c>
    </row>
    <row r="3016" spans="1:13" ht="52.8">
      <c r="A3016" s="21" t="s">
        <v>2068</v>
      </c>
      <c r="B3016" s="21" t="s">
        <v>1983</v>
      </c>
      <c r="C3016" s="21" t="s">
        <v>1956</v>
      </c>
      <c r="D3016" s="21" t="s">
        <v>331</v>
      </c>
      <c r="E3016" s="22" t="s">
        <v>2065</v>
      </c>
      <c r="F3016" s="22" t="s">
        <v>1983</v>
      </c>
      <c r="G3016" s="21" t="s">
        <v>2066</v>
      </c>
      <c r="H3016" s="21" t="s">
        <v>2067</v>
      </c>
      <c r="I3016" s="12" t="s">
        <v>2076</v>
      </c>
      <c r="J3016" s="12" t="s">
        <v>2069</v>
      </c>
      <c r="K3016" s="12"/>
      <c r="L3016" s="12" t="s">
        <v>2084</v>
      </c>
      <c r="M3016" s="12" t="s">
        <v>2085</v>
      </c>
    </row>
    <row r="3017" spans="1:13" ht="66">
      <c r="A3017" s="21" t="s">
        <v>2068</v>
      </c>
      <c r="B3017" s="21" t="s">
        <v>1983</v>
      </c>
      <c r="C3017" s="21" t="s">
        <v>1956</v>
      </c>
      <c r="D3017" s="21" t="s">
        <v>331</v>
      </c>
      <c r="E3017" s="22" t="s">
        <v>2065</v>
      </c>
      <c r="F3017" s="22" t="s">
        <v>1983</v>
      </c>
      <c r="G3017" s="21" t="s">
        <v>2066</v>
      </c>
      <c r="H3017" s="21" t="s">
        <v>2067</v>
      </c>
      <c r="I3017" s="12" t="s">
        <v>2077</v>
      </c>
      <c r="J3017" s="12" t="s">
        <v>2070</v>
      </c>
      <c r="K3017" s="12"/>
      <c r="L3017" s="12" t="s">
        <v>2086</v>
      </c>
      <c r="M3017" s="12" t="s">
        <v>2087</v>
      </c>
    </row>
    <row r="3018" spans="1:13" ht="39.6">
      <c r="A3018" s="21" t="s">
        <v>2068</v>
      </c>
      <c r="B3018" s="21" t="s">
        <v>1983</v>
      </c>
      <c r="C3018" s="21" t="s">
        <v>1956</v>
      </c>
      <c r="D3018" s="21" t="s">
        <v>331</v>
      </c>
      <c r="E3018" s="22" t="s">
        <v>2065</v>
      </c>
      <c r="F3018" s="22" t="s">
        <v>1983</v>
      </c>
      <c r="G3018" s="21" t="s">
        <v>2066</v>
      </c>
      <c r="H3018" s="21" t="s">
        <v>2067</v>
      </c>
      <c r="I3018" s="12" t="s">
        <v>2078</v>
      </c>
      <c r="J3018" s="12" t="s">
        <v>2071</v>
      </c>
      <c r="K3018" s="12"/>
      <c r="L3018" s="12" t="s">
        <v>2088</v>
      </c>
      <c r="M3018" s="12" t="s">
        <v>2089</v>
      </c>
    </row>
    <row r="3019" spans="1:13" ht="66">
      <c r="A3019" s="21" t="s">
        <v>2068</v>
      </c>
      <c r="B3019" s="21" t="s">
        <v>1983</v>
      </c>
      <c r="C3019" s="21" t="s">
        <v>1956</v>
      </c>
      <c r="D3019" s="21" t="s">
        <v>331</v>
      </c>
      <c r="E3019" s="22" t="s">
        <v>2065</v>
      </c>
      <c r="F3019" s="22" t="s">
        <v>1983</v>
      </c>
      <c r="G3019" s="21" t="s">
        <v>2066</v>
      </c>
      <c r="H3019" s="21" t="s">
        <v>2067</v>
      </c>
      <c r="I3019" s="12" t="s">
        <v>2079</v>
      </c>
      <c r="J3019" s="12" t="s">
        <v>2072</v>
      </c>
      <c r="K3019" s="12"/>
      <c r="L3019" s="12" t="s">
        <v>2090</v>
      </c>
      <c r="M3019" s="12" t="s">
        <v>2091</v>
      </c>
    </row>
    <row r="3020" spans="1:13" ht="39.6">
      <c r="A3020" s="21" t="s">
        <v>2068</v>
      </c>
      <c r="B3020" s="21" t="s">
        <v>1983</v>
      </c>
      <c r="C3020" s="21" t="s">
        <v>1956</v>
      </c>
      <c r="D3020" s="21" t="s">
        <v>331</v>
      </c>
      <c r="E3020" s="22" t="s">
        <v>2065</v>
      </c>
      <c r="F3020" s="22" t="s">
        <v>1983</v>
      </c>
      <c r="G3020" s="21" t="s">
        <v>2066</v>
      </c>
      <c r="H3020" s="21" t="s">
        <v>2067</v>
      </c>
      <c r="I3020" s="12" t="s">
        <v>2080</v>
      </c>
      <c r="J3020" s="12" t="s">
        <v>2073</v>
      </c>
      <c r="K3020" s="12" t="s">
        <v>2092</v>
      </c>
      <c r="L3020" s="12" t="s">
        <v>2093</v>
      </c>
      <c r="M3020" s="12" t="s">
        <v>2094</v>
      </c>
    </row>
    <row r="3021" spans="1:13" ht="39.6">
      <c r="A3021" s="21" t="s">
        <v>2068</v>
      </c>
      <c r="B3021" s="21" t="s">
        <v>1983</v>
      </c>
      <c r="C3021" s="21" t="s">
        <v>1956</v>
      </c>
      <c r="D3021" s="21" t="s">
        <v>331</v>
      </c>
      <c r="E3021" s="22" t="s">
        <v>2065</v>
      </c>
      <c r="F3021" s="22" t="s">
        <v>1983</v>
      </c>
      <c r="G3021" s="21" t="s">
        <v>2066</v>
      </c>
      <c r="H3021" s="21" t="s">
        <v>2067</v>
      </c>
      <c r="I3021" s="12" t="s">
        <v>2081</v>
      </c>
      <c r="J3021" s="12" t="s">
        <v>2074</v>
      </c>
      <c r="K3021" s="12" t="s">
        <v>2095</v>
      </c>
      <c r="L3021" s="12" t="s">
        <v>2096</v>
      </c>
      <c r="M3021" s="12" t="s">
        <v>2095</v>
      </c>
    </row>
    <row r="3022" spans="1:13" ht="39.6">
      <c r="A3022" s="21" t="s">
        <v>2068</v>
      </c>
      <c r="B3022" s="21" t="s">
        <v>1983</v>
      </c>
      <c r="C3022" s="21" t="s">
        <v>1956</v>
      </c>
      <c r="D3022" s="21" t="s">
        <v>331</v>
      </c>
      <c r="E3022" s="22" t="s">
        <v>2065</v>
      </c>
      <c r="F3022" s="22" t="s">
        <v>1983</v>
      </c>
      <c r="G3022" s="21" t="s">
        <v>2066</v>
      </c>
      <c r="H3022" s="21" t="s">
        <v>2067</v>
      </c>
      <c r="I3022" s="12" t="s">
        <v>2082</v>
      </c>
      <c r="J3022" s="12" t="s">
        <v>350</v>
      </c>
      <c r="K3022" s="12" t="s">
        <v>340</v>
      </c>
      <c r="L3022" s="12" t="s">
        <v>341</v>
      </c>
      <c r="M3022" s="12" t="s">
        <v>342</v>
      </c>
    </row>
    <row r="3023" spans="1:13" ht="39.6">
      <c r="A3023" s="21" t="s">
        <v>2068</v>
      </c>
      <c r="B3023" s="21" t="s">
        <v>1983</v>
      </c>
      <c r="C3023" s="21" t="s">
        <v>1956</v>
      </c>
      <c r="D3023" s="21" t="s">
        <v>331</v>
      </c>
      <c r="E3023" s="22" t="s">
        <v>2065</v>
      </c>
      <c r="F3023" s="22" t="s">
        <v>1983</v>
      </c>
      <c r="G3023" s="21" t="s">
        <v>2066</v>
      </c>
      <c r="H3023" s="21" t="s">
        <v>2067</v>
      </c>
      <c r="I3023" s="12" t="s">
        <v>2083</v>
      </c>
      <c r="J3023" s="12" t="s">
        <v>2075</v>
      </c>
      <c r="K3023" s="12"/>
      <c r="L3023" s="12" t="s">
        <v>2097</v>
      </c>
      <c r="M3023" s="12" t="s">
        <v>2098</v>
      </c>
    </row>
    <row r="3024" spans="1:13" ht="52.8">
      <c r="A3024" s="21" t="s">
        <v>15080</v>
      </c>
      <c r="B3024" s="21" t="s">
        <v>15050</v>
      </c>
      <c r="C3024" s="21" t="s">
        <v>15029</v>
      </c>
      <c r="D3024" s="21" t="s">
        <v>331</v>
      </c>
      <c r="E3024" s="22" t="s">
        <v>15051</v>
      </c>
      <c r="F3024" s="22" t="s">
        <v>15050</v>
      </c>
      <c r="G3024" s="21" t="s">
        <v>15052</v>
      </c>
      <c r="H3024" s="21" t="s">
        <v>15053</v>
      </c>
      <c r="I3024" s="12" t="s">
        <v>15054</v>
      </c>
      <c r="J3024" s="12" t="s">
        <v>15057</v>
      </c>
      <c r="K3024" s="12" t="s">
        <v>15060</v>
      </c>
      <c r="L3024" s="12" t="s">
        <v>15061</v>
      </c>
      <c r="M3024" s="12" t="s">
        <v>15062</v>
      </c>
    </row>
    <row r="3025" spans="1:13" ht="52.8">
      <c r="A3025" s="21" t="s">
        <v>15080</v>
      </c>
      <c r="B3025" s="21" t="s">
        <v>15050</v>
      </c>
      <c r="C3025" s="21" t="s">
        <v>15029</v>
      </c>
      <c r="D3025" s="21" t="s">
        <v>331</v>
      </c>
      <c r="E3025" s="22" t="s">
        <v>15051</v>
      </c>
      <c r="F3025" s="22" t="s">
        <v>15050</v>
      </c>
      <c r="G3025" s="21" t="s">
        <v>15052</v>
      </c>
      <c r="H3025" s="21" t="s">
        <v>15053</v>
      </c>
      <c r="I3025" s="12" t="s">
        <v>15055</v>
      </c>
      <c r="J3025" s="12" t="s">
        <v>15058</v>
      </c>
      <c r="K3025" s="12" t="s">
        <v>15063</v>
      </c>
      <c r="L3025" s="12" t="s">
        <v>15064</v>
      </c>
      <c r="M3025" s="12" t="s">
        <v>15065</v>
      </c>
    </row>
    <row r="3026" spans="1:13" ht="52.8">
      <c r="A3026" s="21" t="s">
        <v>15080</v>
      </c>
      <c r="B3026" s="21" t="s">
        <v>15050</v>
      </c>
      <c r="C3026" s="21" t="s">
        <v>15029</v>
      </c>
      <c r="D3026" s="21" t="s">
        <v>331</v>
      </c>
      <c r="E3026" s="22" t="s">
        <v>15051</v>
      </c>
      <c r="F3026" s="22" t="s">
        <v>15050</v>
      </c>
      <c r="G3026" s="21" t="s">
        <v>15052</v>
      </c>
      <c r="H3026" s="21" t="s">
        <v>15053</v>
      </c>
      <c r="I3026" s="12" t="s">
        <v>15056</v>
      </c>
      <c r="J3026" s="12" t="s">
        <v>15059</v>
      </c>
      <c r="K3026" s="12" t="s">
        <v>15066</v>
      </c>
      <c r="L3026" s="12" t="s">
        <v>15067</v>
      </c>
      <c r="M3026" s="12" t="s">
        <v>15066</v>
      </c>
    </row>
    <row r="3027" spans="1:13" ht="39.6">
      <c r="A3027" s="21" t="s">
        <v>1468</v>
      </c>
      <c r="B3027" s="21" t="s">
        <v>1453</v>
      </c>
      <c r="C3027" s="21" t="s">
        <v>1469</v>
      </c>
      <c r="D3027" s="21" t="s">
        <v>71</v>
      </c>
      <c r="E3027" s="22" t="s">
        <v>1470</v>
      </c>
      <c r="F3027" s="22" t="s">
        <v>1453</v>
      </c>
      <c r="G3027" s="21" t="s">
        <v>1471</v>
      </c>
      <c r="H3027" s="21" t="s">
        <v>1472</v>
      </c>
      <c r="I3027" s="12" t="s">
        <v>1473</v>
      </c>
      <c r="J3027" s="12" t="s">
        <v>1530</v>
      </c>
      <c r="K3027" s="12"/>
      <c r="L3027" s="12" t="s">
        <v>1586</v>
      </c>
      <c r="M3027" s="12" t="s">
        <v>1587</v>
      </c>
    </row>
    <row r="3028" spans="1:13" ht="39.6">
      <c r="A3028" s="21" t="s">
        <v>1468</v>
      </c>
      <c r="B3028" s="21" t="s">
        <v>1453</v>
      </c>
      <c r="C3028" s="21" t="s">
        <v>1469</v>
      </c>
      <c r="D3028" s="21" t="s">
        <v>71</v>
      </c>
      <c r="E3028" s="22" t="s">
        <v>1470</v>
      </c>
      <c r="F3028" s="22" t="s">
        <v>1453</v>
      </c>
      <c r="G3028" s="21" t="s">
        <v>1471</v>
      </c>
      <c r="H3028" s="21" t="s">
        <v>1472</v>
      </c>
      <c r="I3028" s="12" t="s">
        <v>1474</v>
      </c>
      <c r="J3028" s="12" t="s">
        <v>1531</v>
      </c>
      <c r="K3028" s="12"/>
      <c r="L3028" s="12" t="s">
        <v>1588</v>
      </c>
      <c r="M3028" s="12" t="s">
        <v>1589</v>
      </c>
    </row>
    <row r="3029" spans="1:13" ht="39.6">
      <c r="A3029" s="21" t="s">
        <v>1468</v>
      </c>
      <c r="B3029" s="21" t="s">
        <v>1453</v>
      </c>
      <c r="C3029" s="21" t="s">
        <v>1469</v>
      </c>
      <c r="D3029" s="21" t="s">
        <v>71</v>
      </c>
      <c r="E3029" s="22" t="s">
        <v>1470</v>
      </c>
      <c r="F3029" s="22" t="s">
        <v>1453</v>
      </c>
      <c r="G3029" s="21" t="s">
        <v>1471</v>
      </c>
      <c r="H3029" s="21" t="s">
        <v>1472</v>
      </c>
      <c r="I3029" s="12" t="s">
        <v>1475</v>
      </c>
      <c r="J3029" s="12" t="s">
        <v>1532</v>
      </c>
      <c r="K3029" s="12"/>
      <c r="L3029" s="12" t="s">
        <v>1590</v>
      </c>
      <c r="M3029" s="12" t="s">
        <v>1591</v>
      </c>
    </row>
    <row r="3030" spans="1:13" ht="39.6">
      <c r="A3030" s="21" t="s">
        <v>1468</v>
      </c>
      <c r="B3030" s="21" t="s">
        <v>1453</v>
      </c>
      <c r="C3030" s="21" t="s">
        <v>1469</v>
      </c>
      <c r="D3030" s="21" t="s">
        <v>71</v>
      </c>
      <c r="E3030" s="22" t="s">
        <v>1470</v>
      </c>
      <c r="F3030" s="22" t="s">
        <v>1453</v>
      </c>
      <c r="G3030" s="21" t="s">
        <v>1471</v>
      </c>
      <c r="H3030" s="21" t="s">
        <v>1472</v>
      </c>
      <c r="I3030" s="12" t="s">
        <v>1476</v>
      </c>
      <c r="J3030" s="12" t="s">
        <v>1533</v>
      </c>
      <c r="K3030" s="12" t="s">
        <v>1592</v>
      </c>
      <c r="L3030" s="12" t="s">
        <v>1593</v>
      </c>
      <c r="M3030" s="12" t="s">
        <v>1594</v>
      </c>
    </row>
    <row r="3031" spans="1:13" ht="39.6">
      <c r="A3031" s="21" t="s">
        <v>1468</v>
      </c>
      <c r="B3031" s="21" t="s">
        <v>1453</v>
      </c>
      <c r="C3031" s="21" t="s">
        <v>1469</v>
      </c>
      <c r="D3031" s="21" t="s">
        <v>71</v>
      </c>
      <c r="E3031" s="22" t="s">
        <v>1470</v>
      </c>
      <c r="F3031" s="22" t="s">
        <v>1453</v>
      </c>
      <c r="G3031" s="21" t="s">
        <v>1471</v>
      </c>
      <c r="H3031" s="21" t="s">
        <v>1472</v>
      </c>
      <c r="I3031" s="12" t="s">
        <v>1477</v>
      </c>
      <c r="J3031" s="12" t="s">
        <v>1534</v>
      </c>
      <c r="K3031" s="12"/>
      <c r="L3031" s="12" t="s">
        <v>1595</v>
      </c>
      <c r="M3031" s="12" t="s">
        <v>1596</v>
      </c>
    </row>
    <row r="3032" spans="1:13" ht="52.8">
      <c r="A3032" s="21" t="s">
        <v>1468</v>
      </c>
      <c r="B3032" s="21" t="s">
        <v>1453</v>
      </c>
      <c r="C3032" s="21" t="s">
        <v>1469</v>
      </c>
      <c r="D3032" s="21" t="s">
        <v>71</v>
      </c>
      <c r="E3032" s="22" t="s">
        <v>1470</v>
      </c>
      <c r="F3032" s="22" t="s">
        <v>1453</v>
      </c>
      <c r="G3032" s="21" t="s">
        <v>1471</v>
      </c>
      <c r="H3032" s="21" t="s">
        <v>1472</v>
      </c>
      <c r="I3032" s="12" t="s">
        <v>1478</v>
      </c>
      <c r="J3032" s="12" t="s">
        <v>1535</v>
      </c>
      <c r="K3032" s="12"/>
      <c r="L3032" s="12" t="s">
        <v>1597</v>
      </c>
      <c r="M3032" s="12" t="s">
        <v>1598</v>
      </c>
    </row>
    <row r="3033" spans="1:13" ht="52.8">
      <c r="A3033" s="21" t="s">
        <v>1468</v>
      </c>
      <c r="B3033" s="21" t="s">
        <v>1453</v>
      </c>
      <c r="C3033" s="21" t="s">
        <v>1469</v>
      </c>
      <c r="D3033" s="21" t="s">
        <v>71</v>
      </c>
      <c r="E3033" s="22" t="s">
        <v>1470</v>
      </c>
      <c r="F3033" s="22" t="s">
        <v>1453</v>
      </c>
      <c r="G3033" s="21" t="s">
        <v>1471</v>
      </c>
      <c r="H3033" s="21" t="s">
        <v>1472</v>
      </c>
      <c r="I3033" s="12" t="s">
        <v>1479</v>
      </c>
      <c r="J3033" s="12" t="s">
        <v>1536</v>
      </c>
      <c r="K3033" s="12"/>
      <c r="L3033" s="12" t="s">
        <v>1599</v>
      </c>
      <c r="M3033" s="12" t="s">
        <v>1600</v>
      </c>
    </row>
    <row r="3034" spans="1:13" ht="66">
      <c r="A3034" s="21" t="s">
        <v>1468</v>
      </c>
      <c r="B3034" s="21" t="s">
        <v>1453</v>
      </c>
      <c r="C3034" s="21" t="s">
        <v>1469</v>
      </c>
      <c r="D3034" s="21" t="s">
        <v>71</v>
      </c>
      <c r="E3034" s="22" t="s">
        <v>1470</v>
      </c>
      <c r="F3034" s="22" t="s">
        <v>1453</v>
      </c>
      <c r="G3034" s="21" t="s">
        <v>1471</v>
      </c>
      <c r="H3034" s="21" t="s">
        <v>1472</v>
      </c>
      <c r="I3034" s="12" t="s">
        <v>1480</v>
      </c>
      <c r="J3034" s="12" t="s">
        <v>1537</v>
      </c>
      <c r="K3034" s="12" t="s">
        <v>1601</v>
      </c>
      <c r="L3034" s="12" t="s">
        <v>1602</v>
      </c>
      <c r="M3034" s="12" t="s">
        <v>1603</v>
      </c>
    </row>
    <row r="3035" spans="1:13" ht="92.4">
      <c r="A3035" s="21" t="s">
        <v>1468</v>
      </c>
      <c r="B3035" s="21" t="s">
        <v>1453</v>
      </c>
      <c r="C3035" s="21" t="s">
        <v>1469</v>
      </c>
      <c r="D3035" s="21" t="s">
        <v>71</v>
      </c>
      <c r="E3035" s="22" t="s">
        <v>1470</v>
      </c>
      <c r="F3035" s="22" t="s">
        <v>1453</v>
      </c>
      <c r="G3035" s="21" t="s">
        <v>1471</v>
      </c>
      <c r="H3035" s="21" t="s">
        <v>1472</v>
      </c>
      <c r="I3035" s="12" t="s">
        <v>1481</v>
      </c>
      <c r="J3035" s="12" t="s">
        <v>1538</v>
      </c>
      <c r="K3035" s="12" t="s">
        <v>1604</v>
      </c>
      <c r="L3035" s="12" t="s">
        <v>1605</v>
      </c>
      <c r="M3035" s="12" t="s">
        <v>1606</v>
      </c>
    </row>
    <row r="3036" spans="1:13" ht="52.8">
      <c r="A3036" s="21" t="s">
        <v>1468</v>
      </c>
      <c r="B3036" s="21" t="s">
        <v>1453</v>
      </c>
      <c r="C3036" s="21" t="s">
        <v>1469</v>
      </c>
      <c r="D3036" s="21" t="s">
        <v>71</v>
      </c>
      <c r="E3036" s="22" t="s">
        <v>1470</v>
      </c>
      <c r="F3036" s="22" t="s">
        <v>1453</v>
      </c>
      <c r="G3036" s="21" t="s">
        <v>1471</v>
      </c>
      <c r="H3036" s="21" t="s">
        <v>1472</v>
      </c>
      <c r="I3036" s="12" t="s">
        <v>1482</v>
      </c>
      <c r="J3036" s="12" t="s">
        <v>660</v>
      </c>
      <c r="K3036" s="12" t="s">
        <v>942</v>
      </c>
      <c r="L3036" s="12" t="s">
        <v>943</v>
      </c>
      <c r="M3036" s="12" t="s">
        <v>944</v>
      </c>
    </row>
    <row r="3037" spans="1:13" ht="39.6">
      <c r="A3037" s="21" t="s">
        <v>1468</v>
      </c>
      <c r="B3037" s="21" t="s">
        <v>1453</v>
      </c>
      <c r="C3037" s="21" t="s">
        <v>1469</v>
      </c>
      <c r="D3037" s="21" t="s">
        <v>71</v>
      </c>
      <c r="E3037" s="22" t="s">
        <v>1470</v>
      </c>
      <c r="F3037" s="22" t="s">
        <v>1453</v>
      </c>
      <c r="G3037" s="21" t="s">
        <v>1471</v>
      </c>
      <c r="H3037" s="21" t="s">
        <v>1472</v>
      </c>
      <c r="I3037" s="12" t="s">
        <v>1483</v>
      </c>
      <c r="J3037" s="12" t="s">
        <v>1539</v>
      </c>
      <c r="K3037" s="12"/>
      <c r="L3037" s="12" t="s">
        <v>1607</v>
      </c>
      <c r="M3037" s="12" t="s">
        <v>1608</v>
      </c>
    </row>
    <row r="3038" spans="1:13" ht="39.6">
      <c r="A3038" s="21" t="s">
        <v>1468</v>
      </c>
      <c r="B3038" s="21" t="s">
        <v>1453</v>
      </c>
      <c r="C3038" s="21" t="s">
        <v>1469</v>
      </c>
      <c r="D3038" s="21" t="s">
        <v>71</v>
      </c>
      <c r="E3038" s="22" t="s">
        <v>1470</v>
      </c>
      <c r="F3038" s="22" t="s">
        <v>1453</v>
      </c>
      <c r="G3038" s="21" t="s">
        <v>1471</v>
      </c>
      <c r="H3038" s="21" t="s">
        <v>1472</v>
      </c>
      <c r="I3038" s="12" t="s">
        <v>1484</v>
      </c>
      <c r="J3038" s="12" t="s">
        <v>1540</v>
      </c>
      <c r="K3038" s="12"/>
      <c r="L3038" s="12" t="s">
        <v>1609</v>
      </c>
      <c r="M3038" s="12" t="s">
        <v>1610</v>
      </c>
    </row>
    <row r="3039" spans="1:13" ht="39.6">
      <c r="A3039" s="21" t="s">
        <v>1468</v>
      </c>
      <c r="B3039" s="21" t="s">
        <v>1453</v>
      </c>
      <c r="C3039" s="21" t="s">
        <v>1469</v>
      </c>
      <c r="D3039" s="21" t="s">
        <v>71</v>
      </c>
      <c r="E3039" s="22" t="s">
        <v>1470</v>
      </c>
      <c r="F3039" s="22" t="s">
        <v>1453</v>
      </c>
      <c r="G3039" s="21" t="s">
        <v>1471</v>
      </c>
      <c r="H3039" s="21" t="s">
        <v>1472</v>
      </c>
      <c r="I3039" s="12" t="s">
        <v>1485</v>
      </c>
      <c r="J3039" s="12" t="s">
        <v>1541</v>
      </c>
      <c r="K3039" s="12"/>
      <c r="L3039" s="12" t="s">
        <v>1611</v>
      </c>
      <c r="M3039" s="12" t="s">
        <v>1612</v>
      </c>
    </row>
    <row r="3040" spans="1:13" ht="39.6">
      <c r="A3040" s="21" t="s">
        <v>1468</v>
      </c>
      <c r="B3040" s="21" t="s">
        <v>1453</v>
      </c>
      <c r="C3040" s="21" t="s">
        <v>1469</v>
      </c>
      <c r="D3040" s="21" t="s">
        <v>71</v>
      </c>
      <c r="E3040" s="22" t="s">
        <v>1470</v>
      </c>
      <c r="F3040" s="22" t="s">
        <v>1453</v>
      </c>
      <c r="G3040" s="21" t="s">
        <v>1471</v>
      </c>
      <c r="H3040" s="21" t="s">
        <v>1472</v>
      </c>
      <c r="I3040" s="12" t="s">
        <v>1486</v>
      </c>
      <c r="J3040" s="12" t="s">
        <v>1542</v>
      </c>
      <c r="K3040" s="12" t="s">
        <v>1613</v>
      </c>
      <c r="L3040" s="12" t="s">
        <v>1614</v>
      </c>
      <c r="M3040" s="12" t="s">
        <v>1615</v>
      </c>
    </row>
    <row r="3041" spans="1:13" ht="39.6">
      <c r="A3041" s="21" t="s">
        <v>1468</v>
      </c>
      <c r="B3041" s="21" t="s">
        <v>1453</v>
      </c>
      <c r="C3041" s="21" t="s">
        <v>1469</v>
      </c>
      <c r="D3041" s="21" t="s">
        <v>71</v>
      </c>
      <c r="E3041" s="22" t="s">
        <v>1470</v>
      </c>
      <c r="F3041" s="22" t="s">
        <v>1453</v>
      </c>
      <c r="G3041" s="21" t="s">
        <v>1471</v>
      </c>
      <c r="H3041" s="21" t="s">
        <v>1472</v>
      </c>
      <c r="I3041" s="12" t="s">
        <v>1487</v>
      </c>
      <c r="J3041" s="12" t="s">
        <v>1543</v>
      </c>
      <c r="K3041" s="12"/>
      <c r="L3041" s="12" t="s">
        <v>1616</v>
      </c>
      <c r="M3041" s="12" t="s">
        <v>1617</v>
      </c>
    </row>
    <row r="3042" spans="1:13" ht="39.6">
      <c r="A3042" s="21" t="s">
        <v>1468</v>
      </c>
      <c r="B3042" s="21" t="s">
        <v>1453</v>
      </c>
      <c r="C3042" s="21" t="s">
        <v>1469</v>
      </c>
      <c r="D3042" s="21" t="s">
        <v>71</v>
      </c>
      <c r="E3042" s="22" t="s">
        <v>1470</v>
      </c>
      <c r="F3042" s="22" t="s">
        <v>1453</v>
      </c>
      <c r="G3042" s="21" t="s">
        <v>1471</v>
      </c>
      <c r="H3042" s="21" t="s">
        <v>1472</v>
      </c>
      <c r="I3042" s="12" t="s">
        <v>1488</v>
      </c>
      <c r="J3042" s="12" t="s">
        <v>1544</v>
      </c>
      <c r="K3042" s="12" t="s">
        <v>1618</v>
      </c>
      <c r="L3042" s="12" t="s">
        <v>1619</v>
      </c>
      <c r="M3042" s="12" t="s">
        <v>1618</v>
      </c>
    </row>
    <row r="3043" spans="1:13" ht="39.6">
      <c r="A3043" s="21" t="s">
        <v>1468</v>
      </c>
      <c r="B3043" s="21" t="s">
        <v>1453</v>
      </c>
      <c r="C3043" s="21" t="s">
        <v>1469</v>
      </c>
      <c r="D3043" s="21" t="s">
        <v>71</v>
      </c>
      <c r="E3043" s="22" t="s">
        <v>1470</v>
      </c>
      <c r="F3043" s="22" t="s">
        <v>1453</v>
      </c>
      <c r="G3043" s="21" t="s">
        <v>1471</v>
      </c>
      <c r="H3043" s="21" t="s">
        <v>1472</v>
      </c>
      <c r="I3043" s="12" t="s">
        <v>1489</v>
      </c>
      <c r="J3043" s="12" t="s">
        <v>1545</v>
      </c>
      <c r="K3043" s="12"/>
      <c r="L3043" s="12" t="s">
        <v>1620</v>
      </c>
      <c r="M3043" s="12" t="s">
        <v>1621</v>
      </c>
    </row>
    <row r="3044" spans="1:13" ht="39.6">
      <c r="A3044" s="21" t="s">
        <v>1468</v>
      </c>
      <c r="B3044" s="21" t="s">
        <v>1453</v>
      </c>
      <c r="C3044" s="21" t="s">
        <v>1469</v>
      </c>
      <c r="D3044" s="21" t="s">
        <v>71</v>
      </c>
      <c r="E3044" s="22" t="s">
        <v>1470</v>
      </c>
      <c r="F3044" s="22" t="s">
        <v>1453</v>
      </c>
      <c r="G3044" s="21" t="s">
        <v>1471</v>
      </c>
      <c r="H3044" s="21" t="s">
        <v>1472</v>
      </c>
      <c r="I3044" s="12" t="s">
        <v>1490</v>
      </c>
      <c r="J3044" s="12" t="s">
        <v>1546</v>
      </c>
      <c r="K3044" s="12"/>
      <c r="L3044" s="12" t="s">
        <v>1622</v>
      </c>
      <c r="M3044" s="12" t="s">
        <v>1623</v>
      </c>
    </row>
    <row r="3045" spans="1:13" ht="52.8">
      <c r="A3045" s="21" t="s">
        <v>1468</v>
      </c>
      <c r="B3045" s="21" t="s">
        <v>1453</v>
      </c>
      <c r="C3045" s="21" t="s">
        <v>1469</v>
      </c>
      <c r="D3045" s="21" t="s">
        <v>71</v>
      </c>
      <c r="E3045" s="22" t="s">
        <v>1470</v>
      </c>
      <c r="F3045" s="22" t="s">
        <v>1453</v>
      </c>
      <c r="G3045" s="21" t="s">
        <v>1471</v>
      </c>
      <c r="H3045" s="21" t="s">
        <v>1472</v>
      </c>
      <c r="I3045" s="12" t="s">
        <v>1491</v>
      </c>
      <c r="J3045" s="12" t="s">
        <v>1547</v>
      </c>
      <c r="K3045" s="12"/>
      <c r="L3045" s="12" t="s">
        <v>1624</v>
      </c>
      <c r="M3045" s="12" t="s">
        <v>1625</v>
      </c>
    </row>
    <row r="3046" spans="1:13" ht="39.6">
      <c r="A3046" s="21" t="s">
        <v>1468</v>
      </c>
      <c r="B3046" s="21" t="s">
        <v>1453</v>
      </c>
      <c r="C3046" s="21" t="s">
        <v>1469</v>
      </c>
      <c r="D3046" s="21" t="s">
        <v>71</v>
      </c>
      <c r="E3046" s="22" t="s">
        <v>1470</v>
      </c>
      <c r="F3046" s="22" t="s">
        <v>1453</v>
      </c>
      <c r="G3046" s="21" t="s">
        <v>1471</v>
      </c>
      <c r="H3046" s="21" t="s">
        <v>1472</v>
      </c>
      <c r="I3046" s="12" t="s">
        <v>1492</v>
      </c>
      <c r="J3046" s="12" t="s">
        <v>1548</v>
      </c>
      <c r="K3046" s="12"/>
      <c r="L3046" s="12" t="s">
        <v>1626</v>
      </c>
      <c r="M3046" s="12" t="s">
        <v>1627</v>
      </c>
    </row>
    <row r="3047" spans="1:13" ht="39.6">
      <c r="A3047" s="21" t="s">
        <v>1468</v>
      </c>
      <c r="B3047" s="21" t="s">
        <v>1453</v>
      </c>
      <c r="C3047" s="21" t="s">
        <v>1469</v>
      </c>
      <c r="D3047" s="21" t="s">
        <v>71</v>
      </c>
      <c r="E3047" s="22" t="s">
        <v>1470</v>
      </c>
      <c r="F3047" s="22" t="s">
        <v>1453</v>
      </c>
      <c r="G3047" s="21" t="s">
        <v>1471</v>
      </c>
      <c r="H3047" s="21" t="s">
        <v>1472</v>
      </c>
      <c r="I3047" s="12" t="s">
        <v>1493</v>
      </c>
      <c r="J3047" s="12" t="s">
        <v>1549</v>
      </c>
      <c r="K3047" s="12"/>
      <c r="L3047" s="12" t="s">
        <v>1628</v>
      </c>
      <c r="M3047" s="12" t="s">
        <v>1629</v>
      </c>
    </row>
    <row r="3048" spans="1:13" ht="39.6">
      <c r="A3048" s="21" t="s">
        <v>1468</v>
      </c>
      <c r="B3048" s="21" t="s">
        <v>1453</v>
      </c>
      <c r="C3048" s="21" t="s">
        <v>1469</v>
      </c>
      <c r="D3048" s="21" t="s">
        <v>71</v>
      </c>
      <c r="E3048" s="22" t="s">
        <v>1470</v>
      </c>
      <c r="F3048" s="22" t="s">
        <v>1453</v>
      </c>
      <c r="G3048" s="21" t="s">
        <v>1471</v>
      </c>
      <c r="H3048" s="21" t="s">
        <v>1472</v>
      </c>
      <c r="I3048" s="12" t="s">
        <v>1494</v>
      </c>
      <c r="J3048" s="12" t="s">
        <v>1550</v>
      </c>
      <c r="K3048" s="12"/>
      <c r="L3048" s="12" t="s">
        <v>1630</v>
      </c>
      <c r="M3048" s="12" t="s">
        <v>1631</v>
      </c>
    </row>
    <row r="3049" spans="1:13" ht="39.6">
      <c r="A3049" s="21" t="s">
        <v>1468</v>
      </c>
      <c r="B3049" s="21" t="s">
        <v>1453</v>
      </c>
      <c r="C3049" s="21" t="s">
        <v>1469</v>
      </c>
      <c r="D3049" s="21" t="s">
        <v>71</v>
      </c>
      <c r="E3049" s="22" t="s">
        <v>1470</v>
      </c>
      <c r="F3049" s="22" t="s">
        <v>1453</v>
      </c>
      <c r="G3049" s="21" t="s">
        <v>1471</v>
      </c>
      <c r="H3049" s="21" t="s">
        <v>1472</v>
      </c>
      <c r="I3049" s="12" t="s">
        <v>1495</v>
      </c>
      <c r="J3049" s="12" t="s">
        <v>1551</v>
      </c>
      <c r="K3049" s="12"/>
      <c r="L3049" s="12" t="s">
        <v>1632</v>
      </c>
      <c r="M3049" s="12" t="s">
        <v>1633</v>
      </c>
    </row>
    <row r="3050" spans="1:13" ht="39.6">
      <c r="A3050" s="21" t="s">
        <v>1468</v>
      </c>
      <c r="B3050" s="21" t="s">
        <v>1453</v>
      </c>
      <c r="C3050" s="21" t="s">
        <v>1469</v>
      </c>
      <c r="D3050" s="21" t="s">
        <v>71</v>
      </c>
      <c r="E3050" s="22" t="s">
        <v>1470</v>
      </c>
      <c r="F3050" s="22" t="s">
        <v>1453</v>
      </c>
      <c r="G3050" s="21" t="s">
        <v>1471</v>
      </c>
      <c r="H3050" s="21" t="s">
        <v>1472</v>
      </c>
      <c r="I3050" s="12" t="s">
        <v>1496</v>
      </c>
      <c r="J3050" s="12" t="s">
        <v>1552</v>
      </c>
      <c r="K3050" s="12"/>
      <c r="L3050" s="12" t="s">
        <v>1634</v>
      </c>
      <c r="M3050" s="12" t="s">
        <v>1635</v>
      </c>
    </row>
    <row r="3051" spans="1:13" ht="39.6">
      <c r="A3051" s="21" t="s">
        <v>1468</v>
      </c>
      <c r="B3051" s="21" t="s">
        <v>1453</v>
      </c>
      <c r="C3051" s="21" t="s">
        <v>1469</v>
      </c>
      <c r="D3051" s="21" t="s">
        <v>71</v>
      </c>
      <c r="E3051" s="22" t="s">
        <v>1470</v>
      </c>
      <c r="F3051" s="22" t="s">
        <v>1453</v>
      </c>
      <c r="G3051" s="21" t="s">
        <v>1471</v>
      </c>
      <c r="H3051" s="21" t="s">
        <v>1472</v>
      </c>
      <c r="I3051" s="12" t="s">
        <v>1497</v>
      </c>
      <c r="J3051" s="12" t="s">
        <v>1553</v>
      </c>
      <c r="K3051" s="12"/>
      <c r="L3051" s="12" t="s">
        <v>1636</v>
      </c>
      <c r="M3051" s="12" t="s">
        <v>1637</v>
      </c>
    </row>
    <row r="3052" spans="1:13" ht="52.8">
      <c r="A3052" s="21" t="s">
        <v>1468</v>
      </c>
      <c r="B3052" s="21" t="s">
        <v>1453</v>
      </c>
      <c r="C3052" s="21" t="s">
        <v>1469</v>
      </c>
      <c r="D3052" s="21" t="s">
        <v>71</v>
      </c>
      <c r="E3052" s="22" t="s">
        <v>1470</v>
      </c>
      <c r="F3052" s="22" t="s">
        <v>1453</v>
      </c>
      <c r="G3052" s="21" t="s">
        <v>1471</v>
      </c>
      <c r="H3052" s="21" t="s">
        <v>1472</v>
      </c>
      <c r="I3052" s="12" t="s">
        <v>1498</v>
      </c>
      <c r="J3052" s="12" t="s">
        <v>1554</v>
      </c>
      <c r="K3052" s="12"/>
      <c r="L3052" s="12" t="s">
        <v>1638</v>
      </c>
      <c r="M3052" s="12" t="s">
        <v>1639</v>
      </c>
    </row>
    <row r="3053" spans="1:13" ht="39.6">
      <c r="A3053" s="21" t="s">
        <v>1468</v>
      </c>
      <c r="B3053" s="21" t="s">
        <v>1453</v>
      </c>
      <c r="C3053" s="21" t="s">
        <v>1469</v>
      </c>
      <c r="D3053" s="21" t="s">
        <v>71</v>
      </c>
      <c r="E3053" s="22" t="s">
        <v>1470</v>
      </c>
      <c r="F3053" s="22" t="s">
        <v>1453</v>
      </c>
      <c r="G3053" s="21" t="s">
        <v>1471</v>
      </c>
      <c r="H3053" s="21" t="s">
        <v>1472</v>
      </c>
      <c r="I3053" s="12" t="s">
        <v>1499</v>
      </c>
      <c r="J3053" s="12" t="s">
        <v>1555</v>
      </c>
      <c r="K3053" s="12"/>
      <c r="L3053" s="12" t="s">
        <v>1640</v>
      </c>
      <c r="M3053" s="12" t="s">
        <v>1641</v>
      </c>
    </row>
    <row r="3054" spans="1:13" ht="39.6">
      <c r="A3054" s="21" t="s">
        <v>1468</v>
      </c>
      <c r="B3054" s="21" t="s">
        <v>1453</v>
      </c>
      <c r="C3054" s="21" t="s">
        <v>1469</v>
      </c>
      <c r="D3054" s="21" t="s">
        <v>71</v>
      </c>
      <c r="E3054" s="22" t="s">
        <v>1470</v>
      </c>
      <c r="F3054" s="22" t="s">
        <v>1453</v>
      </c>
      <c r="G3054" s="21" t="s">
        <v>1471</v>
      </c>
      <c r="H3054" s="21" t="s">
        <v>1472</v>
      </c>
      <c r="I3054" s="12" t="s">
        <v>1500</v>
      </c>
      <c r="J3054" s="12" t="s">
        <v>1556</v>
      </c>
      <c r="K3054" s="12"/>
      <c r="L3054" s="12" t="s">
        <v>1642</v>
      </c>
      <c r="M3054" s="12" t="s">
        <v>1643</v>
      </c>
    </row>
    <row r="3055" spans="1:13" ht="39.6">
      <c r="A3055" s="21" t="s">
        <v>1468</v>
      </c>
      <c r="B3055" s="21" t="s">
        <v>1453</v>
      </c>
      <c r="C3055" s="21" t="s">
        <v>1469</v>
      </c>
      <c r="D3055" s="21" t="s">
        <v>71</v>
      </c>
      <c r="E3055" s="22" t="s">
        <v>1470</v>
      </c>
      <c r="F3055" s="22" t="s">
        <v>1453</v>
      </c>
      <c r="G3055" s="21" t="s">
        <v>1471</v>
      </c>
      <c r="H3055" s="21" t="s">
        <v>1472</v>
      </c>
      <c r="I3055" s="12" t="s">
        <v>1501</v>
      </c>
      <c r="J3055" s="12" t="s">
        <v>1557</v>
      </c>
      <c r="K3055" s="12"/>
      <c r="L3055" s="12" t="s">
        <v>1644</v>
      </c>
      <c r="M3055" s="12" t="s">
        <v>1645</v>
      </c>
    </row>
    <row r="3056" spans="1:13" ht="39.6">
      <c r="A3056" s="21" t="s">
        <v>1468</v>
      </c>
      <c r="B3056" s="21" t="s">
        <v>1453</v>
      </c>
      <c r="C3056" s="21" t="s">
        <v>1469</v>
      </c>
      <c r="D3056" s="21" t="s">
        <v>71</v>
      </c>
      <c r="E3056" s="22" t="s">
        <v>1470</v>
      </c>
      <c r="F3056" s="22" t="s">
        <v>1453</v>
      </c>
      <c r="G3056" s="21" t="s">
        <v>1471</v>
      </c>
      <c r="H3056" s="21" t="s">
        <v>1472</v>
      </c>
      <c r="I3056" s="12" t="s">
        <v>1502</v>
      </c>
      <c r="J3056" s="12" t="s">
        <v>1558</v>
      </c>
      <c r="K3056" s="12"/>
      <c r="L3056" s="12" t="s">
        <v>1646</v>
      </c>
      <c r="M3056" s="12" t="s">
        <v>1647</v>
      </c>
    </row>
    <row r="3057" spans="1:13" ht="39.6">
      <c r="A3057" s="21" t="s">
        <v>1468</v>
      </c>
      <c r="B3057" s="21" t="s">
        <v>1453</v>
      </c>
      <c r="C3057" s="21" t="s">
        <v>1469</v>
      </c>
      <c r="D3057" s="21" t="s">
        <v>71</v>
      </c>
      <c r="E3057" s="22" t="s">
        <v>1470</v>
      </c>
      <c r="F3057" s="22" t="s">
        <v>1453</v>
      </c>
      <c r="G3057" s="21" t="s">
        <v>1471</v>
      </c>
      <c r="H3057" s="21" t="s">
        <v>1472</v>
      </c>
      <c r="I3057" s="12" t="s">
        <v>1503</v>
      </c>
      <c r="J3057" s="12" t="s">
        <v>1559</v>
      </c>
      <c r="K3057" s="12"/>
      <c r="L3057" s="12" t="s">
        <v>1648</v>
      </c>
      <c r="M3057" s="12" t="s">
        <v>1649</v>
      </c>
    </row>
    <row r="3058" spans="1:13" ht="39.6">
      <c r="A3058" s="21" t="s">
        <v>1468</v>
      </c>
      <c r="B3058" s="21" t="s">
        <v>1453</v>
      </c>
      <c r="C3058" s="21" t="s">
        <v>1469</v>
      </c>
      <c r="D3058" s="21" t="s">
        <v>71</v>
      </c>
      <c r="E3058" s="22" t="s">
        <v>1470</v>
      </c>
      <c r="F3058" s="22" t="s">
        <v>1453</v>
      </c>
      <c r="G3058" s="21" t="s">
        <v>1471</v>
      </c>
      <c r="H3058" s="21" t="s">
        <v>1472</v>
      </c>
      <c r="I3058" s="12" t="s">
        <v>1504</v>
      </c>
      <c r="J3058" s="12" t="s">
        <v>1560</v>
      </c>
      <c r="K3058" s="12"/>
      <c r="L3058" s="12" t="s">
        <v>1650</v>
      </c>
      <c r="M3058" s="12" t="s">
        <v>1651</v>
      </c>
    </row>
    <row r="3059" spans="1:13" ht="39.6">
      <c r="A3059" s="21" t="s">
        <v>1468</v>
      </c>
      <c r="B3059" s="21" t="s">
        <v>1453</v>
      </c>
      <c r="C3059" s="21" t="s">
        <v>1469</v>
      </c>
      <c r="D3059" s="21" t="s">
        <v>71</v>
      </c>
      <c r="E3059" s="22" t="s">
        <v>1470</v>
      </c>
      <c r="F3059" s="22" t="s">
        <v>1453</v>
      </c>
      <c r="G3059" s="21" t="s">
        <v>1471</v>
      </c>
      <c r="H3059" s="21" t="s">
        <v>1472</v>
      </c>
      <c r="I3059" s="12" t="s">
        <v>1505</v>
      </c>
      <c r="J3059" s="12" t="s">
        <v>1561</v>
      </c>
      <c r="K3059" s="12"/>
      <c r="L3059" s="12" t="s">
        <v>1652</v>
      </c>
      <c r="M3059" s="12" t="s">
        <v>1653</v>
      </c>
    </row>
    <row r="3060" spans="1:13" ht="39.6">
      <c r="A3060" s="21" t="s">
        <v>1468</v>
      </c>
      <c r="B3060" s="21" t="s">
        <v>1453</v>
      </c>
      <c r="C3060" s="21" t="s">
        <v>1469</v>
      </c>
      <c r="D3060" s="21" t="s">
        <v>71</v>
      </c>
      <c r="E3060" s="22" t="s">
        <v>1470</v>
      </c>
      <c r="F3060" s="22" t="s">
        <v>1453</v>
      </c>
      <c r="G3060" s="21" t="s">
        <v>1471</v>
      </c>
      <c r="H3060" s="21" t="s">
        <v>1472</v>
      </c>
      <c r="I3060" s="12" t="s">
        <v>1506</v>
      </c>
      <c r="J3060" s="12" t="s">
        <v>1562</v>
      </c>
      <c r="K3060" s="12"/>
      <c r="L3060" s="12" t="s">
        <v>1654</v>
      </c>
      <c r="M3060" s="12" t="s">
        <v>1655</v>
      </c>
    </row>
    <row r="3061" spans="1:13" ht="39.6">
      <c r="A3061" s="21" t="s">
        <v>1468</v>
      </c>
      <c r="B3061" s="21" t="s">
        <v>1453</v>
      </c>
      <c r="C3061" s="21" t="s">
        <v>1469</v>
      </c>
      <c r="D3061" s="21" t="s">
        <v>71</v>
      </c>
      <c r="E3061" s="22" t="s">
        <v>1470</v>
      </c>
      <c r="F3061" s="22" t="s">
        <v>1453</v>
      </c>
      <c r="G3061" s="21" t="s">
        <v>1471</v>
      </c>
      <c r="H3061" s="21" t="s">
        <v>1472</v>
      </c>
      <c r="I3061" s="12" t="s">
        <v>1507</v>
      </c>
      <c r="J3061" s="12" t="s">
        <v>1563</v>
      </c>
      <c r="K3061" s="12"/>
      <c r="L3061" s="12" t="s">
        <v>1656</v>
      </c>
      <c r="M3061" s="12" t="s">
        <v>1657</v>
      </c>
    </row>
    <row r="3062" spans="1:13" ht="66">
      <c r="A3062" s="21" t="s">
        <v>1468</v>
      </c>
      <c r="B3062" s="21" t="s">
        <v>1453</v>
      </c>
      <c r="C3062" s="21" t="s">
        <v>1469</v>
      </c>
      <c r="D3062" s="21" t="s">
        <v>71</v>
      </c>
      <c r="E3062" s="22" t="s">
        <v>1470</v>
      </c>
      <c r="F3062" s="22" t="s">
        <v>1453</v>
      </c>
      <c r="G3062" s="21" t="s">
        <v>1471</v>
      </c>
      <c r="H3062" s="21" t="s">
        <v>1472</v>
      </c>
      <c r="I3062" s="12" t="s">
        <v>1508</v>
      </c>
      <c r="J3062" s="12" t="s">
        <v>1564</v>
      </c>
      <c r="K3062" s="12"/>
      <c r="L3062" s="12" t="s">
        <v>1658</v>
      </c>
      <c r="M3062" s="12" t="s">
        <v>1659</v>
      </c>
    </row>
    <row r="3063" spans="1:13" ht="39.6">
      <c r="A3063" s="21" t="s">
        <v>1468</v>
      </c>
      <c r="B3063" s="21" t="s">
        <v>1453</v>
      </c>
      <c r="C3063" s="21" t="s">
        <v>1469</v>
      </c>
      <c r="D3063" s="21" t="s">
        <v>71</v>
      </c>
      <c r="E3063" s="22" t="s">
        <v>1470</v>
      </c>
      <c r="F3063" s="22" t="s">
        <v>1453</v>
      </c>
      <c r="G3063" s="21" t="s">
        <v>1471</v>
      </c>
      <c r="H3063" s="21" t="s">
        <v>1472</v>
      </c>
      <c r="I3063" s="12" t="s">
        <v>1509</v>
      </c>
      <c r="J3063" s="12" t="s">
        <v>1565</v>
      </c>
      <c r="K3063" s="12"/>
      <c r="L3063" s="12" t="s">
        <v>1660</v>
      </c>
      <c r="M3063" s="12" t="s">
        <v>1661</v>
      </c>
    </row>
    <row r="3064" spans="1:13" ht="79.2">
      <c r="A3064" s="21" t="s">
        <v>1468</v>
      </c>
      <c r="B3064" s="21" t="s">
        <v>1453</v>
      </c>
      <c r="C3064" s="21" t="s">
        <v>1469</v>
      </c>
      <c r="D3064" s="21" t="s">
        <v>71</v>
      </c>
      <c r="E3064" s="22" t="s">
        <v>1470</v>
      </c>
      <c r="F3064" s="22" t="s">
        <v>1453</v>
      </c>
      <c r="G3064" s="21" t="s">
        <v>1471</v>
      </c>
      <c r="H3064" s="21" t="s">
        <v>1472</v>
      </c>
      <c r="I3064" s="12" t="s">
        <v>1510</v>
      </c>
      <c r="J3064" s="12" t="s">
        <v>1566</v>
      </c>
      <c r="K3064" s="12" t="s">
        <v>1662</v>
      </c>
      <c r="L3064" s="12" t="s">
        <v>1663</v>
      </c>
      <c r="M3064" s="12" t="s">
        <v>1664</v>
      </c>
    </row>
    <row r="3065" spans="1:13" ht="39.6">
      <c r="A3065" s="21" t="s">
        <v>1468</v>
      </c>
      <c r="B3065" s="21" t="s">
        <v>1453</v>
      </c>
      <c r="C3065" s="21" t="s">
        <v>1469</v>
      </c>
      <c r="D3065" s="21" t="s">
        <v>71</v>
      </c>
      <c r="E3065" s="22" t="s">
        <v>1470</v>
      </c>
      <c r="F3065" s="22" t="s">
        <v>1453</v>
      </c>
      <c r="G3065" s="21" t="s">
        <v>1471</v>
      </c>
      <c r="H3065" s="21" t="s">
        <v>1472</v>
      </c>
      <c r="I3065" s="12" t="s">
        <v>1511</v>
      </c>
      <c r="J3065" s="12" t="s">
        <v>1567</v>
      </c>
      <c r="K3065" s="12"/>
      <c r="L3065" s="12" t="s">
        <v>1665</v>
      </c>
      <c r="M3065" s="12" t="s">
        <v>1666</v>
      </c>
    </row>
    <row r="3066" spans="1:13" ht="39.6">
      <c r="A3066" s="21" t="s">
        <v>1468</v>
      </c>
      <c r="B3066" s="21" t="s">
        <v>1453</v>
      </c>
      <c r="C3066" s="21" t="s">
        <v>1469</v>
      </c>
      <c r="D3066" s="21" t="s">
        <v>71</v>
      </c>
      <c r="E3066" s="22" t="s">
        <v>1470</v>
      </c>
      <c r="F3066" s="22" t="s">
        <v>1453</v>
      </c>
      <c r="G3066" s="21" t="s">
        <v>1471</v>
      </c>
      <c r="H3066" s="21" t="s">
        <v>1472</v>
      </c>
      <c r="I3066" s="12" t="s">
        <v>1512</v>
      </c>
      <c r="J3066" s="12" t="s">
        <v>1568</v>
      </c>
      <c r="K3066" s="12"/>
      <c r="L3066" s="12" t="s">
        <v>1667</v>
      </c>
      <c r="M3066" s="12" t="s">
        <v>1668</v>
      </c>
    </row>
    <row r="3067" spans="1:13" ht="39.6">
      <c r="A3067" s="21" t="s">
        <v>1468</v>
      </c>
      <c r="B3067" s="21" t="s">
        <v>1453</v>
      </c>
      <c r="C3067" s="21" t="s">
        <v>1469</v>
      </c>
      <c r="D3067" s="21" t="s">
        <v>71</v>
      </c>
      <c r="E3067" s="22" t="s">
        <v>1470</v>
      </c>
      <c r="F3067" s="22" t="s">
        <v>1453</v>
      </c>
      <c r="G3067" s="21" t="s">
        <v>1471</v>
      </c>
      <c r="H3067" s="21" t="s">
        <v>1472</v>
      </c>
      <c r="I3067" s="12" t="s">
        <v>1513</v>
      </c>
      <c r="J3067" s="12" t="s">
        <v>1569</v>
      </c>
      <c r="K3067" s="12"/>
      <c r="L3067" s="12" t="s">
        <v>1669</v>
      </c>
      <c r="M3067" s="12" t="s">
        <v>1670</v>
      </c>
    </row>
    <row r="3068" spans="1:13" ht="39.6">
      <c r="A3068" s="21" t="s">
        <v>1468</v>
      </c>
      <c r="B3068" s="21" t="s">
        <v>1453</v>
      </c>
      <c r="C3068" s="21" t="s">
        <v>1469</v>
      </c>
      <c r="D3068" s="21" t="s">
        <v>71</v>
      </c>
      <c r="E3068" s="22" t="s">
        <v>1470</v>
      </c>
      <c r="F3068" s="22" t="s">
        <v>1453</v>
      </c>
      <c r="G3068" s="21" t="s">
        <v>1471</v>
      </c>
      <c r="H3068" s="21" t="s">
        <v>1472</v>
      </c>
      <c r="I3068" s="12" t="s">
        <v>1514</v>
      </c>
      <c r="J3068" s="12" t="s">
        <v>1570</v>
      </c>
      <c r="K3068" s="12"/>
      <c r="L3068" s="12" t="s">
        <v>1671</v>
      </c>
      <c r="M3068" s="12" t="s">
        <v>1672</v>
      </c>
    </row>
    <row r="3069" spans="1:13" ht="39.6">
      <c r="A3069" s="21" t="s">
        <v>1468</v>
      </c>
      <c r="B3069" s="21" t="s">
        <v>1453</v>
      </c>
      <c r="C3069" s="21" t="s">
        <v>1469</v>
      </c>
      <c r="D3069" s="21" t="s">
        <v>71</v>
      </c>
      <c r="E3069" s="22" t="s">
        <v>1470</v>
      </c>
      <c r="F3069" s="22" t="s">
        <v>1453</v>
      </c>
      <c r="G3069" s="21" t="s">
        <v>1471</v>
      </c>
      <c r="H3069" s="21" t="s">
        <v>1472</v>
      </c>
      <c r="I3069" s="12" t="s">
        <v>1515</v>
      </c>
      <c r="J3069" s="12" t="s">
        <v>1571</v>
      </c>
      <c r="K3069" s="12"/>
      <c r="L3069" s="12" t="s">
        <v>1673</v>
      </c>
      <c r="M3069" s="12" t="s">
        <v>1674</v>
      </c>
    </row>
    <row r="3070" spans="1:13" ht="52.8">
      <c r="A3070" s="21" t="s">
        <v>1468</v>
      </c>
      <c r="B3070" s="21" t="s">
        <v>1453</v>
      </c>
      <c r="C3070" s="21" t="s">
        <v>1469</v>
      </c>
      <c r="D3070" s="21" t="s">
        <v>71</v>
      </c>
      <c r="E3070" s="22" t="s">
        <v>1470</v>
      </c>
      <c r="F3070" s="22" t="s">
        <v>1453</v>
      </c>
      <c r="G3070" s="21" t="s">
        <v>1471</v>
      </c>
      <c r="H3070" s="21" t="s">
        <v>1472</v>
      </c>
      <c r="I3070" s="12" t="s">
        <v>1516</v>
      </c>
      <c r="J3070" s="12" t="s">
        <v>1572</v>
      </c>
      <c r="K3070" s="12" t="s">
        <v>1675</v>
      </c>
      <c r="L3070" s="12" t="s">
        <v>1676</v>
      </c>
      <c r="M3070" s="12" t="s">
        <v>1675</v>
      </c>
    </row>
    <row r="3071" spans="1:13" ht="66">
      <c r="A3071" s="21" t="s">
        <v>1468</v>
      </c>
      <c r="B3071" s="21" t="s">
        <v>1453</v>
      </c>
      <c r="C3071" s="21" t="s">
        <v>1469</v>
      </c>
      <c r="D3071" s="21" t="s">
        <v>71</v>
      </c>
      <c r="E3071" s="22" t="s">
        <v>1470</v>
      </c>
      <c r="F3071" s="22" t="s">
        <v>1453</v>
      </c>
      <c r="G3071" s="21" t="s">
        <v>1471</v>
      </c>
      <c r="H3071" s="21" t="s">
        <v>1472</v>
      </c>
      <c r="I3071" s="12" t="s">
        <v>1517</v>
      </c>
      <c r="J3071" s="12" t="s">
        <v>1573</v>
      </c>
      <c r="K3071" s="12"/>
      <c r="L3071" s="12" t="s">
        <v>1677</v>
      </c>
      <c r="M3071" s="12" t="s">
        <v>1678</v>
      </c>
    </row>
    <row r="3072" spans="1:13" ht="39.6">
      <c r="A3072" s="21" t="s">
        <v>1468</v>
      </c>
      <c r="B3072" s="21" t="s">
        <v>1453</v>
      </c>
      <c r="C3072" s="21" t="s">
        <v>1469</v>
      </c>
      <c r="D3072" s="21" t="s">
        <v>71</v>
      </c>
      <c r="E3072" s="22" t="s">
        <v>1470</v>
      </c>
      <c r="F3072" s="22" t="s">
        <v>1453</v>
      </c>
      <c r="G3072" s="21" t="s">
        <v>1471</v>
      </c>
      <c r="H3072" s="21" t="s">
        <v>1472</v>
      </c>
      <c r="I3072" s="12" t="s">
        <v>1518</v>
      </c>
      <c r="J3072" s="12" t="s">
        <v>1574</v>
      </c>
      <c r="K3072" s="12"/>
      <c r="L3072" s="12" t="s">
        <v>1679</v>
      </c>
      <c r="M3072" s="12" t="s">
        <v>1680</v>
      </c>
    </row>
    <row r="3073" spans="1:13" ht="39.6">
      <c r="A3073" s="21" t="s">
        <v>1468</v>
      </c>
      <c r="B3073" s="21" t="s">
        <v>1453</v>
      </c>
      <c r="C3073" s="21" t="s">
        <v>1469</v>
      </c>
      <c r="D3073" s="21" t="s">
        <v>71</v>
      </c>
      <c r="E3073" s="22" t="s">
        <v>1470</v>
      </c>
      <c r="F3073" s="22" t="s">
        <v>1453</v>
      </c>
      <c r="G3073" s="21" t="s">
        <v>1471</v>
      </c>
      <c r="H3073" s="21" t="s">
        <v>1472</v>
      </c>
      <c r="I3073" s="12" t="s">
        <v>1519</v>
      </c>
      <c r="J3073" s="12" t="s">
        <v>1575</v>
      </c>
      <c r="K3073" s="12"/>
      <c r="L3073" s="12" t="s">
        <v>1681</v>
      </c>
      <c r="M3073" s="12" t="s">
        <v>1682</v>
      </c>
    </row>
    <row r="3074" spans="1:13" ht="39.6">
      <c r="A3074" s="21" t="s">
        <v>1468</v>
      </c>
      <c r="B3074" s="21" t="s">
        <v>1453</v>
      </c>
      <c r="C3074" s="21" t="s">
        <v>1469</v>
      </c>
      <c r="D3074" s="21" t="s">
        <v>71</v>
      </c>
      <c r="E3074" s="22" t="s">
        <v>1470</v>
      </c>
      <c r="F3074" s="22" t="s">
        <v>1453</v>
      </c>
      <c r="G3074" s="21" t="s">
        <v>1471</v>
      </c>
      <c r="H3074" s="21" t="s">
        <v>1472</v>
      </c>
      <c r="I3074" s="12" t="s">
        <v>1520</v>
      </c>
      <c r="J3074" s="12" t="s">
        <v>1576</v>
      </c>
      <c r="K3074" s="12"/>
      <c r="L3074" s="12" t="s">
        <v>1683</v>
      </c>
      <c r="M3074" s="12" t="s">
        <v>1684</v>
      </c>
    </row>
    <row r="3075" spans="1:13" ht="39.6">
      <c r="A3075" s="21" t="s">
        <v>1468</v>
      </c>
      <c r="B3075" s="21" t="s">
        <v>1453</v>
      </c>
      <c r="C3075" s="21" t="s">
        <v>1469</v>
      </c>
      <c r="D3075" s="21" t="s">
        <v>71</v>
      </c>
      <c r="E3075" s="22" t="s">
        <v>1470</v>
      </c>
      <c r="F3075" s="22" t="s">
        <v>1453</v>
      </c>
      <c r="G3075" s="21" t="s">
        <v>1471</v>
      </c>
      <c r="H3075" s="21" t="s">
        <v>1472</v>
      </c>
      <c r="I3075" s="12" t="s">
        <v>1521</v>
      </c>
      <c r="J3075" s="12" t="s">
        <v>1577</v>
      </c>
      <c r="K3075" s="12"/>
      <c r="L3075" s="12" t="s">
        <v>1685</v>
      </c>
      <c r="M3075" s="12" t="s">
        <v>1686</v>
      </c>
    </row>
    <row r="3076" spans="1:13" ht="39.6">
      <c r="A3076" s="21" t="s">
        <v>1468</v>
      </c>
      <c r="B3076" s="21" t="s">
        <v>1453</v>
      </c>
      <c r="C3076" s="21" t="s">
        <v>1469</v>
      </c>
      <c r="D3076" s="21" t="s">
        <v>71</v>
      </c>
      <c r="E3076" s="22" t="s">
        <v>1470</v>
      </c>
      <c r="F3076" s="22" t="s">
        <v>1453</v>
      </c>
      <c r="G3076" s="21" t="s">
        <v>1471</v>
      </c>
      <c r="H3076" s="21" t="s">
        <v>1472</v>
      </c>
      <c r="I3076" s="12" t="s">
        <v>1522</v>
      </c>
      <c r="J3076" s="12" t="s">
        <v>1578</v>
      </c>
      <c r="K3076" s="12"/>
      <c r="L3076" s="12" t="s">
        <v>1687</v>
      </c>
      <c r="M3076" s="12" t="s">
        <v>1688</v>
      </c>
    </row>
    <row r="3077" spans="1:13" ht="39.6">
      <c r="A3077" s="21" t="s">
        <v>1468</v>
      </c>
      <c r="B3077" s="21" t="s">
        <v>1453</v>
      </c>
      <c r="C3077" s="21" t="s">
        <v>1469</v>
      </c>
      <c r="D3077" s="21" t="s">
        <v>71</v>
      </c>
      <c r="E3077" s="22" t="s">
        <v>1470</v>
      </c>
      <c r="F3077" s="22" t="s">
        <v>1453</v>
      </c>
      <c r="G3077" s="21" t="s">
        <v>1471</v>
      </c>
      <c r="H3077" s="21" t="s">
        <v>1472</v>
      </c>
      <c r="I3077" s="12" t="s">
        <v>1523</v>
      </c>
      <c r="J3077" s="12" t="s">
        <v>1579</v>
      </c>
      <c r="K3077" s="12"/>
      <c r="L3077" s="12" t="s">
        <v>1689</v>
      </c>
      <c r="M3077" s="12" t="s">
        <v>1690</v>
      </c>
    </row>
    <row r="3078" spans="1:13" ht="39.6">
      <c r="A3078" s="21" t="s">
        <v>1468</v>
      </c>
      <c r="B3078" s="21" t="s">
        <v>1453</v>
      </c>
      <c r="C3078" s="21" t="s">
        <v>1469</v>
      </c>
      <c r="D3078" s="21" t="s">
        <v>71</v>
      </c>
      <c r="E3078" s="22" t="s">
        <v>1470</v>
      </c>
      <c r="F3078" s="22" t="s">
        <v>1453</v>
      </c>
      <c r="G3078" s="21" t="s">
        <v>1471</v>
      </c>
      <c r="H3078" s="21" t="s">
        <v>1472</v>
      </c>
      <c r="I3078" s="12" t="s">
        <v>1524</v>
      </c>
      <c r="J3078" s="12" t="s">
        <v>1580</v>
      </c>
      <c r="K3078" s="12"/>
      <c r="L3078" s="12" t="s">
        <v>1691</v>
      </c>
      <c r="M3078" s="12" t="s">
        <v>1692</v>
      </c>
    </row>
    <row r="3079" spans="1:13" ht="39.6">
      <c r="A3079" s="21" t="s">
        <v>1468</v>
      </c>
      <c r="B3079" s="21" t="s">
        <v>1453</v>
      </c>
      <c r="C3079" s="21" t="s">
        <v>1469</v>
      </c>
      <c r="D3079" s="21" t="s">
        <v>71</v>
      </c>
      <c r="E3079" s="22" t="s">
        <v>1470</v>
      </c>
      <c r="F3079" s="22" t="s">
        <v>1453</v>
      </c>
      <c r="G3079" s="21" t="s">
        <v>1471</v>
      </c>
      <c r="H3079" s="21" t="s">
        <v>1472</v>
      </c>
      <c r="I3079" s="12" t="s">
        <v>1525</v>
      </c>
      <c r="J3079" s="12" t="s">
        <v>1581</v>
      </c>
      <c r="K3079" s="12" t="s">
        <v>1693</v>
      </c>
      <c r="L3079" s="12" t="s">
        <v>1694</v>
      </c>
      <c r="M3079" s="12" t="s">
        <v>1693</v>
      </c>
    </row>
    <row r="3080" spans="1:13" ht="39.6">
      <c r="A3080" s="21" t="s">
        <v>1468</v>
      </c>
      <c r="B3080" s="21" t="s">
        <v>1453</v>
      </c>
      <c r="C3080" s="21" t="s">
        <v>1469</v>
      </c>
      <c r="D3080" s="21" t="s">
        <v>71</v>
      </c>
      <c r="E3080" s="22" t="s">
        <v>1470</v>
      </c>
      <c r="F3080" s="22" t="s">
        <v>1453</v>
      </c>
      <c r="G3080" s="21" t="s">
        <v>1471</v>
      </c>
      <c r="H3080" s="21" t="s">
        <v>1472</v>
      </c>
      <c r="I3080" s="12" t="s">
        <v>1526</v>
      </c>
      <c r="J3080" s="12" t="s">
        <v>1582</v>
      </c>
      <c r="K3080" s="12"/>
      <c r="L3080" s="12" t="s">
        <v>1695</v>
      </c>
      <c r="M3080" s="12" t="s">
        <v>1696</v>
      </c>
    </row>
    <row r="3081" spans="1:13" ht="66">
      <c r="A3081" s="21" t="s">
        <v>1468</v>
      </c>
      <c r="B3081" s="21" t="s">
        <v>1453</v>
      </c>
      <c r="C3081" s="21" t="s">
        <v>1469</v>
      </c>
      <c r="D3081" s="21" t="s">
        <v>71</v>
      </c>
      <c r="E3081" s="22" t="s">
        <v>1470</v>
      </c>
      <c r="F3081" s="22" t="s">
        <v>1453</v>
      </c>
      <c r="G3081" s="21" t="s">
        <v>1471</v>
      </c>
      <c r="H3081" s="21" t="s">
        <v>1472</v>
      </c>
      <c r="I3081" s="12" t="s">
        <v>1527</v>
      </c>
      <c r="J3081" s="12" t="s">
        <v>1583</v>
      </c>
      <c r="K3081" s="12"/>
      <c r="L3081" s="12" t="s">
        <v>1697</v>
      </c>
      <c r="M3081" s="12" t="s">
        <v>1698</v>
      </c>
    </row>
    <row r="3082" spans="1:13" ht="39.6">
      <c r="A3082" s="21" t="s">
        <v>1468</v>
      </c>
      <c r="B3082" s="21" t="s">
        <v>1453</v>
      </c>
      <c r="C3082" s="21" t="s">
        <v>1469</v>
      </c>
      <c r="D3082" s="21" t="s">
        <v>71</v>
      </c>
      <c r="E3082" s="22" t="s">
        <v>1470</v>
      </c>
      <c r="F3082" s="22" t="s">
        <v>1453</v>
      </c>
      <c r="G3082" s="21" t="s">
        <v>1471</v>
      </c>
      <c r="H3082" s="21" t="s">
        <v>1472</v>
      </c>
      <c r="I3082" s="12" t="s">
        <v>1528</v>
      </c>
      <c r="J3082" s="12" t="s">
        <v>1584</v>
      </c>
      <c r="K3082" s="12"/>
      <c r="L3082" s="12" t="s">
        <v>1699</v>
      </c>
      <c r="M3082" s="12" t="s">
        <v>1700</v>
      </c>
    </row>
    <row r="3083" spans="1:13" ht="39.6">
      <c r="A3083" s="21" t="s">
        <v>1468</v>
      </c>
      <c r="B3083" s="21" t="s">
        <v>1453</v>
      </c>
      <c r="C3083" s="21" t="s">
        <v>1469</v>
      </c>
      <c r="D3083" s="21" t="s">
        <v>71</v>
      </c>
      <c r="E3083" s="22" t="s">
        <v>1470</v>
      </c>
      <c r="F3083" s="22" t="s">
        <v>1453</v>
      </c>
      <c r="G3083" s="21" t="s">
        <v>1471</v>
      </c>
      <c r="H3083" s="21" t="s">
        <v>1472</v>
      </c>
      <c r="I3083" s="12" t="s">
        <v>1529</v>
      </c>
      <c r="J3083" s="12" t="s">
        <v>1585</v>
      </c>
      <c r="K3083" s="12"/>
      <c r="L3083" s="12" t="s">
        <v>1701</v>
      </c>
      <c r="M3083" s="12" t="s">
        <v>1702</v>
      </c>
    </row>
    <row r="3084" spans="1:13" ht="52.8">
      <c r="A3084" s="21" t="s">
        <v>1705</v>
      </c>
      <c r="B3084" s="21" t="s">
        <v>1706</v>
      </c>
      <c r="C3084" s="21" t="s">
        <v>1704</v>
      </c>
      <c r="D3084" s="21" t="s">
        <v>71</v>
      </c>
      <c r="E3084" s="22" t="s">
        <v>1703</v>
      </c>
      <c r="F3084" s="22" t="s">
        <v>1706</v>
      </c>
      <c r="G3084" s="21" t="s">
        <v>1707</v>
      </c>
      <c r="H3084" s="21" t="s">
        <v>1708</v>
      </c>
      <c r="I3084" s="12" t="s">
        <v>1765</v>
      </c>
      <c r="J3084" s="12" t="s">
        <v>1709</v>
      </c>
      <c r="K3084" s="12"/>
      <c r="L3084" s="12" t="s">
        <v>1821</v>
      </c>
      <c r="M3084" s="12" t="s">
        <v>1822</v>
      </c>
    </row>
    <row r="3085" spans="1:13" ht="52.8">
      <c r="A3085" s="21" t="s">
        <v>1705</v>
      </c>
      <c r="B3085" s="21" t="s">
        <v>1706</v>
      </c>
      <c r="C3085" s="21" t="s">
        <v>1704</v>
      </c>
      <c r="D3085" s="21" t="s">
        <v>71</v>
      </c>
      <c r="E3085" s="22" t="s">
        <v>1703</v>
      </c>
      <c r="F3085" s="22" t="s">
        <v>1706</v>
      </c>
      <c r="G3085" s="21" t="s">
        <v>1707</v>
      </c>
      <c r="H3085" s="21" t="s">
        <v>1708</v>
      </c>
      <c r="I3085" s="12" t="s">
        <v>1766</v>
      </c>
      <c r="J3085" s="12" t="s">
        <v>1710</v>
      </c>
      <c r="K3085" s="12"/>
      <c r="L3085" s="12" t="s">
        <v>1823</v>
      </c>
      <c r="M3085" s="12" t="s">
        <v>1824</v>
      </c>
    </row>
    <row r="3086" spans="1:13" ht="52.8">
      <c r="A3086" s="21" t="s">
        <v>1705</v>
      </c>
      <c r="B3086" s="21" t="s">
        <v>1706</v>
      </c>
      <c r="C3086" s="21" t="s">
        <v>1704</v>
      </c>
      <c r="D3086" s="21" t="s">
        <v>71</v>
      </c>
      <c r="E3086" s="22" t="s">
        <v>1703</v>
      </c>
      <c r="F3086" s="22" t="s">
        <v>1706</v>
      </c>
      <c r="G3086" s="21" t="s">
        <v>1707</v>
      </c>
      <c r="H3086" s="21" t="s">
        <v>1708</v>
      </c>
      <c r="I3086" s="12" t="s">
        <v>1767</v>
      </c>
      <c r="J3086" s="12" t="s">
        <v>1711</v>
      </c>
      <c r="K3086" s="12"/>
      <c r="L3086" s="12" t="s">
        <v>1825</v>
      </c>
      <c r="M3086" s="12" t="s">
        <v>1826</v>
      </c>
    </row>
    <row r="3087" spans="1:13" ht="52.8">
      <c r="A3087" s="21" t="s">
        <v>1705</v>
      </c>
      <c r="B3087" s="21" t="s">
        <v>1706</v>
      </c>
      <c r="C3087" s="21" t="s">
        <v>1704</v>
      </c>
      <c r="D3087" s="21" t="s">
        <v>71</v>
      </c>
      <c r="E3087" s="22" t="s">
        <v>1703</v>
      </c>
      <c r="F3087" s="22" t="s">
        <v>1706</v>
      </c>
      <c r="G3087" s="21" t="s">
        <v>1707</v>
      </c>
      <c r="H3087" s="21" t="s">
        <v>1708</v>
      </c>
      <c r="I3087" s="12" t="s">
        <v>1768</v>
      </c>
      <c r="J3087" s="12" t="s">
        <v>1712</v>
      </c>
      <c r="K3087" s="12"/>
      <c r="L3087" s="12" t="s">
        <v>1827</v>
      </c>
      <c r="M3087" s="12" t="s">
        <v>1828</v>
      </c>
    </row>
    <row r="3088" spans="1:13" ht="52.8">
      <c r="A3088" s="21" t="s">
        <v>1705</v>
      </c>
      <c r="B3088" s="21" t="s">
        <v>1706</v>
      </c>
      <c r="C3088" s="21" t="s">
        <v>1704</v>
      </c>
      <c r="D3088" s="21" t="s">
        <v>71</v>
      </c>
      <c r="E3088" s="22" t="s">
        <v>1703</v>
      </c>
      <c r="F3088" s="22" t="s">
        <v>1706</v>
      </c>
      <c r="G3088" s="21" t="s">
        <v>1707</v>
      </c>
      <c r="H3088" s="21" t="s">
        <v>1708</v>
      </c>
      <c r="I3088" s="12" t="s">
        <v>1769</v>
      </c>
      <c r="J3088" s="12" t="s">
        <v>1713</v>
      </c>
      <c r="K3088" s="12"/>
      <c r="L3088" s="12" t="s">
        <v>1829</v>
      </c>
      <c r="M3088" s="12" t="s">
        <v>1830</v>
      </c>
    </row>
    <row r="3089" spans="1:13" ht="52.8">
      <c r="A3089" s="21" t="s">
        <v>1705</v>
      </c>
      <c r="B3089" s="21" t="s">
        <v>1706</v>
      </c>
      <c r="C3089" s="21" t="s">
        <v>1704</v>
      </c>
      <c r="D3089" s="21" t="s">
        <v>71</v>
      </c>
      <c r="E3089" s="22" t="s">
        <v>1703</v>
      </c>
      <c r="F3089" s="22" t="s">
        <v>1706</v>
      </c>
      <c r="G3089" s="21" t="s">
        <v>1707</v>
      </c>
      <c r="H3089" s="21" t="s">
        <v>1708</v>
      </c>
      <c r="I3089" s="12" t="s">
        <v>1770</v>
      </c>
      <c r="J3089" s="12" t="s">
        <v>1714</v>
      </c>
      <c r="K3089" s="12"/>
      <c r="L3089" s="12" t="s">
        <v>1831</v>
      </c>
      <c r="M3089" s="12" t="s">
        <v>1832</v>
      </c>
    </row>
    <row r="3090" spans="1:13" ht="52.8">
      <c r="A3090" s="21" t="s">
        <v>1705</v>
      </c>
      <c r="B3090" s="21" t="s">
        <v>1706</v>
      </c>
      <c r="C3090" s="21" t="s">
        <v>1704</v>
      </c>
      <c r="D3090" s="21" t="s">
        <v>71</v>
      </c>
      <c r="E3090" s="22" t="s">
        <v>1703</v>
      </c>
      <c r="F3090" s="22" t="s">
        <v>1706</v>
      </c>
      <c r="G3090" s="21" t="s">
        <v>1707</v>
      </c>
      <c r="H3090" s="21" t="s">
        <v>1708</v>
      </c>
      <c r="I3090" s="12" t="s">
        <v>1771</v>
      </c>
      <c r="J3090" s="12" t="s">
        <v>1715</v>
      </c>
      <c r="K3090" s="12"/>
      <c r="L3090" s="12" t="s">
        <v>1833</v>
      </c>
      <c r="M3090" s="12" t="s">
        <v>1834</v>
      </c>
    </row>
    <row r="3091" spans="1:13" ht="52.8">
      <c r="A3091" s="21" t="s">
        <v>1705</v>
      </c>
      <c r="B3091" s="21" t="s">
        <v>1706</v>
      </c>
      <c r="C3091" s="21" t="s">
        <v>1704</v>
      </c>
      <c r="D3091" s="21" t="s">
        <v>71</v>
      </c>
      <c r="E3091" s="22" t="s">
        <v>1703</v>
      </c>
      <c r="F3091" s="22" t="s">
        <v>1706</v>
      </c>
      <c r="G3091" s="21" t="s">
        <v>1707</v>
      </c>
      <c r="H3091" s="21" t="s">
        <v>1708</v>
      </c>
      <c r="I3091" s="12" t="s">
        <v>1772</v>
      </c>
      <c r="J3091" s="12" t="s">
        <v>1716</v>
      </c>
      <c r="K3091" s="12"/>
      <c r="L3091" s="12" t="s">
        <v>1835</v>
      </c>
      <c r="M3091" s="12" t="s">
        <v>1836</v>
      </c>
    </row>
    <row r="3092" spans="1:13" ht="52.8">
      <c r="A3092" s="21" t="s">
        <v>1705</v>
      </c>
      <c r="B3092" s="21" t="s">
        <v>1706</v>
      </c>
      <c r="C3092" s="21" t="s">
        <v>1704</v>
      </c>
      <c r="D3092" s="21" t="s">
        <v>71</v>
      </c>
      <c r="E3092" s="22" t="s">
        <v>1703</v>
      </c>
      <c r="F3092" s="22" t="s">
        <v>1706</v>
      </c>
      <c r="G3092" s="21" t="s">
        <v>1707</v>
      </c>
      <c r="H3092" s="21" t="s">
        <v>1708</v>
      </c>
      <c r="I3092" s="12" t="s">
        <v>1773</v>
      </c>
      <c r="J3092" s="12" t="s">
        <v>1717</v>
      </c>
      <c r="K3092" s="12"/>
      <c r="L3092" s="12" t="s">
        <v>1837</v>
      </c>
      <c r="M3092" s="12" t="s">
        <v>1838</v>
      </c>
    </row>
    <row r="3093" spans="1:13" ht="52.8">
      <c r="A3093" s="21" t="s">
        <v>1705</v>
      </c>
      <c r="B3093" s="21" t="s">
        <v>1706</v>
      </c>
      <c r="C3093" s="21" t="s">
        <v>1704</v>
      </c>
      <c r="D3093" s="21" t="s">
        <v>71</v>
      </c>
      <c r="E3093" s="22" t="s">
        <v>1703</v>
      </c>
      <c r="F3093" s="22" t="s">
        <v>1706</v>
      </c>
      <c r="G3093" s="21" t="s">
        <v>1707</v>
      </c>
      <c r="H3093" s="21" t="s">
        <v>1708</v>
      </c>
      <c r="I3093" s="12" t="s">
        <v>1774</v>
      </c>
      <c r="J3093" s="12" t="s">
        <v>1718</v>
      </c>
      <c r="K3093" s="12"/>
      <c r="L3093" s="12" t="s">
        <v>1839</v>
      </c>
      <c r="M3093" s="12" t="s">
        <v>1840</v>
      </c>
    </row>
    <row r="3094" spans="1:13" ht="52.8">
      <c r="A3094" s="21" t="s">
        <v>1705</v>
      </c>
      <c r="B3094" s="21" t="s">
        <v>1706</v>
      </c>
      <c r="C3094" s="21" t="s">
        <v>1704</v>
      </c>
      <c r="D3094" s="21" t="s">
        <v>71</v>
      </c>
      <c r="E3094" s="22" t="s">
        <v>1703</v>
      </c>
      <c r="F3094" s="22" t="s">
        <v>1706</v>
      </c>
      <c r="G3094" s="21" t="s">
        <v>1707</v>
      </c>
      <c r="H3094" s="21" t="s">
        <v>1708</v>
      </c>
      <c r="I3094" s="12" t="s">
        <v>1775</v>
      </c>
      <c r="J3094" s="12" t="s">
        <v>1719</v>
      </c>
      <c r="K3094" s="12"/>
      <c r="L3094" s="12" t="s">
        <v>1841</v>
      </c>
      <c r="M3094" s="12" t="s">
        <v>1842</v>
      </c>
    </row>
    <row r="3095" spans="1:13" ht="52.8">
      <c r="A3095" s="21" t="s">
        <v>1705</v>
      </c>
      <c r="B3095" s="21" t="s">
        <v>1706</v>
      </c>
      <c r="C3095" s="21" t="s">
        <v>1704</v>
      </c>
      <c r="D3095" s="21" t="s">
        <v>71</v>
      </c>
      <c r="E3095" s="22" t="s">
        <v>1703</v>
      </c>
      <c r="F3095" s="22" t="s">
        <v>1706</v>
      </c>
      <c r="G3095" s="21" t="s">
        <v>1707</v>
      </c>
      <c r="H3095" s="21" t="s">
        <v>1708</v>
      </c>
      <c r="I3095" s="12" t="s">
        <v>1776</v>
      </c>
      <c r="J3095" s="12" t="s">
        <v>1720</v>
      </c>
      <c r="K3095" s="12"/>
      <c r="L3095" s="12" t="s">
        <v>1843</v>
      </c>
      <c r="M3095" s="12" t="s">
        <v>1844</v>
      </c>
    </row>
    <row r="3096" spans="1:13" ht="52.8">
      <c r="A3096" s="21" t="s">
        <v>1705</v>
      </c>
      <c r="B3096" s="21" t="s">
        <v>1706</v>
      </c>
      <c r="C3096" s="21" t="s">
        <v>1704</v>
      </c>
      <c r="D3096" s="21" t="s">
        <v>71</v>
      </c>
      <c r="E3096" s="22" t="s">
        <v>1703</v>
      </c>
      <c r="F3096" s="22" t="s">
        <v>1706</v>
      </c>
      <c r="G3096" s="21" t="s">
        <v>1707</v>
      </c>
      <c r="H3096" s="21" t="s">
        <v>1708</v>
      </c>
      <c r="I3096" s="12" t="s">
        <v>1777</v>
      </c>
      <c r="J3096" s="12" t="s">
        <v>1721</v>
      </c>
      <c r="K3096" s="12"/>
      <c r="L3096" s="12" t="s">
        <v>1845</v>
      </c>
      <c r="M3096" s="12" t="s">
        <v>1846</v>
      </c>
    </row>
    <row r="3097" spans="1:13" ht="52.8">
      <c r="A3097" s="21" t="s">
        <v>1705</v>
      </c>
      <c r="B3097" s="21" t="s">
        <v>1706</v>
      </c>
      <c r="C3097" s="21" t="s">
        <v>1704</v>
      </c>
      <c r="D3097" s="21" t="s">
        <v>71</v>
      </c>
      <c r="E3097" s="22" t="s">
        <v>1703</v>
      </c>
      <c r="F3097" s="22" t="s">
        <v>1706</v>
      </c>
      <c r="G3097" s="21" t="s">
        <v>1707</v>
      </c>
      <c r="H3097" s="21" t="s">
        <v>1708</v>
      </c>
      <c r="I3097" s="12" t="s">
        <v>1778</v>
      </c>
      <c r="J3097" s="12" t="s">
        <v>1722</v>
      </c>
      <c r="K3097" s="12"/>
      <c r="L3097" s="12" t="s">
        <v>1847</v>
      </c>
      <c r="M3097" s="12" t="s">
        <v>1848</v>
      </c>
    </row>
    <row r="3098" spans="1:13" ht="52.8">
      <c r="A3098" s="21" t="s">
        <v>1705</v>
      </c>
      <c r="B3098" s="21" t="s">
        <v>1706</v>
      </c>
      <c r="C3098" s="21" t="s">
        <v>1704</v>
      </c>
      <c r="D3098" s="21" t="s">
        <v>71</v>
      </c>
      <c r="E3098" s="22" t="s">
        <v>1703</v>
      </c>
      <c r="F3098" s="22" t="s">
        <v>1706</v>
      </c>
      <c r="G3098" s="21" t="s">
        <v>1707</v>
      </c>
      <c r="H3098" s="21" t="s">
        <v>1708</v>
      </c>
      <c r="I3098" s="12" t="s">
        <v>1779</v>
      </c>
      <c r="J3098" s="12" t="s">
        <v>1723</v>
      </c>
      <c r="K3098" s="12"/>
      <c r="L3098" s="12" t="s">
        <v>1849</v>
      </c>
      <c r="M3098" s="12" t="s">
        <v>1850</v>
      </c>
    </row>
    <row r="3099" spans="1:13" ht="52.8">
      <c r="A3099" s="21" t="s">
        <v>1705</v>
      </c>
      <c r="B3099" s="21" t="s">
        <v>1706</v>
      </c>
      <c r="C3099" s="21" t="s">
        <v>1704</v>
      </c>
      <c r="D3099" s="21" t="s">
        <v>71</v>
      </c>
      <c r="E3099" s="22" t="s">
        <v>1703</v>
      </c>
      <c r="F3099" s="22" t="s">
        <v>1706</v>
      </c>
      <c r="G3099" s="21" t="s">
        <v>1707</v>
      </c>
      <c r="H3099" s="21" t="s">
        <v>1708</v>
      </c>
      <c r="I3099" s="12" t="s">
        <v>1780</v>
      </c>
      <c r="J3099" s="12" t="s">
        <v>1724</v>
      </c>
      <c r="K3099" s="12"/>
      <c r="L3099" s="12" t="s">
        <v>1851</v>
      </c>
      <c r="M3099" s="12" t="s">
        <v>1852</v>
      </c>
    </row>
    <row r="3100" spans="1:13" ht="52.8">
      <c r="A3100" s="21" t="s">
        <v>1705</v>
      </c>
      <c r="B3100" s="21" t="s">
        <v>1706</v>
      </c>
      <c r="C3100" s="21" t="s">
        <v>1704</v>
      </c>
      <c r="D3100" s="21" t="s">
        <v>71</v>
      </c>
      <c r="E3100" s="22" t="s">
        <v>1703</v>
      </c>
      <c r="F3100" s="22" t="s">
        <v>1706</v>
      </c>
      <c r="G3100" s="21" t="s">
        <v>1707</v>
      </c>
      <c r="H3100" s="21" t="s">
        <v>1708</v>
      </c>
      <c r="I3100" s="12" t="s">
        <v>1781</v>
      </c>
      <c r="J3100" s="12" t="s">
        <v>1725</v>
      </c>
      <c r="K3100" s="12"/>
      <c r="L3100" s="12" t="s">
        <v>1853</v>
      </c>
      <c r="M3100" s="12" t="s">
        <v>1854</v>
      </c>
    </row>
    <row r="3101" spans="1:13" ht="52.8">
      <c r="A3101" s="21" t="s">
        <v>1705</v>
      </c>
      <c r="B3101" s="21" t="s">
        <v>1706</v>
      </c>
      <c r="C3101" s="21" t="s">
        <v>1704</v>
      </c>
      <c r="D3101" s="21" t="s">
        <v>71</v>
      </c>
      <c r="E3101" s="22" t="s">
        <v>1703</v>
      </c>
      <c r="F3101" s="22" t="s">
        <v>1706</v>
      </c>
      <c r="G3101" s="21" t="s">
        <v>1707</v>
      </c>
      <c r="H3101" s="21" t="s">
        <v>1708</v>
      </c>
      <c r="I3101" s="12" t="s">
        <v>1782</v>
      </c>
      <c r="J3101" s="12" t="s">
        <v>1726</v>
      </c>
      <c r="K3101" s="12"/>
      <c r="L3101" s="12" t="s">
        <v>1855</v>
      </c>
      <c r="M3101" s="12" t="s">
        <v>1856</v>
      </c>
    </row>
    <row r="3102" spans="1:13" ht="52.8">
      <c r="A3102" s="21" t="s">
        <v>1705</v>
      </c>
      <c r="B3102" s="21" t="s">
        <v>1706</v>
      </c>
      <c r="C3102" s="21" t="s">
        <v>1704</v>
      </c>
      <c r="D3102" s="21" t="s">
        <v>71</v>
      </c>
      <c r="E3102" s="22" t="s">
        <v>1703</v>
      </c>
      <c r="F3102" s="22" t="s">
        <v>1706</v>
      </c>
      <c r="G3102" s="21" t="s">
        <v>1707</v>
      </c>
      <c r="H3102" s="21" t="s">
        <v>1708</v>
      </c>
      <c r="I3102" s="12" t="s">
        <v>1783</v>
      </c>
      <c r="J3102" s="12" t="s">
        <v>1727</v>
      </c>
      <c r="K3102" s="12"/>
      <c r="L3102" s="12" t="s">
        <v>1857</v>
      </c>
      <c r="M3102" s="12" t="s">
        <v>1858</v>
      </c>
    </row>
    <row r="3103" spans="1:13" ht="52.8">
      <c r="A3103" s="21" t="s">
        <v>1705</v>
      </c>
      <c r="B3103" s="21" t="s">
        <v>1706</v>
      </c>
      <c r="C3103" s="21" t="s">
        <v>1704</v>
      </c>
      <c r="D3103" s="21" t="s">
        <v>71</v>
      </c>
      <c r="E3103" s="22" t="s">
        <v>1703</v>
      </c>
      <c r="F3103" s="22" t="s">
        <v>1706</v>
      </c>
      <c r="G3103" s="21" t="s">
        <v>1707</v>
      </c>
      <c r="H3103" s="21" t="s">
        <v>1708</v>
      </c>
      <c r="I3103" s="12" t="s">
        <v>1784</v>
      </c>
      <c r="J3103" s="12" t="s">
        <v>1728</v>
      </c>
      <c r="K3103" s="12"/>
      <c r="L3103" s="12" t="s">
        <v>1859</v>
      </c>
      <c r="M3103" s="12" t="s">
        <v>1860</v>
      </c>
    </row>
    <row r="3104" spans="1:13" ht="52.8">
      <c r="A3104" s="21" t="s">
        <v>1705</v>
      </c>
      <c r="B3104" s="21" t="s">
        <v>1706</v>
      </c>
      <c r="C3104" s="21" t="s">
        <v>1704</v>
      </c>
      <c r="D3104" s="21" t="s">
        <v>71</v>
      </c>
      <c r="E3104" s="22" t="s">
        <v>1703</v>
      </c>
      <c r="F3104" s="22" t="s">
        <v>1706</v>
      </c>
      <c r="G3104" s="21" t="s">
        <v>1707</v>
      </c>
      <c r="H3104" s="21" t="s">
        <v>1708</v>
      </c>
      <c r="I3104" s="12" t="s">
        <v>1785</v>
      </c>
      <c r="J3104" s="12" t="s">
        <v>1729</v>
      </c>
      <c r="K3104" s="12"/>
      <c r="L3104" s="12" t="s">
        <v>1861</v>
      </c>
      <c r="M3104" s="12" t="s">
        <v>1862</v>
      </c>
    </row>
    <row r="3105" spans="1:13" ht="52.8">
      <c r="A3105" s="21" t="s">
        <v>1705</v>
      </c>
      <c r="B3105" s="21" t="s">
        <v>1706</v>
      </c>
      <c r="C3105" s="21" t="s">
        <v>1704</v>
      </c>
      <c r="D3105" s="21" t="s">
        <v>71</v>
      </c>
      <c r="E3105" s="22" t="s">
        <v>1703</v>
      </c>
      <c r="F3105" s="22" t="s">
        <v>1706</v>
      </c>
      <c r="G3105" s="21" t="s">
        <v>1707</v>
      </c>
      <c r="H3105" s="21" t="s">
        <v>1708</v>
      </c>
      <c r="I3105" s="12" t="s">
        <v>1786</v>
      </c>
      <c r="J3105" s="12" t="s">
        <v>1730</v>
      </c>
      <c r="K3105" s="12"/>
      <c r="L3105" s="12" t="s">
        <v>1863</v>
      </c>
      <c r="M3105" s="12" t="s">
        <v>1864</v>
      </c>
    </row>
    <row r="3106" spans="1:13" ht="52.8">
      <c r="A3106" s="21" t="s">
        <v>1705</v>
      </c>
      <c r="B3106" s="21" t="s">
        <v>1706</v>
      </c>
      <c r="C3106" s="21" t="s">
        <v>1704</v>
      </c>
      <c r="D3106" s="21" t="s">
        <v>71</v>
      </c>
      <c r="E3106" s="22" t="s">
        <v>1703</v>
      </c>
      <c r="F3106" s="22" t="s">
        <v>1706</v>
      </c>
      <c r="G3106" s="21" t="s">
        <v>1707</v>
      </c>
      <c r="H3106" s="21" t="s">
        <v>1708</v>
      </c>
      <c r="I3106" s="12" t="s">
        <v>1787</v>
      </c>
      <c r="J3106" s="12" t="s">
        <v>1731</v>
      </c>
      <c r="K3106" s="12"/>
      <c r="L3106" s="12" t="s">
        <v>1865</v>
      </c>
      <c r="M3106" s="12" t="s">
        <v>1866</v>
      </c>
    </row>
    <row r="3107" spans="1:13" ht="52.8">
      <c r="A3107" s="21" t="s">
        <v>1705</v>
      </c>
      <c r="B3107" s="21" t="s">
        <v>1706</v>
      </c>
      <c r="C3107" s="21" t="s">
        <v>1704</v>
      </c>
      <c r="D3107" s="21" t="s">
        <v>71</v>
      </c>
      <c r="E3107" s="22" t="s">
        <v>1703</v>
      </c>
      <c r="F3107" s="22" t="s">
        <v>1706</v>
      </c>
      <c r="G3107" s="21" t="s">
        <v>1707</v>
      </c>
      <c r="H3107" s="21" t="s">
        <v>1708</v>
      </c>
      <c r="I3107" s="12" t="s">
        <v>1788</v>
      </c>
      <c r="J3107" s="12" t="s">
        <v>1732</v>
      </c>
      <c r="K3107" s="12"/>
      <c r="L3107" s="12" t="s">
        <v>1867</v>
      </c>
      <c r="M3107" s="12" t="s">
        <v>1868</v>
      </c>
    </row>
    <row r="3108" spans="1:13" ht="52.8">
      <c r="A3108" s="21" t="s">
        <v>1705</v>
      </c>
      <c r="B3108" s="21" t="s">
        <v>1706</v>
      </c>
      <c r="C3108" s="21" t="s">
        <v>1704</v>
      </c>
      <c r="D3108" s="21" t="s">
        <v>71</v>
      </c>
      <c r="E3108" s="22" t="s">
        <v>1703</v>
      </c>
      <c r="F3108" s="22" t="s">
        <v>1706</v>
      </c>
      <c r="G3108" s="21" t="s">
        <v>1707</v>
      </c>
      <c r="H3108" s="21" t="s">
        <v>1708</v>
      </c>
      <c r="I3108" s="12" t="s">
        <v>1789</v>
      </c>
      <c r="J3108" s="12" t="s">
        <v>1733</v>
      </c>
      <c r="K3108" s="12"/>
      <c r="L3108" s="12" t="s">
        <v>1869</v>
      </c>
      <c r="M3108" s="12" t="s">
        <v>1870</v>
      </c>
    </row>
    <row r="3109" spans="1:13" ht="52.8">
      <c r="A3109" s="21" t="s">
        <v>1705</v>
      </c>
      <c r="B3109" s="21" t="s">
        <v>1706</v>
      </c>
      <c r="C3109" s="21" t="s">
        <v>1704</v>
      </c>
      <c r="D3109" s="21" t="s">
        <v>71</v>
      </c>
      <c r="E3109" s="22" t="s">
        <v>1703</v>
      </c>
      <c r="F3109" s="22" t="s">
        <v>1706</v>
      </c>
      <c r="G3109" s="21" t="s">
        <v>1707</v>
      </c>
      <c r="H3109" s="21" t="s">
        <v>1708</v>
      </c>
      <c r="I3109" s="12" t="s">
        <v>1790</v>
      </c>
      <c r="J3109" s="12" t="s">
        <v>1734</v>
      </c>
      <c r="K3109" s="12"/>
      <c r="L3109" s="12" t="s">
        <v>1871</v>
      </c>
      <c r="M3109" s="12" t="s">
        <v>1872</v>
      </c>
    </row>
    <row r="3110" spans="1:13" ht="52.8">
      <c r="A3110" s="21" t="s">
        <v>1705</v>
      </c>
      <c r="B3110" s="21" t="s">
        <v>1706</v>
      </c>
      <c r="C3110" s="21" t="s">
        <v>1704</v>
      </c>
      <c r="D3110" s="21" t="s">
        <v>71</v>
      </c>
      <c r="E3110" s="22" t="s">
        <v>1703</v>
      </c>
      <c r="F3110" s="22" t="s">
        <v>1706</v>
      </c>
      <c r="G3110" s="21" t="s">
        <v>1707</v>
      </c>
      <c r="H3110" s="21" t="s">
        <v>1708</v>
      </c>
      <c r="I3110" s="12" t="s">
        <v>1791</v>
      </c>
      <c r="J3110" s="12" t="s">
        <v>1735</v>
      </c>
      <c r="K3110" s="12"/>
      <c r="L3110" s="12" t="s">
        <v>1873</v>
      </c>
      <c r="M3110" s="12" t="s">
        <v>1874</v>
      </c>
    </row>
    <row r="3111" spans="1:13" ht="52.8">
      <c r="A3111" s="21" t="s">
        <v>1705</v>
      </c>
      <c r="B3111" s="21" t="s">
        <v>1706</v>
      </c>
      <c r="C3111" s="21" t="s">
        <v>1704</v>
      </c>
      <c r="D3111" s="21" t="s">
        <v>71</v>
      </c>
      <c r="E3111" s="22" t="s">
        <v>1703</v>
      </c>
      <c r="F3111" s="22" t="s">
        <v>1706</v>
      </c>
      <c r="G3111" s="21" t="s">
        <v>1707</v>
      </c>
      <c r="H3111" s="21" t="s">
        <v>1708</v>
      </c>
      <c r="I3111" s="12" t="s">
        <v>1792</v>
      </c>
      <c r="J3111" s="12" t="s">
        <v>1736</v>
      </c>
      <c r="K3111" s="12"/>
      <c r="L3111" s="12" t="s">
        <v>1875</v>
      </c>
      <c r="M3111" s="12" t="s">
        <v>1876</v>
      </c>
    </row>
    <row r="3112" spans="1:13" ht="52.8">
      <c r="A3112" s="21" t="s">
        <v>1705</v>
      </c>
      <c r="B3112" s="21" t="s">
        <v>1706</v>
      </c>
      <c r="C3112" s="21" t="s">
        <v>1704</v>
      </c>
      <c r="D3112" s="21" t="s">
        <v>71</v>
      </c>
      <c r="E3112" s="22" t="s">
        <v>1703</v>
      </c>
      <c r="F3112" s="22" t="s">
        <v>1706</v>
      </c>
      <c r="G3112" s="21" t="s">
        <v>1707</v>
      </c>
      <c r="H3112" s="21" t="s">
        <v>1708</v>
      </c>
      <c r="I3112" s="12" t="s">
        <v>1793</v>
      </c>
      <c r="J3112" s="12" t="s">
        <v>1737</v>
      </c>
      <c r="K3112" s="12"/>
      <c r="L3112" s="12" t="s">
        <v>1877</v>
      </c>
      <c r="M3112" s="12" t="s">
        <v>1878</v>
      </c>
    </row>
    <row r="3113" spans="1:13" ht="52.8">
      <c r="A3113" s="21" t="s">
        <v>1705</v>
      </c>
      <c r="B3113" s="21" t="s">
        <v>1706</v>
      </c>
      <c r="C3113" s="21" t="s">
        <v>1704</v>
      </c>
      <c r="D3113" s="21" t="s">
        <v>71</v>
      </c>
      <c r="E3113" s="22" t="s">
        <v>1703</v>
      </c>
      <c r="F3113" s="22" t="s">
        <v>1706</v>
      </c>
      <c r="G3113" s="21" t="s">
        <v>1707</v>
      </c>
      <c r="H3113" s="21" t="s">
        <v>1708</v>
      </c>
      <c r="I3113" s="12" t="s">
        <v>1794</v>
      </c>
      <c r="J3113" s="12" t="s">
        <v>1738</v>
      </c>
      <c r="K3113" s="12"/>
      <c r="L3113" s="12" t="s">
        <v>1879</v>
      </c>
      <c r="M3113" s="12" t="s">
        <v>1880</v>
      </c>
    </row>
    <row r="3114" spans="1:13" ht="52.8">
      <c r="A3114" s="21" t="s">
        <v>1705</v>
      </c>
      <c r="B3114" s="21" t="s">
        <v>1706</v>
      </c>
      <c r="C3114" s="21" t="s">
        <v>1704</v>
      </c>
      <c r="D3114" s="21" t="s">
        <v>71</v>
      </c>
      <c r="E3114" s="22" t="s">
        <v>1703</v>
      </c>
      <c r="F3114" s="22" t="s">
        <v>1706</v>
      </c>
      <c r="G3114" s="21" t="s">
        <v>1707</v>
      </c>
      <c r="H3114" s="21" t="s">
        <v>1708</v>
      </c>
      <c r="I3114" s="12" t="s">
        <v>1795</v>
      </c>
      <c r="J3114" s="12" t="s">
        <v>1739</v>
      </c>
      <c r="K3114" s="12"/>
      <c r="L3114" s="12" t="s">
        <v>1881</v>
      </c>
      <c r="M3114" s="12" t="s">
        <v>1882</v>
      </c>
    </row>
    <row r="3115" spans="1:13" ht="52.8">
      <c r="A3115" s="21" t="s">
        <v>1705</v>
      </c>
      <c r="B3115" s="21" t="s">
        <v>1706</v>
      </c>
      <c r="C3115" s="21" t="s">
        <v>1704</v>
      </c>
      <c r="D3115" s="21" t="s">
        <v>71</v>
      </c>
      <c r="E3115" s="22" t="s">
        <v>1703</v>
      </c>
      <c r="F3115" s="22" t="s">
        <v>1706</v>
      </c>
      <c r="G3115" s="21" t="s">
        <v>1707</v>
      </c>
      <c r="H3115" s="21" t="s">
        <v>1708</v>
      </c>
      <c r="I3115" s="12" t="s">
        <v>1796</v>
      </c>
      <c r="J3115" s="12" t="s">
        <v>1740</v>
      </c>
      <c r="K3115" s="12"/>
      <c r="L3115" s="12" t="s">
        <v>1883</v>
      </c>
      <c r="M3115" s="12" t="s">
        <v>1884</v>
      </c>
    </row>
    <row r="3116" spans="1:13" ht="52.8">
      <c r="A3116" s="21" t="s">
        <v>1705</v>
      </c>
      <c r="B3116" s="21" t="s">
        <v>1706</v>
      </c>
      <c r="C3116" s="21" t="s">
        <v>1704</v>
      </c>
      <c r="D3116" s="21" t="s">
        <v>71</v>
      </c>
      <c r="E3116" s="22" t="s">
        <v>1703</v>
      </c>
      <c r="F3116" s="22" t="s">
        <v>1706</v>
      </c>
      <c r="G3116" s="21" t="s">
        <v>1707</v>
      </c>
      <c r="H3116" s="21" t="s">
        <v>1708</v>
      </c>
      <c r="I3116" s="12" t="s">
        <v>1797</v>
      </c>
      <c r="J3116" s="12" t="s">
        <v>1741</v>
      </c>
      <c r="K3116" s="12"/>
      <c r="L3116" s="12" t="s">
        <v>1885</v>
      </c>
      <c r="M3116" s="12" t="s">
        <v>1886</v>
      </c>
    </row>
    <row r="3117" spans="1:13" ht="52.8">
      <c r="A3117" s="21" t="s">
        <v>1705</v>
      </c>
      <c r="B3117" s="21" t="s">
        <v>1706</v>
      </c>
      <c r="C3117" s="21" t="s">
        <v>1704</v>
      </c>
      <c r="D3117" s="21" t="s">
        <v>71</v>
      </c>
      <c r="E3117" s="22" t="s">
        <v>1703</v>
      </c>
      <c r="F3117" s="22" t="s">
        <v>1706</v>
      </c>
      <c r="G3117" s="21" t="s">
        <v>1707</v>
      </c>
      <c r="H3117" s="21" t="s">
        <v>1708</v>
      </c>
      <c r="I3117" s="12" t="s">
        <v>1798</v>
      </c>
      <c r="J3117" s="12" t="s">
        <v>1742</v>
      </c>
      <c r="K3117" s="12"/>
      <c r="L3117" s="12" t="s">
        <v>1887</v>
      </c>
      <c r="M3117" s="12" t="s">
        <v>1888</v>
      </c>
    </row>
    <row r="3118" spans="1:13" ht="52.8">
      <c r="A3118" s="21" t="s">
        <v>1705</v>
      </c>
      <c r="B3118" s="21" t="s">
        <v>1706</v>
      </c>
      <c r="C3118" s="21" t="s">
        <v>1704</v>
      </c>
      <c r="D3118" s="21" t="s">
        <v>71</v>
      </c>
      <c r="E3118" s="22" t="s">
        <v>1703</v>
      </c>
      <c r="F3118" s="22" t="s">
        <v>1706</v>
      </c>
      <c r="G3118" s="21" t="s">
        <v>1707</v>
      </c>
      <c r="H3118" s="21" t="s">
        <v>1708</v>
      </c>
      <c r="I3118" s="12" t="s">
        <v>1799</v>
      </c>
      <c r="J3118" s="12" t="s">
        <v>1743</v>
      </c>
      <c r="K3118" s="12"/>
      <c r="L3118" s="12" t="s">
        <v>1889</v>
      </c>
      <c r="M3118" s="12" t="s">
        <v>1890</v>
      </c>
    </row>
    <row r="3119" spans="1:13" ht="52.8">
      <c r="A3119" s="21" t="s">
        <v>1705</v>
      </c>
      <c r="B3119" s="21" t="s">
        <v>1706</v>
      </c>
      <c r="C3119" s="21" t="s">
        <v>1704</v>
      </c>
      <c r="D3119" s="21" t="s">
        <v>71</v>
      </c>
      <c r="E3119" s="22" t="s">
        <v>1703</v>
      </c>
      <c r="F3119" s="22" t="s">
        <v>1706</v>
      </c>
      <c r="G3119" s="21" t="s">
        <v>1707</v>
      </c>
      <c r="H3119" s="21" t="s">
        <v>1708</v>
      </c>
      <c r="I3119" s="12" t="s">
        <v>1800</v>
      </c>
      <c r="J3119" s="12" t="s">
        <v>1744</v>
      </c>
      <c r="K3119" s="12"/>
      <c r="L3119" s="12" t="s">
        <v>1891</v>
      </c>
      <c r="M3119" s="12" t="s">
        <v>1892</v>
      </c>
    </row>
    <row r="3120" spans="1:13" ht="52.8">
      <c r="A3120" s="21" t="s">
        <v>1705</v>
      </c>
      <c r="B3120" s="21" t="s">
        <v>1706</v>
      </c>
      <c r="C3120" s="21" t="s">
        <v>1704</v>
      </c>
      <c r="D3120" s="21" t="s">
        <v>71</v>
      </c>
      <c r="E3120" s="22" t="s">
        <v>1703</v>
      </c>
      <c r="F3120" s="22" t="s">
        <v>1706</v>
      </c>
      <c r="G3120" s="21" t="s">
        <v>1707</v>
      </c>
      <c r="H3120" s="21" t="s">
        <v>1708</v>
      </c>
      <c r="I3120" s="12" t="s">
        <v>1801</v>
      </c>
      <c r="J3120" s="12" t="s">
        <v>1745</v>
      </c>
      <c r="K3120" s="12"/>
      <c r="L3120" s="12" t="s">
        <v>1893</v>
      </c>
      <c r="M3120" s="12" t="s">
        <v>1894</v>
      </c>
    </row>
    <row r="3121" spans="1:13" ht="52.8">
      <c r="A3121" s="21" t="s">
        <v>1705</v>
      </c>
      <c r="B3121" s="21" t="s">
        <v>1706</v>
      </c>
      <c r="C3121" s="21" t="s">
        <v>1704</v>
      </c>
      <c r="D3121" s="21" t="s">
        <v>71</v>
      </c>
      <c r="E3121" s="22" t="s">
        <v>1703</v>
      </c>
      <c r="F3121" s="22" t="s">
        <v>1706</v>
      </c>
      <c r="G3121" s="21" t="s">
        <v>1707</v>
      </c>
      <c r="H3121" s="21" t="s">
        <v>1708</v>
      </c>
      <c r="I3121" s="12" t="s">
        <v>1802</v>
      </c>
      <c r="J3121" s="12" t="s">
        <v>1746</v>
      </c>
      <c r="K3121" s="12"/>
      <c r="L3121" s="12" t="s">
        <v>1895</v>
      </c>
      <c r="M3121" s="12" t="s">
        <v>1896</v>
      </c>
    </row>
    <row r="3122" spans="1:13" ht="52.8">
      <c r="A3122" s="21" t="s">
        <v>1705</v>
      </c>
      <c r="B3122" s="21" t="s">
        <v>1706</v>
      </c>
      <c r="C3122" s="21" t="s">
        <v>1704</v>
      </c>
      <c r="D3122" s="21" t="s">
        <v>71</v>
      </c>
      <c r="E3122" s="22" t="s">
        <v>1703</v>
      </c>
      <c r="F3122" s="22" t="s">
        <v>1706</v>
      </c>
      <c r="G3122" s="21" t="s">
        <v>1707</v>
      </c>
      <c r="H3122" s="21" t="s">
        <v>1708</v>
      </c>
      <c r="I3122" s="12" t="s">
        <v>1803</v>
      </c>
      <c r="J3122" s="12" t="s">
        <v>1747</v>
      </c>
      <c r="K3122" s="12"/>
      <c r="L3122" s="12" t="s">
        <v>1897</v>
      </c>
      <c r="M3122" s="12" t="s">
        <v>1898</v>
      </c>
    </row>
    <row r="3123" spans="1:13" ht="52.8">
      <c r="A3123" s="21" t="s">
        <v>1705</v>
      </c>
      <c r="B3123" s="21" t="s">
        <v>1706</v>
      </c>
      <c r="C3123" s="21" t="s">
        <v>1704</v>
      </c>
      <c r="D3123" s="21" t="s">
        <v>71</v>
      </c>
      <c r="E3123" s="22" t="s">
        <v>1703</v>
      </c>
      <c r="F3123" s="22" t="s">
        <v>1706</v>
      </c>
      <c r="G3123" s="21" t="s">
        <v>1707</v>
      </c>
      <c r="H3123" s="21" t="s">
        <v>1708</v>
      </c>
      <c r="I3123" s="12" t="s">
        <v>1804</v>
      </c>
      <c r="J3123" s="12" t="s">
        <v>1748</v>
      </c>
      <c r="K3123" s="12"/>
      <c r="L3123" s="12" t="s">
        <v>1899</v>
      </c>
      <c r="M3123" s="12" t="s">
        <v>1900</v>
      </c>
    </row>
    <row r="3124" spans="1:13" ht="52.8">
      <c r="A3124" s="21" t="s">
        <v>1705</v>
      </c>
      <c r="B3124" s="21" t="s">
        <v>1706</v>
      </c>
      <c r="C3124" s="21" t="s">
        <v>1704</v>
      </c>
      <c r="D3124" s="21" t="s">
        <v>71</v>
      </c>
      <c r="E3124" s="22" t="s">
        <v>1703</v>
      </c>
      <c r="F3124" s="22" t="s">
        <v>1706</v>
      </c>
      <c r="G3124" s="21" t="s">
        <v>1707</v>
      </c>
      <c r="H3124" s="21" t="s">
        <v>1708</v>
      </c>
      <c r="I3124" s="12" t="s">
        <v>1805</v>
      </c>
      <c r="J3124" s="12" t="s">
        <v>1749</v>
      </c>
      <c r="K3124" s="12"/>
      <c r="L3124" s="12" t="s">
        <v>1901</v>
      </c>
      <c r="M3124" s="12" t="s">
        <v>1902</v>
      </c>
    </row>
    <row r="3125" spans="1:13" ht="52.8">
      <c r="A3125" s="21" t="s">
        <v>1705</v>
      </c>
      <c r="B3125" s="21" t="s">
        <v>1706</v>
      </c>
      <c r="C3125" s="21" t="s">
        <v>1704</v>
      </c>
      <c r="D3125" s="21" t="s">
        <v>71</v>
      </c>
      <c r="E3125" s="22" t="s">
        <v>1703</v>
      </c>
      <c r="F3125" s="22" t="s">
        <v>1706</v>
      </c>
      <c r="G3125" s="21" t="s">
        <v>1707</v>
      </c>
      <c r="H3125" s="21" t="s">
        <v>1708</v>
      </c>
      <c r="I3125" s="12" t="s">
        <v>1806</v>
      </c>
      <c r="J3125" s="12" t="s">
        <v>1750</v>
      </c>
      <c r="K3125" s="12"/>
      <c r="L3125" s="12" t="s">
        <v>1903</v>
      </c>
      <c r="M3125" s="12" t="s">
        <v>1904</v>
      </c>
    </row>
    <row r="3126" spans="1:13" ht="52.8">
      <c r="A3126" s="21" t="s">
        <v>1705</v>
      </c>
      <c r="B3126" s="21" t="s">
        <v>1706</v>
      </c>
      <c r="C3126" s="21" t="s">
        <v>1704</v>
      </c>
      <c r="D3126" s="21" t="s">
        <v>71</v>
      </c>
      <c r="E3126" s="22" t="s">
        <v>1703</v>
      </c>
      <c r="F3126" s="22" t="s">
        <v>1706</v>
      </c>
      <c r="G3126" s="21" t="s">
        <v>1707</v>
      </c>
      <c r="H3126" s="21" t="s">
        <v>1708</v>
      </c>
      <c r="I3126" s="12" t="s">
        <v>1807</v>
      </c>
      <c r="J3126" s="12" t="s">
        <v>1751</v>
      </c>
      <c r="K3126" s="12"/>
      <c r="L3126" s="12" t="s">
        <v>1905</v>
      </c>
      <c r="M3126" s="12" t="s">
        <v>1906</v>
      </c>
    </row>
    <row r="3127" spans="1:13" ht="52.8">
      <c r="A3127" s="21" t="s">
        <v>1705</v>
      </c>
      <c r="B3127" s="21" t="s">
        <v>1706</v>
      </c>
      <c r="C3127" s="21" t="s">
        <v>1704</v>
      </c>
      <c r="D3127" s="21" t="s">
        <v>71</v>
      </c>
      <c r="E3127" s="22" t="s">
        <v>1703</v>
      </c>
      <c r="F3127" s="22" t="s">
        <v>1706</v>
      </c>
      <c r="G3127" s="21" t="s">
        <v>1707</v>
      </c>
      <c r="H3127" s="21" t="s">
        <v>1708</v>
      </c>
      <c r="I3127" s="12" t="s">
        <v>1808</v>
      </c>
      <c r="J3127" s="12" t="s">
        <v>1752</v>
      </c>
      <c r="K3127" s="12"/>
      <c r="L3127" s="12" t="s">
        <v>1907</v>
      </c>
      <c r="M3127" s="12" t="s">
        <v>1908</v>
      </c>
    </row>
    <row r="3128" spans="1:13" ht="52.8">
      <c r="A3128" s="21" t="s">
        <v>1705</v>
      </c>
      <c r="B3128" s="21" t="s">
        <v>1706</v>
      </c>
      <c r="C3128" s="21" t="s">
        <v>1704</v>
      </c>
      <c r="D3128" s="21" t="s">
        <v>71</v>
      </c>
      <c r="E3128" s="22" t="s">
        <v>1703</v>
      </c>
      <c r="F3128" s="22" t="s">
        <v>1706</v>
      </c>
      <c r="G3128" s="21" t="s">
        <v>1707</v>
      </c>
      <c r="H3128" s="21" t="s">
        <v>1708</v>
      </c>
      <c r="I3128" s="12" t="s">
        <v>1809</v>
      </c>
      <c r="J3128" s="12" t="s">
        <v>1753</v>
      </c>
      <c r="K3128" s="12"/>
      <c r="L3128" s="12" t="s">
        <v>1909</v>
      </c>
      <c r="M3128" s="12" t="s">
        <v>1910</v>
      </c>
    </row>
    <row r="3129" spans="1:13" ht="52.8">
      <c r="A3129" s="21" t="s">
        <v>1705</v>
      </c>
      <c r="B3129" s="21" t="s">
        <v>1706</v>
      </c>
      <c r="C3129" s="21" t="s">
        <v>1704</v>
      </c>
      <c r="D3129" s="21" t="s">
        <v>71</v>
      </c>
      <c r="E3129" s="22" t="s">
        <v>1703</v>
      </c>
      <c r="F3129" s="22" t="s">
        <v>1706</v>
      </c>
      <c r="G3129" s="21" t="s">
        <v>1707</v>
      </c>
      <c r="H3129" s="21" t="s">
        <v>1708</v>
      </c>
      <c r="I3129" s="12" t="s">
        <v>1810</v>
      </c>
      <c r="J3129" s="12" t="s">
        <v>1754</v>
      </c>
      <c r="K3129" s="12"/>
      <c r="L3129" s="12" t="s">
        <v>1911</v>
      </c>
      <c r="M3129" s="12" t="s">
        <v>1912</v>
      </c>
    </row>
    <row r="3130" spans="1:13" ht="52.8">
      <c r="A3130" s="21" t="s">
        <v>1705</v>
      </c>
      <c r="B3130" s="21" t="s">
        <v>1706</v>
      </c>
      <c r="C3130" s="21" t="s">
        <v>1704</v>
      </c>
      <c r="D3130" s="21" t="s">
        <v>71</v>
      </c>
      <c r="E3130" s="22" t="s">
        <v>1703</v>
      </c>
      <c r="F3130" s="22" t="s">
        <v>1706</v>
      </c>
      <c r="G3130" s="21" t="s">
        <v>1707</v>
      </c>
      <c r="H3130" s="21" t="s">
        <v>1708</v>
      </c>
      <c r="I3130" s="12" t="s">
        <v>1811</v>
      </c>
      <c r="J3130" s="12" t="s">
        <v>1755</v>
      </c>
      <c r="K3130" s="12"/>
      <c r="L3130" s="12" t="s">
        <v>1913</v>
      </c>
      <c r="M3130" s="12" t="s">
        <v>1914</v>
      </c>
    </row>
    <row r="3131" spans="1:13" ht="52.8">
      <c r="A3131" s="21" t="s">
        <v>1705</v>
      </c>
      <c r="B3131" s="21" t="s">
        <v>1706</v>
      </c>
      <c r="C3131" s="21" t="s">
        <v>1704</v>
      </c>
      <c r="D3131" s="21" t="s">
        <v>71</v>
      </c>
      <c r="E3131" s="22" t="s">
        <v>1703</v>
      </c>
      <c r="F3131" s="22" t="s">
        <v>1706</v>
      </c>
      <c r="G3131" s="21" t="s">
        <v>1707</v>
      </c>
      <c r="H3131" s="21" t="s">
        <v>1708</v>
      </c>
      <c r="I3131" s="12" t="s">
        <v>1812</v>
      </c>
      <c r="J3131" s="12" t="s">
        <v>1756</v>
      </c>
      <c r="K3131" s="12"/>
      <c r="L3131" s="12" t="s">
        <v>1915</v>
      </c>
      <c r="M3131" s="12" t="s">
        <v>1916</v>
      </c>
    </row>
    <row r="3132" spans="1:13" ht="52.8">
      <c r="A3132" s="21" t="s">
        <v>1705</v>
      </c>
      <c r="B3132" s="21" t="s">
        <v>1706</v>
      </c>
      <c r="C3132" s="21" t="s">
        <v>1704</v>
      </c>
      <c r="D3132" s="21" t="s">
        <v>71</v>
      </c>
      <c r="E3132" s="22" t="s">
        <v>1703</v>
      </c>
      <c r="F3132" s="22" t="s">
        <v>1706</v>
      </c>
      <c r="G3132" s="21" t="s">
        <v>1707</v>
      </c>
      <c r="H3132" s="21" t="s">
        <v>1708</v>
      </c>
      <c r="I3132" s="12" t="s">
        <v>1813</v>
      </c>
      <c r="J3132" s="12" t="s">
        <v>1757</v>
      </c>
      <c r="K3132" s="12"/>
      <c r="L3132" s="12" t="s">
        <v>1917</v>
      </c>
      <c r="M3132" s="12" t="s">
        <v>1918</v>
      </c>
    </row>
    <row r="3133" spans="1:13" ht="52.8">
      <c r="A3133" s="21" t="s">
        <v>1705</v>
      </c>
      <c r="B3133" s="21" t="s">
        <v>1706</v>
      </c>
      <c r="C3133" s="21" t="s">
        <v>1704</v>
      </c>
      <c r="D3133" s="21" t="s">
        <v>71</v>
      </c>
      <c r="E3133" s="22" t="s">
        <v>1703</v>
      </c>
      <c r="F3133" s="22" t="s">
        <v>1706</v>
      </c>
      <c r="G3133" s="21" t="s">
        <v>1707</v>
      </c>
      <c r="H3133" s="21" t="s">
        <v>1708</v>
      </c>
      <c r="I3133" s="12" t="s">
        <v>1814</v>
      </c>
      <c r="J3133" s="12" t="s">
        <v>1758</v>
      </c>
      <c r="K3133" s="12"/>
      <c r="L3133" s="12" t="s">
        <v>1919</v>
      </c>
      <c r="M3133" s="12" t="s">
        <v>1920</v>
      </c>
    </row>
    <row r="3134" spans="1:13" ht="52.8">
      <c r="A3134" s="21" t="s">
        <v>1705</v>
      </c>
      <c r="B3134" s="21" t="s">
        <v>1706</v>
      </c>
      <c r="C3134" s="21" t="s">
        <v>1704</v>
      </c>
      <c r="D3134" s="21" t="s">
        <v>71</v>
      </c>
      <c r="E3134" s="22" t="s">
        <v>1703</v>
      </c>
      <c r="F3134" s="22" t="s">
        <v>1706</v>
      </c>
      <c r="G3134" s="21" t="s">
        <v>1707</v>
      </c>
      <c r="H3134" s="21" t="s">
        <v>1708</v>
      </c>
      <c r="I3134" s="12" t="s">
        <v>1815</v>
      </c>
      <c r="J3134" s="12" t="s">
        <v>1759</v>
      </c>
      <c r="K3134" s="12"/>
      <c r="L3134" s="12" t="s">
        <v>1921</v>
      </c>
      <c r="M3134" s="12" t="s">
        <v>1922</v>
      </c>
    </row>
    <row r="3135" spans="1:13" ht="52.8">
      <c r="A3135" s="21" t="s">
        <v>1705</v>
      </c>
      <c r="B3135" s="21" t="s">
        <v>1706</v>
      </c>
      <c r="C3135" s="21" t="s">
        <v>1704</v>
      </c>
      <c r="D3135" s="21" t="s">
        <v>71</v>
      </c>
      <c r="E3135" s="22" t="s">
        <v>1703</v>
      </c>
      <c r="F3135" s="22" t="s">
        <v>1706</v>
      </c>
      <c r="G3135" s="21" t="s">
        <v>1707</v>
      </c>
      <c r="H3135" s="21" t="s">
        <v>1708</v>
      </c>
      <c r="I3135" s="12" t="s">
        <v>1816</v>
      </c>
      <c r="J3135" s="12" t="s">
        <v>1760</v>
      </c>
      <c r="K3135" s="12"/>
      <c r="L3135" s="12" t="s">
        <v>1923</v>
      </c>
      <c r="M3135" s="12" t="s">
        <v>1924</v>
      </c>
    </row>
    <row r="3136" spans="1:13" ht="52.8">
      <c r="A3136" s="21" t="s">
        <v>1705</v>
      </c>
      <c r="B3136" s="21" t="s">
        <v>1706</v>
      </c>
      <c r="C3136" s="21" t="s">
        <v>1704</v>
      </c>
      <c r="D3136" s="21" t="s">
        <v>71</v>
      </c>
      <c r="E3136" s="22" t="s">
        <v>1703</v>
      </c>
      <c r="F3136" s="22" t="s">
        <v>1706</v>
      </c>
      <c r="G3136" s="21" t="s">
        <v>1707</v>
      </c>
      <c r="H3136" s="21" t="s">
        <v>1708</v>
      </c>
      <c r="I3136" s="12" t="s">
        <v>1817</v>
      </c>
      <c r="J3136" s="12" t="s">
        <v>1761</v>
      </c>
      <c r="K3136" s="12"/>
      <c r="L3136" s="12" t="s">
        <v>1925</v>
      </c>
      <c r="M3136" s="12" t="s">
        <v>1926</v>
      </c>
    </row>
    <row r="3137" spans="1:13" ht="52.8">
      <c r="A3137" s="21" t="s">
        <v>1705</v>
      </c>
      <c r="B3137" s="21" t="s">
        <v>1706</v>
      </c>
      <c r="C3137" s="21" t="s">
        <v>1704</v>
      </c>
      <c r="D3137" s="21" t="s">
        <v>71</v>
      </c>
      <c r="E3137" s="22" t="s">
        <v>1703</v>
      </c>
      <c r="F3137" s="22" t="s">
        <v>1706</v>
      </c>
      <c r="G3137" s="21" t="s">
        <v>1707</v>
      </c>
      <c r="H3137" s="21" t="s">
        <v>1708</v>
      </c>
      <c r="I3137" s="12" t="s">
        <v>1818</v>
      </c>
      <c r="J3137" s="12" t="s">
        <v>1762</v>
      </c>
      <c r="K3137" s="12"/>
      <c r="L3137" s="12" t="s">
        <v>1927</v>
      </c>
      <c r="M3137" s="12" t="s">
        <v>1928</v>
      </c>
    </row>
    <row r="3138" spans="1:13" ht="52.8">
      <c r="A3138" s="21" t="s">
        <v>1705</v>
      </c>
      <c r="B3138" s="21" t="s">
        <v>1706</v>
      </c>
      <c r="C3138" s="21" t="s">
        <v>1704</v>
      </c>
      <c r="D3138" s="21" t="s">
        <v>71</v>
      </c>
      <c r="E3138" s="22" t="s">
        <v>1703</v>
      </c>
      <c r="F3138" s="22" t="s">
        <v>1706</v>
      </c>
      <c r="G3138" s="21" t="s">
        <v>1707</v>
      </c>
      <c r="H3138" s="21" t="s">
        <v>1708</v>
      </c>
      <c r="I3138" s="12" t="s">
        <v>1819</v>
      </c>
      <c r="J3138" s="12" t="s">
        <v>1763</v>
      </c>
      <c r="K3138" s="12"/>
      <c r="L3138" s="12" t="s">
        <v>1929</v>
      </c>
      <c r="M3138" s="12" t="s">
        <v>1930</v>
      </c>
    </row>
    <row r="3139" spans="1:13" ht="52.8">
      <c r="A3139" s="21" t="s">
        <v>1705</v>
      </c>
      <c r="B3139" s="21" t="s">
        <v>1706</v>
      </c>
      <c r="C3139" s="21" t="s">
        <v>1704</v>
      </c>
      <c r="D3139" s="21" t="s">
        <v>71</v>
      </c>
      <c r="E3139" s="22" t="s">
        <v>1703</v>
      </c>
      <c r="F3139" s="22" t="s">
        <v>1706</v>
      </c>
      <c r="G3139" s="21" t="s">
        <v>1707</v>
      </c>
      <c r="H3139" s="21" t="s">
        <v>1708</v>
      </c>
      <c r="I3139" s="12" t="s">
        <v>1820</v>
      </c>
      <c r="J3139" s="12" t="s">
        <v>1764</v>
      </c>
      <c r="K3139" s="12"/>
      <c r="L3139" s="12" t="s">
        <v>1931</v>
      </c>
      <c r="M3139" s="12" t="s">
        <v>1932</v>
      </c>
    </row>
    <row r="3140" spans="1:13" ht="39.6">
      <c r="A3140" s="21" t="s">
        <v>13544</v>
      </c>
      <c r="B3140" s="21" t="s">
        <v>7885</v>
      </c>
      <c r="C3140" s="21" t="s">
        <v>13542</v>
      </c>
      <c r="D3140" s="21" t="s">
        <v>71</v>
      </c>
      <c r="E3140" s="22" t="s">
        <v>13543</v>
      </c>
      <c r="F3140" s="22" t="s">
        <v>7885</v>
      </c>
      <c r="G3140" s="21" t="s">
        <v>13545</v>
      </c>
      <c r="H3140" s="21" t="s">
        <v>13546</v>
      </c>
      <c r="I3140" s="12" t="s">
        <v>13547</v>
      </c>
      <c r="J3140" s="12" t="s">
        <v>13554</v>
      </c>
      <c r="K3140" s="12"/>
      <c r="L3140" s="12" t="s">
        <v>13561</v>
      </c>
      <c r="M3140" s="12" t="s">
        <v>13562</v>
      </c>
    </row>
    <row r="3141" spans="1:13" ht="39.6">
      <c r="A3141" s="21" t="s">
        <v>13544</v>
      </c>
      <c r="B3141" s="21" t="s">
        <v>7885</v>
      </c>
      <c r="C3141" s="21" t="s">
        <v>13542</v>
      </c>
      <c r="D3141" s="21" t="s">
        <v>71</v>
      </c>
      <c r="E3141" s="22" t="s">
        <v>13543</v>
      </c>
      <c r="F3141" s="22" t="s">
        <v>7885</v>
      </c>
      <c r="G3141" s="21" t="s">
        <v>13545</v>
      </c>
      <c r="H3141" s="21" t="s">
        <v>13546</v>
      </c>
      <c r="I3141" s="12" t="s">
        <v>13548</v>
      </c>
      <c r="J3141" s="12" t="s">
        <v>13555</v>
      </c>
      <c r="K3141" s="12"/>
      <c r="L3141" s="12" t="s">
        <v>13563</v>
      </c>
      <c r="M3141" s="12" t="s">
        <v>13564</v>
      </c>
    </row>
    <row r="3142" spans="1:13" ht="39.6">
      <c r="A3142" s="21" t="s">
        <v>13544</v>
      </c>
      <c r="B3142" s="21" t="s">
        <v>7885</v>
      </c>
      <c r="C3142" s="21" t="s">
        <v>13542</v>
      </c>
      <c r="D3142" s="21" t="s">
        <v>71</v>
      </c>
      <c r="E3142" s="22" t="s">
        <v>13543</v>
      </c>
      <c r="F3142" s="22" t="s">
        <v>7885</v>
      </c>
      <c r="G3142" s="21" t="s">
        <v>13545</v>
      </c>
      <c r="H3142" s="21" t="s">
        <v>13546</v>
      </c>
      <c r="I3142" s="12" t="s">
        <v>13549</v>
      </c>
      <c r="J3142" s="12" t="s">
        <v>13556</v>
      </c>
      <c r="K3142" s="12"/>
      <c r="L3142" s="12" t="s">
        <v>13565</v>
      </c>
      <c r="M3142" s="12" t="s">
        <v>13566</v>
      </c>
    </row>
    <row r="3143" spans="1:13" ht="39.6">
      <c r="A3143" s="21" t="s">
        <v>13544</v>
      </c>
      <c r="B3143" s="21" t="s">
        <v>7885</v>
      </c>
      <c r="C3143" s="21" t="s">
        <v>13542</v>
      </c>
      <c r="D3143" s="21" t="s">
        <v>71</v>
      </c>
      <c r="E3143" s="22" t="s">
        <v>13543</v>
      </c>
      <c r="F3143" s="22" t="s">
        <v>7885</v>
      </c>
      <c r="G3143" s="21" t="s">
        <v>13545</v>
      </c>
      <c r="H3143" s="21" t="s">
        <v>13546</v>
      </c>
      <c r="I3143" s="12" t="s">
        <v>13550</v>
      </c>
      <c r="J3143" s="12" t="s">
        <v>13557</v>
      </c>
      <c r="K3143" s="12"/>
      <c r="L3143" s="12" t="s">
        <v>13567</v>
      </c>
      <c r="M3143" s="12" t="s">
        <v>13568</v>
      </c>
    </row>
    <row r="3144" spans="1:13" ht="39.6">
      <c r="A3144" s="21" t="s">
        <v>13544</v>
      </c>
      <c r="B3144" s="21" t="s">
        <v>7885</v>
      </c>
      <c r="C3144" s="21" t="s">
        <v>13542</v>
      </c>
      <c r="D3144" s="21" t="s">
        <v>71</v>
      </c>
      <c r="E3144" s="22" t="s">
        <v>13543</v>
      </c>
      <c r="F3144" s="22" t="s">
        <v>7885</v>
      </c>
      <c r="G3144" s="21" t="s">
        <v>13545</v>
      </c>
      <c r="H3144" s="21" t="s">
        <v>13546</v>
      </c>
      <c r="I3144" s="12" t="s">
        <v>13551</v>
      </c>
      <c r="J3144" s="12" t="s">
        <v>13558</v>
      </c>
      <c r="K3144" s="12"/>
      <c r="L3144" s="12" t="s">
        <v>13569</v>
      </c>
      <c r="M3144" s="12" t="s">
        <v>13570</v>
      </c>
    </row>
    <row r="3145" spans="1:13" ht="39.6">
      <c r="A3145" s="21" t="s">
        <v>13544</v>
      </c>
      <c r="B3145" s="21" t="s">
        <v>7885</v>
      </c>
      <c r="C3145" s="21" t="s">
        <v>13542</v>
      </c>
      <c r="D3145" s="21" t="s">
        <v>71</v>
      </c>
      <c r="E3145" s="22" t="s">
        <v>13543</v>
      </c>
      <c r="F3145" s="22" t="s">
        <v>7885</v>
      </c>
      <c r="G3145" s="21" t="s">
        <v>13545</v>
      </c>
      <c r="H3145" s="21" t="s">
        <v>13546</v>
      </c>
      <c r="I3145" s="12" t="s">
        <v>13552</v>
      </c>
      <c r="J3145" s="12" t="s">
        <v>13559</v>
      </c>
      <c r="K3145" s="12"/>
      <c r="L3145" s="12" t="s">
        <v>13571</v>
      </c>
      <c r="M3145" s="12" t="s">
        <v>13572</v>
      </c>
    </row>
    <row r="3146" spans="1:13" ht="39.6">
      <c r="A3146" s="21" t="s">
        <v>13544</v>
      </c>
      <c r="B3146" s="21" t="s">
        <v>7885</v>
      </c>
      <c r="C3146" s="21" t="s">
        <v>13542</v>
      </c>
      <c r="D3146" s="21" t="s">
        <v>71</v>
      </c>
      <c r="E3146" s="22" t="s">
        <v>13543</v>
      </c>
      <c r="F3146" s="22" t="s">
        <v>7885</v>
      </c>
      <c r="G3146" s="21" t="s">
        <v>13545</v>
      </c>
      <c r="H3146" s="21" t="s">
        <v>13546</v>
      </c>
      <c r="I3146" s="12" t="s">
        <v>13553</v>
      </c>
      <c r="J3146" s="12" t="s">
        <v>13560</v>
      </c>
      <c r="K3146" s="12"/>
      <c r="L3146" s="12" t="s">
        <v>13573</v>
      </c>
      <c r="M3146" s="12" t="s">
        <v>13574</v>
      </c>
    </row>
    <row r="3147" spans="1:13" ht="39.6">
      <c r="A3147" s="21" t="s">
        <v>13575</v>
      </c>
      <c r="B3147" s="21" t="s">
        <v>7886</v>
      </c>
      <c r="C3147" s="21" t="s">
        <v>13576</v>
      </c>
      <c r="D3147" s="21" t="s">
        <v>71</v>
      </c>
      <c r="E3147" s="22" t="s">
        <v>13577</v>
      </c>
      <c r="F3147" s="22" t="s">
        <v>7886</v>
      </c>
      <c r="G3147" s="21" t="s">
        <v>13578</v>
      </c>
      <c r="H3147" s="21" t="s">
        <v>13579</v>
      </c>
      <c r="I3147" s="12" t="s">
        <v>13580</v>
      </c>
      <c r="J3147" s="12" t="s">
        <v>13631</v>
      </c>
      <c r="K3147" s="12"/>
      <c r="L3147" s="12" t="s">
        <v>13683</v>
      </c>
      <c r="M3147" s="12" t="s">
        <v>13684</v>
      </c>
    </row>
    <row r="3148" spans="1:13" ht="39.6">
      <c r="A3148" s="21" t="s">
        <v>13575</v>
      </c>
      <c r="B3148" s="21" t="s">
        <v>7886</v>
      </c>
      <c r="C3148" s="21" t="s">
        <v>13576</v>
      </c>
      <c r="D3148" s="21" t="s">
        <v>71</v>
      </c>
      <c r="E3148" s="22" t="s">
        <v>13577</v>
      </c>
      <c r="F3148" s="22" t="s">
        <v>7886</v>
      </c>
      <c r="G3148" s="21" t="s">
        <v>13578</v>
      </c>
      <c r="H3148" s="21" t="s">
        <v>13579</v>
      </c>
      <c r="I3148" s="12" t="s">
        <v>13581</v>
      </c>
      <c r="J3148" s="12" t="s">
        <v>13632</v>
      </c>
      <c r="K3148" s="12"/>
      <c r="L3148" s="12" t="s">
        <v>13685</v>
      </c>
      <c r="M3148" s="12" t="s">
        <v>13686</v>
      </c>
    </row>
    <row r="3149" spans="1:13" ht="39.6">
      <c r="A3149" s="21" t="s">
        <v>13575</v>
      </c>
      <c r="B3149" s="21" t="s">
        <v>7886</v>
      </c>
      <c r="C3149" s="21" t="s">
        <v>13576</v>
      </c>
      <c r="D3149" s="21" t="s">
        <v>71</v>
      </c>
      <c r="E3149" s="22" t="s">
        <v>13577</v>
      </c>
      <c r="F3149" s="22" t="s">
        <v>7886</v>
      </c>
      <c r="G3149" s="21" t="s">
        <v>13578</v>
      </c>
      <c r="H3149" s="21" t="s">
        <v>13579</v>
      </c>
      <c r="I3149" s="12" t="s">
        <v>13582</v>
      </c>
      <c r="J3149" s="12" t="s">
        <v>13633</v>
      </c>
      <c r="K3149" s="12"/>
      <c r="L3149" s="12" t="s">
        <v>13687</v>
      </c>
      <c r="M3149" s="12" t="s">
        <v>13688</v>
      </c>
    </row>
    <row r="3150" spans="1:13" ht="39.6">
      <c r="A3150" s="21" t="s">
        <v>13575</v>
      </c>
      <c r="B3150" s="21" t="s">
        <v>7886</v>
      </c>
      <c r="C3150" s="21" t="s">
        <v>13576</v>
      </c>
      <c r="D3150" s="21" t="s">
        <v>71</v>
      </c>
      <c r="E3150" s="22" t="s">
        <v>13577</v>
      </c>
      <c r="F3150" s="22" t="s">
        <v>7886</v>
      </c>
      <c r="G3150" s="21" t="s">
        <v>13578</v>
      </c>
      <c r="H3150" s="21" t="s">
        <v>13579</v>
      </c>
      <c r="I3150" s="12" t="s">
        <v>13583</v>
      </c>
      <c r="J3150" s="12" t="s">
        <v>13634</v>
      </c>
      <c r="K3150" s="12"/>
      <c r="L3150" s="12" t="s">
        <v>13689</v>
      </c>
      <c r="M3150" s="12" t="s">
        <v>13690</v>
      </c>
    </row>
    <row r="3151" spans="1:13" ht="39.6">
      <c r="A3151" s="21" t="s">
        <v>13575</v>
      </c>
      <c r="B3151" s="21" t="s">
        <v>7886</v>
      </c>
      <c r="C3151" s="21" t="s">
        <v>13576</v>
      </c>
      <c r="D3151" s="21" t="s">
        <v>71</v>
      </c>
      <c r="E3151" s="22" t="s">
        <v>13577</v>
      </c>
      <c r="F3151" s="22" t="s">
        <v>7886</v>
      </c>
      <c r="G3151" s="21" t="s">
        <v>13578</v>
      </c>
      <c r="H3151" s="21" t="s">
        <v>13579</v>
      </c>
      <c r="I3151" s="12" t="s">
        <v>13584</v>
      </c>
      <c r="J3151" s="12" t="s">
        <v>13635</v>
      </c>
      <c r="K3151" s="12"/>
      <c r="L3151" s="12" t="s">
        <v>13691</v>
      </c>
      <c r="M3151" s="12" t="s">
        <v>13692</v>
      </c>
    </row>
    <row r="3152" spans="1:13" ht="39.6">
      <c r="A3152" s="21" t="s">
        <v>13575</v>
      </c>
      <c r="B3152" s="21" t="s">
        <v>7886</v>
      </c>
      <c r="C3152" s="21" t="s">
        <v>13576</v>
      </c>
      <c r="D3152" s="21" t="s">
        <v>71</v>
      </c>
      <c r="E3152" s="22" t="s">
        <v>13577</v>
      </c>
      <c r="F3152" s="22" t="s">
        <v>7886</v>
      </c>
      <c r="G3152" s="21" t="s">
        <v>13578</v>
      </c>
      <c r="H3152" s="21" t="s">
        <v>13579</v>
      </c>
      <c r="I3152" s="12" t="s">
        <v>13585</v>
      </c>
      <c r="J3152" s="12" t="s">
        <v>13636</v>
      </c>
      <c r="K3152" s="12"/>
      <c r="L3152" s="12" t="s">
        <v>13693</v>
      </c>
      <c r="M3152" s="12" t="s">
        <v>13694</v>
      </c>
    </row>
    <row r="3153" spans="1:13" ht="39.6">
      <c r="A3153" s="21" t="s">
        <v>13575</v>
      </c>
      <c r="B3153" s="21" t="s">
        <v>7886</v>
      </c>
      <c r="C3153" s="21" t="s">
        <v>13576</v>
      </c>
      <c r="D3153" s="21" t="s">
        <v>71</v>
      </c>
      <c r="E3153" s="22" t="s">
        <v>13577</v>
      </c>
      <c r="F3153" s="22" t="s">
        <v>7886</v>
      </c>
      <c r="G3153" s="21" t="s">
        <v>13578</v>
      </c>
      <c r="H3153" s="21" t="s">
        <v>13579</v>
      </c>
      <c r="I3153" s="12" t="s">
        <v>13586</v>
      </c>
      <c r="J3153" s="12" t="s">
        <v>13637</v>
      </c>
      <c r="K3153" s="12"/>
      <c r="L3153" s="12" t="s">
        <v>13695</v>
      </c>
      <c r="M3153" s="12" t="s">
        <v>13696</v>
      </c>
    </row>
    <row r="3154" spans="1:13" ht="39.6">
      <c r="A3154" s="21" t="s">
        <v>13575</v>
      </c>
      <c r="B3154" s="21" t="s">
        <v>7886</v>
      </c>
      <c r="C3154" s="21" t="s">
        <v>13576</v>
      </c>
      <c r="D3154" s="21" t="s">
        <v>71</v>
      </c>
      <c r="E3154" s="22" t="s">
        <v>13577</v>
      </c>
      <c r="F3154" s="22" t="s">
        <v>7886</v>
      </c>
      <c r="G3154" s="21" t="s">
        <v>13578</v>
      </c>
      <c r="H3154" s="21" t="s">
        <v>13579</v>
      </c>
      <c r="I3154" s="12" t="s">
        <v>13587</v>
      </c>
      <c r="J3154" s="12" t="s">
        <v>13638</v>
      </c>
      <c r="K3154" s="12"/>
      <c r="L3154" s="12" t="s">
        <v>13697</v>
      </c>
      <c r="M3154" s="12" t="s">
        <v>13698</v>
      </c>
    </row>
    <row r="3155" spans="1:13" ht="39.6">
      <c r="A3155" s="21" t="s">
        <v>13575</v>
      </c>
      <c r="B3155" s="21" t="s">
        <v>7886</v>
      </c>
      <c r="C3155" s="21" t="s">
        <v>13576</v>
      </c>
      <c r="D3155" s="21" t="s">
        <v>71</v>
      </c>
      <c r="E3155" s="22" t="s">
        <v>13577</v>
      </c>
      <c r="F3155" s="22" t="s">
        <v>7886</v>
      </c>
      <c r="G3155" s="21" t="s">
        <v>13578</v>
      </c>
      <c r="H3155" s="21" t="s">
        <v>13579</v>
      </c>
      <c r="I3155" s="12" t="s">
        <v>13588</v>
      </c>
      <c r="J3155" s="12" t="s">
        <v>13639</v>
      </c>
      <c r="K3155" s="12"/>
      <c r="L3155" s="12" t="s">
        <v>13699</v>
      </c>
      <c r="M3155" s="12" t="s">
        <v>13700</v>
      </c>
    </row>
    <row r="3156" spans="1:13" ht="39.6">
      <c r="A3156" s="21" t="s">
        <v>13575</v>
      </c>
      <c r="B3156" s="21" t="s">
        <v>7886</v>
      </c>
      <c r="C3156" s="21" t="s">
        <v>13576</v>
      </c>
      <c r="D3156" s="21" t="s">
        <v>71</v>
      </c>
      <c r="E3156" s="22" t="s">
        <v>13577</v>
      </c>
      <c r="F3156" s="22" t="s">
        <v>7886</v>
      </c>
      <c r="G3156" s="21" t="s">
        <v>13578</v>
      </c>
      <c r="H3156" s="21" t="s">
        <v>13579</v>
      </c>
      <c r="I3156" s="12" t="s">
        <v>13589</v>
      </c>
      <c r="J3156" s="12" t="s">
        <v>13640</v>
      </c>
      <c r="K3156" s="12"/>
      <c r="L3156" s="12" t="s">
        <v>13701</v>
      </c>
      <c r="M3156" s="12" t="s">
        <v>13702</v>
      </c>
    </row>
    <row r="3157" spans="1:13" ht="39.6">
      <c r="A3157" s="21" t="s">
        <v>13575</v>
      </c>
      <c r="B3157" s="21" t="s">
        <v>7886</v>
      </c>
      <c r="C3157" s="21" t="s">
        <v>13576</v>
      </c>
      <c r="D3157" s="21" t="s">
        <v>71</v>
      </c>
      <c r="E3157" s="22" t="s">
        <v>13577</v>
      </c>
      <c r="F3157" s="22" t="s">
        <v>7886</v>
      </c>
      <c r="G3157" s="21" t="s">
        <v>13578</v>
      </c>
      <c r="H3157" s="21" t="s">
        <v>13579</v>
      </c>
      <c r="I3157" s="12" t="s">
        <v>13590</v>
      </c>
      <c r="J3157" s="12" t="s">
        <v>13641</v>
      </c>
      <c r="K3157" s="12"/>
      <c r="L3157" s="12" t="s">
        <v>13703</v>
      </c>
      <c r="M3157" s="12" t="s">
        <v>13704</v>
      </c>
    </row>
    <row r="3158" spans="1:13" ht="39.6">
      <c r="A3158" s="21" t="s">
        <v>13575</v>
      </c>
      <c r="B3158" s="21" t="s">
        <v>7886</v>
      </c>
      <c r="C3158" s="21" t="s">
        <v>13576</v>
      </c>
      <c r="D3158" s="21" t="s">
        <v>71</v>
      </c>
      <c r="E3158" s="22" t="s">
        <v>13577</v>
      </c>
      <c r="F3158" s="22" t="s">
        <v>7886</v>
      </c>
      <c r="G3158" s="21" t="s">
        <v>13578</v>
      </c>
      <c r="H3158" s="21" t="s">
        <v>13579</v>
      </c>
      <c r="I3158" s="12" t="s">
        <v>13591</v>
      </c>
      <c r="J3158" s="12" t="s">
        <v>13642</v>
      </c>
      <c r="K3158" s="12"/>
      <c r="L3158" s="12" t="s">
        <v>13705</v>
      </c>
      <c r="M3158" s="12" t="s">
        <v>13706</v>
      </c>
    </row>
    <row r="3159" spans="1:13" ht="39.6">
      <c r="A3159" s="21" t="s">
        <v>13575</v>
      </c>
      <c r="B3159" s="21" t="s">
        <v>7886</v>
      </c>
      <c r="C3159" s="21" t="s">
        <v>13576</v>
      </c>
      <c r="D3159" s="21" t="s">
        <v>71</v>
      </c>
      <c r="E3159" s="22" t="s">
        <v>13577</v>
      </c>
      <c r="F3159" s="22" t="s">
        <v>7886</v>
      </c>
      <c r="G3159" s="21" t="s">
        <v>13578</v>
      </c>
      <c r="H3159" s="21" t="s">
        <v>13579</v>
      </c>
      <c r="I3159" s="12" t="s">
        <v>13592</v>
      </c>
      <c r="J3159" s="12" t="s">
        <v>13643</v>
      </c>
      <c r="K3159" s="12"/>
      <c r="L3159" s="12" t="s">
        <v>13707</v>
      </c>
      <c r="M3159" s="12" t="s">
        <v>13708</v>
      </c>
    </row>
    <row r="3160" spans="1:13" ht="39.6">
      <c r="A3160" s="21" t="s">
        <v>13575</v>
      </c>
      <c r="B3160" s="21" t="s">
        <v>7886</v>
      </c>
      <c r="C3160" s="21" t="s">
        <v>13576</v>
      </c>
      <c r="D3160" s="21" t="s">
        <v>71</v>
      </c>
      <c r="E3160" s="22" t="s">
        <v>13577</v>
      </c>
      <c r="F3160" s="22" t="s">
        <v>7886</v>
      </c>
      <c r="G3160" s="21" t="s">
        <v>13578</v>
      </c>
      <c r="H3160" s="21" t="s">
        <v>13579</v>
      </c>
      <c r="I3160" s="12" t="s">
        <v>13593</v>
      </c>
      <c r="J3160" s="12" t="s">
        <v>13644</v>
      </c>
      <c r="K3160" s="12"/>
      <c r="L3160" s="12" t="s">
        <v>13709</v>
      </c>
      <c r="M3160" s="12" t="s">
        <v>13710</v>
      </c>
    </row>
    <row r="3161" spans="1:13" ht="39.6">
      <c r="A3161" s="21" t="s">
        <v>13575</v>
      </c>
      <c r="B3161" s="21" t="s">
        <v>7886</v>
      </c>
      <c r="C3161" s="21" t="s">
        <v>13576</v>
      </c>
      <c r="D3161" s="21" t="s">
        <v>71</v>
      </c>
      <c r="E3161" s="22" t="s">
        <v>13577</v>
      </c>
      <c r="F3161" s="22" t="s">
        <v>7886</v>
      </c>
      <c r="G3161" s="21" t="s">
        <v>13578</v>
      </c>
      <c r="H3161" s="21" t="s">
        <v>13579</v>
      </c>
      <c r="I3161" s="12" t="s">
        <v>13594</v>
      </c>
      <c r="J3161" s="12" t="s">
        <v>13645</v>
      </c>
      <c r="K3161" s="12"/>
      <c r="L3161" s="12" t="s">
        <v>13711</v>
      </c>
      <c r="M3161" s="12" t="s">
        <v>13712</v>
      </c>
    </row>
    <row r="3162" spans="1:13" ht="39.6">
      <c r="A3162" s="21" t="s">
        <v>13575</v>
      </c>
      <c r="B3162" s="21" t="s">
        <v>7886</v>
      </c>
      <c r="C3162" s="21" t="s">
        <v>13576</v>
      </c>
      <c r="D3162" s="21" t="s">
        <v>71</v>
      </c>
      <c r="E3162" s="22" t="s">
        <v>13577</v>
      </c>
      <c r="F3162" s="22" t="s">
        <v>7886</v>
      </c>
      <c r="G3162" s="21" t="s">
        <v>13578</v>
      </c>
      <c r="H3162" s="21" t="s">
        <v>13579</v>
      </c>
      <c r="I3162" s="12" t="s">
        <v>13595</v>
      </c>
      <c r="J3162" s="12" t="s">
        <v>13646</v>
      </c>
      <c r="K3162" s="12"/>
      <c r="L3162" s="12" t="s">
        <v>13713</v>
      </c>
      <c r="M3162" s="12" t="s">
        <v>13714</v>
      </c>
    </row>
    <row r="3163" spans="1:13" ht="39.6">
      <c r="A3163" s="21" t="s">
        <v>13575</v>
      </c>
      <c r="B3163" s="21" t="s">
        <v>7886</v>
      </c>
      <c r="C3163" s="21" t="s">
        <v>13576</v>
      </c>
      <c r="D3163" s="21" t="s">
        <v>71</v>
      </c>
      <c r="E3163" s="22" t="s">
        <v>13577</v>
      </c>
      <c r="F3163" s="22" t="s">
        <v>7886</v>
      </c>
      <c r="G3163" s="21" t="s">
        <v>13578</v>
      </c>
      <c r="H3163" s="21" t="s">
        <v>13579</v>
      </c>
      <c r="I3163" s="12" t="s">
        <v>13596</v>
      </c>
      <c r="J3163" s="12" t="s">
        <v>13647</v>
      </c>
      <c r="K3163" s="12"/>
      <c r="L3163" s="12" t="s">
        <v>13715</v>
      </c>
      <c r="M3163" s="12" t="s">
        <v>13716</v>
      </c>
    </row>
    <row r="3164" spans="1:13" ht="39.6">
      <c r="A3164" s="21" t="s">
        <v>13575</v>
      </c>
      <c r="B3164" s="21" t="s">
        <v>7886</v>
      </c>
      <c r="C3164" s="21" t="s">
        <v>13576</v>
      </c>
      <c r="D3164" s="21" t="s">
        <v>71</v>
      </c>
      <c r="E3164" s="22" t="s">
        <v>13577</v>
      </c>
      <c r="F3164" s="22" t="s">
        <v>7886</v>
      </c>
      <c r="G3164" s="21" t="s">
        <v>13578</v>
      </c>
      <c r="H3164" s="21" t="s">
        <v>13579</v>
      </c>
      <c r="I3164" s="12" t="s">
        <v>13597</v>
      </c>
      <c r="J3164" s="12" t="s">
        <v>13648</v>
      </c>
      <c r="K3164" s="12"/>
      <c r="L3164" s="12" t="s">
        <v>13717</v>
      </c>
      <c r="M3164" s="12" t="s">
        <v>13718</v>
      </c>
    </row>
    <row r="3165" spans="1:13" ht="39.6">
      <c r="A3165" s="21" t="s">
        <v>13575</v>
      </c>
      <c r="B3165" s="21" t="s">
        <v>7886</v>
      </c>
      <c r="C3165" s="21" t="s">
        <v>13576</v>
      </c>
      <c r="D3165" s="21" t="s">
        <v>71</v>
      </c>
      <c r="E3165" s="22" t="s">
        <v>13577</v>
      </c>
      <c r="F3165" s="22" t="s">
        <v>7886</v>
      </c>
      <c r="G3165" s="21" t="s">
        <v>13578</v>
      </c>
      <c r="H3165" s="21" t="s">
        <v>13579</v>
      </c>
      <c r="I3165" s="12" t="s">
        <v>13598</v>
      </c>
      <c r="J3165" s="12" t="s">
        <v>13649</v>
      </c>
      <c r="K3165" s="12"/>
      <c r="L3165" s="12" t="s">
        <v>13719</v>
      </c>
      <c r="M3165" s="12" t="s">
        <v>13720</v>
      </c>
    </row>
    <row r="3166" spans="1:13" ht="39.6">
      <c r="A3166" s="21" t="s">
        <v>13575</v>
      </c>
      <c r="B3166" s="21" t="s">
        <v>7886</v>
      </c>
      <c r="C3166" s="21" t="s">
        <v>13576</v>
      </c>
      <c r="D3166" s="21" t="s">
        <v>71</v>
      </c>
      <c r="E3166" s="22" t="s">
        <v>13577</v>
      </c>
      <c r="F3166" s="22" t="s">
        <v>7886</v>
      </c>
      <c r="G3166" s="21" t="s">
        <v>13578</v>
      </c>
      <c r="H3166" s="21" t="s">
        <v>13579</v>
      </c>
      <c r="I3166" s="12" t="s">
        <v>13599</v>
      </c>
      <c r="J3166" s="12" t="s">
        <v>13650</v>
      </c>
      <c r="K3166" s="12"/>
      <c r="L3166" s="12" t="s">
        <v>13721</v>
      </c>
      <c r="M3166" s="12" t="s">
        <v>13722</v>
      </c>
    </row>
    <row r="3167" spans="1:13" ht="39.6">
      <c r="A3167" s="21" t="s">
        <v>13575</v>
      </c>
      <c r="B3167" s="21" t="s">
        <v>7886</v>
      </c>
      <c r="C3167" s="21" t="s">
        <v>13576</v>
      </c>
      <c r="D3167" s="21" t="s">
        <v>71</v>
      </c>
      <c r="E3167" s="22" t="s">
        <v>13577</v>
      </c>
      <c r="F3167" s="22" t="s">
        <v>7886</v>
      </c>
      <c r="G3167" s="21" t="s">
        <v>13578</v>
      </c>
      <c r="H3167" s="21" t="s">
        <v>13579</v>
      </c>
      <c r="I3167" s="12" t="s">
        <v>13600</v>
      </c>
      <c r="J3167" s="12" t="s">
        <v>13651</v>
      </c>
      <c r="K3167" s="12"/>
      <c r="L3167" s="12" t="s">
        <v>13723</v>
      </c>
      <c r="M3167" s="12" t="s">
        <v>13724</v>
      </c>
    </row>
    <row r="3168" spans="1:13" ht="39.6">
      <c r="A3168" s="21" t="s">
        <v>13575</v>
      </c>
      <c r="B3168" s="21" t="s">
        <v>7886</v>
      </c>
      <c r="C3168" s="21" t="s">
        <v>13576</v>
      </c>
      <c r="D3168" s="21" t="s">
        <v>71</v>
      </c>
      <c r="E3168" s="22" t="s">
        <v>13577</v>
      </c>
      <c r="F3168" s="22" t="s">
        <v>7886</v>
      </c>
      <c r="G3168" s="21" t="s">
        <v>13578</v>
      </c>
      <c r="H3168" s="21" t="s">
        <v>13579</v>
      </c>
      <c r="I3168" s="12" t="s">
        <v>13601</v>
      </c>
      <c r="J3168" s="12" t="s">
        <v>13652</v>
      </c>
      <c r="K3168" s="12"/>
      <c r="L3168" s="12" t="s">
        <v>13725</v>
      </c>
      <c r="M3168" s="12" t="s">
        <v>13726</v>
      </c>
    </row>
    <row r="3169" spans="1:13" ht="39.6">
      <c r="A3169" s="21" t="s">
        <v>13575</v>
      </c>
      <c r="B3169" s="21" t="s">
        <v>7886</v>
      </c>
      <c r="C3169" s="21" t="s">
        <v>13576</v>
      </c>
      <c r="D3169" s="21" t="s">
        <v>71</v>
      </c>
      <c r="E3169" s="22" t="s">
        <v>13577</v>
      </c>
      <c r="F3169" s="22" t="s">
        <v>7886</v>
      </c>
      <c r="G3169" s="21" t="s">
        <v>13578</v>
      </c>
      <c r="H3169" s="21" t="s">
        <v>13579</v>
      </c>
      <c r="I3169" s="12" t="s">
        <v>13602</v>
      </c>
      <c r="J3169" s="12" t="s">
        <v>13653</v>
      </c>
      <c r="K3169" s="12"/>
      <c r="L3169" s="12" t="s">
        <v>13727</v>
      </c>
      <c r="M3169" s="12" t="s">
        <v>13728</v>
      </c>
    </row>
    <row r="3170" spans="1:13" ht="39.6">
      <c r="A3170" s="21" t="s">
        <v>13575</v>
      </c>
      <c r="B3170" s="21" t="s">
        <v>7886</v>
      </c>
      <c r="C3170" s="21" t="s">
        <v>13576</v>
      </c>
      <c r="D3170" s="21" t="s">
        <v>71</v>
      </c>
      <c r="E3170" s="22" t="s">
        <v>13577</v>
      </c>
      <c r="F3170" s="22" t="s">
        <v>7886</v>
      </c>
      <c r="G3170" s="21" t="s">
        <v>13578</v>
      </c>
      <c r="H3170" s="21" t="s">
        <v>13579</v>
      </c>
      <c r="I3170" s="12" t="s">
        <v>13550</v>
      </c>
      <c r="J3170" s="12" t="s">
        <v>13557</v>
      </c>
      <c r="K3170" s="12"/>
      <c r="L3170" s="12" t="s">
        <v>13567</v>
      </c>
      <c r="M3170" s="12" t="s">
        <v>13568</v>
      </c>
    </row>
    <row r="3171" spans="1:13" ht="39.6">
      <c r="A3171" s="21" t="s">
        <v>13575</v>
      </c>
      <c r="B3171" s="21" t="s">
        <v>7886</v>
      </c>
      <c r="C3171" s="21" t="s">
        <v>13576</v>
      </c>
      <c r="D3171" s="21" t="s">
        <v>71</v>
      </c>
      <c r="E3171" s="22" t="s">
        <v>13577</v>
      </c>
      <c r="F3171" s="22" t="s">
        <v>7886</v>
      </c>
      <c r="G3171" s="21" t="s">
        <v>13578</v>
      </c>
      <c r="H3171" s="21" t="s">
        <v>13579</v>
      </c>
      <c r="I3171" s="12" t="s">
        <v>13603</v>
      </c>
      <c r="J3171" s="12" t="s">
        <v>13654</v>
      </c>
      <c r="K3171" s="12"/>
      <c r="L3171" s="12" t="s">
        <v>13729</v>
      </c>
      <c r="M3171" s="12" t="s">
        <v>13730</v>
      </c>
    </row>
    <row r="3172" spans="1:13" ht="39.6">
      <c r="A3172" s="21" t="s">
        <v>13575</v>
      </c>
      <c r="B3172" s="21" t="s">
        <v>7886</v>
      </c>
      <c r="C3172" s="21" t="s">
        <v>13576</v>
      </c>
      <c r="D3172" s="21" t="s">
        <v>71</v>
      </c>
      <c r="E3172" s="22" t="s">
        <v>13577</v>
      </c>
      <c r="F3172" s="22" t="s">
        <v>7886</v>
      </c>
      <c r="G3172" s="21" t="s">
        <v>13578</v>
      </c>
      <c r="H3172" s="21" t="s">
        <v>13579</v>
      </c>
      <c r="I3172" s="12" t="s">
        <v>13604</v>
      </c>
      <c r="J3172" s="12" t="s">
        <v>13655</v>
      </c>
      <c r="K3172" s="12"/>
      <c r="L3172" s="12" t="s">
        <v>13731</v>
      </c>
      <c r="M3172" s="12" t="s">
        <v>13732</v>
      </c>
    </row>
    <row r="3173" spans="1:13" ht="39.6">
      <c r="A3173" s="21" t="s">
        <v>13575</v>
      </c>
      <c r="B3173" s="21" t="s">
        <v>7886</v>
      </c>
      <c r="C3173" s="21" t="s">
        <v>13576</v>
      </c>
      <c r="D3173" s="21" t="s">
        <v>71</v>
      </c>
      <c r="E3173" s="22" t="s">
        <v>13577</v>
      </c>
      <c r="F3173" s="22" t="s">
        <v>7886</v>
      </c>
      <c r="G3173" s="21" t="s">
        <v>13578</v>
      </c>
      <c r="H3173" s="21" t="s">
        <v>13579</v>
      </c>
      <c r="I3173" s="12" t="s">
        <v>13605</v>
      </c>
      <c r="J3173" s="12" t="s">
        <v>13656</v>
      </c>
      <c r="K3173" s="12"/>
      <c r="L3173" s="12" t="s">
        <v>13733</v>
      </c>
      <c r="M3173" s="12" t="s">
        <v>13734</v>
      </c>
    </row>
    <row r="3174" spans="1:13" ht="39.6">
      <c r="A3174" s="21" t="s">
        <v>13575</v>
      </c>
      <c r="B3174" s="21" t="s">
        <v>7886</v>
      </c>
      <c r="C3174" s="21" t="s">
        <v>13576</v>
      </c>
      <c r="D3174" s="21" t="s">
        <v>71</v>
      </c>
      <c r="E3174" s="22" t="s">
        <v>13577</v>
      </c>
      <c r="F3174" s="22" t="s">
        <v>7886</v>
      </c>
      <c r="G3174" s="21" t="s">
        <v>13578</v>
      </c>
      <c r="H3174" s="21" t="s">
        <v>13579</v>
      </c>
      <c r="I3174" s="12" t="s">
        <v>13606</v>
      </c>
      <c r="J3174" s="12" t="s">
        <v>13657</v>
      </c>
      <c r="K3174" s="12"/>
      <c r="L3174" s="12" t="s">
        <v>13735</v>
      </c>
      <c r="M3174" s="12" t="s">
        <v>13736</v>
      </c>
    </row>
    <row r="3175" spans="1:13" ht="39.6">
      <c r="A3175" s="21" t="s">
        <v>13575</v>
      </c>
      <c r="B3175" s="21" t="s">
        <v>7886</v>
      </c>
      <c r="C3175" s="21" t="s">
        <v>13576</v>
      </c>
      <c r="D3175" s="21" t="s">
        <v>71</v>
      </c>
      <c r="E3175" s="22" t="s">
        <v>13577</v>
      </c>
      <c r="F3175" s="22" t="s">
        <v>7886</v>
      </c>
      <c r="G3175" s="21" t="s">
        <v>13578</v>
      </c>
      <c r="H3175" s="21" t="s">
        <v>13579</v>
      </c>
      <c r="I3175" s="12" t="s">
        <v>13607</v>
      </c>
      <c r="J3175" s="12" t="s">
        <v>13658</v>
      </c>
      <c r="K3175" s="12"/>
      <c r="L3175" s="12" t="s">
        <v>13737</v>
      </c>
      <c r="M3175" s="12" t="s">
        <v>13738</v>
      </c>
    </row>
    <row r="3176" spans="1:13" ht="39.6">
      <c r="A3176" s="21" t="s">
        <v>13575</v>
      </c>
      <c r="B3176" s="21" t="s">
        <v>7886</v>
      </c>
      <c r="C3176" s="21" t="s">
        <v>13576</v>
      </c>
      <c r="D3176" s="21" t="s">
        <v>71</v>
      </c>
      <c r="E3176" s="22" t="s">
        <v>13577</v>
      </c>
      <c r="F3176" s="22" t="s">
        <v>7886</v>
      </c>
      <c r="G3176" s="21" t="s">
        <v>13578</v>
      </c>
      <c r="H3176" s="21" t="s">
        <v>13579</v>
      </c>
      <c r="I3176" s="12" t="s">
        <v>13608</v>
      </c>
      <c r="J3176" s="12" t="s">
        <v>13659</v>
      </c>
      <c r="K3176" s="12"/>
      <c r="L3176" s="12" t="s">
        <v>13739</v>
      </c>
      <c r="M3176" s="12" t="s">
        <v>13740</v>
      </c>
    </row>
    <row r="3177" spans="1:13" ht="39.6">
      <c r="A3177" s="21" t="s">
        <v>13575</v>
      </c>
      <c r="B3177" s="21" t="s">
        <v>7886</v>
      </c>
      <c r="C3177" s="21" t="s">
        <v>13576</v>
      </c>
      <c r="D3177" s="21" t="s">
        <v>71</v>
      </c>
      <c r="E3177" s="22" t="s">
        <v>13577</v>
      </c>
      <c r="F3177" s="22" t="s">
        <v>7886</v>
      </c>
      <c r="G3177" s="21" t="s">
        <v>13578</v>
      </c>
      <c r="H3177" s="21" t="s">
        <v>13579</v>
      </c>
      <c r="I3177" s="12" t="s">
        <v>2634</v>
      </c>
      <c r="J3177" s="12" t="s">
        <v>13660</v>
      </c>
      <c r="K3177" s="12"/>
      <c r="L3177" s="12" t="s">
        <v>13741</v>
      </c>
      <c r="M3177" s="12" t="s">
        <v>13742</v>
      </c>
    </row>
    <row r="3178" spans="1:13" ht="39.6">
      <c r="A3178" s="21" t="s">
        <v>13575</v>
      </c>
      <c r="B3178" s="21" t="s">
        <v>7886</v>
      </c>
      <c r="C3178" s="21" t="s">
        <v>13576</v>
      </c>
      <c r="D3178" s="21" t="s">
        <v>71</v>
      </c>
      <c r="E3178" s="22" t="s">
        <v>13577</v>
      </c>
      <c r="F3178" s="22" t="s">
        <v>7886</v>
      </c>
      <c r="G3178" s="21" t="s">
        <v>13578</v>
      </c>
      <c r="H3178" s="21" t="s">
        <v>13579</v>
      </c>
      <c r="I3178" s="12" t="s">
        <v>13609</v>
      </c>
      <c r="J3178" s="12" t="s">
        <v>13661</v>
      </c>
      <c r="K3178" s="12"/>
      <c r="L3178" s="12" t="s">
        <v>13743</v>
      </c>
      <c r="M3178" s="12" t="s">
        <v>13744</v>
      </c>
    </row>
    <row r="3179" spans="1:13" ht="39.6">
      <c r="A3179" s="21" t="s">
        <v>13575</v>
      </c>
      <c r="B3179" s="21" t="s">
        <v>7886</v>
      </c>
      <c r="C3179" s="21" t="s">
        <v>13576</v>
      </c>
      <c r="D3179" s="21" t="s">
        <v>71</v>
      </c>
      <c r="E3179" s="22" t="s">
        <v>13577</v>
      </c>
      <c r="F3179" s="22" t="s">
        <v>7886</v>
      </c>
      <c r="G3179" s="21" t="s">
        <v>13578</v>
      </c>
      <c r="H3179" s="21" t="s">
        <v>13579</v>
      </c>
      <c r="I3179" s="12" t="s">
        <v>13610</v>
      </c>
      <c r="J3179" s="12" t="s">
        <v>13662</v>
      </c>
      <c r="K3179" s="12"/>
      <c r="L3179" s="12" t="s">
        <v>13745</v>
      </c>
      <c r="M3179" s="12" t="s">
        <v>13746</v>
      </c>
    </row>
    <row r="3180" spans="1:13" ht="39.6">
      <c r="A3180" s="21" t="s">
        <v>13575</v>
      </c>
      <c r="B3180" s="21" t="s">
        <v>7886</v>
      </c>
      <c r="C3180" s="21" t="s">
        <v>13576</v>
      </c>
      <c r="D3180" s="21" t="s">
        <v>71</v>
      </c>
      <c r="E3180" s="22" t="s">
        <v>13577</v>
      </c>
      <c r="F3180" s="22" t="s">
        <v>7886</v>
      </c>
      <c r="G3180" s="21" t="s">
        <v>13578</v>
      </c>
      <c r="H3180" s="21" t="s">
        <v>13579</v>
      </c>
      <c r="I3180" s="12" t="s">
        <v>13611</v>
      </c>
      <c r="J3180" s="12" t="s">
        <v>13663</v>
      </c>
      <c r="K3180" s="12"/>
      <c r="L3180" s="12" t="s">
        <v>13747</v>
      </c>
      <c r="M3180" s="12" t="s">
        <v>13748</v>
      </c>
    </row>
    <row r="3181" spans="1:13" ht="39.6">
      <c r="A3181" s="21" t="s">
        <v>13575</v>
      </c>
      <c r="B3181" s="21" t="s">
        <v>7886</v>
      </c>
      <c r="C3181" s="21" t="s">
        <v>13576</v>
      </c>
      <c r="D3181" s="21" t="s">
        <v>71</v>
      </c>
      <c r="E3181" s="22" t="s">
        <v>13577</v>
      </c>
      <c r="F3181" s="22" t="s">
        <v>7886</v>
      </c>
      <c r="G3181" s="21" t="s">
        <v>13578</v>
      </c>
      <c r="H3181" s="21" t="s">
        <v>13579</v>
      </c>
      <c r="I3181" s="12" t="s">
        <v>13612</v>
      </c>
      <c r="J3181" s="12" t="s">
        <v>13664</v>
      </c>
      <c r="K3181" s="12"/>
      <c r="L3181" s="12" t="s">
        <v>13749</v>
      </c>
      <c r="M3181" s="12" t="s">
        <v>13750</v>
      </c>
    </row>
    <row r="3182" spans="1:13" ht="39.6">
      <c r="A3182" s="21" t="s">
        <v>13575</v>
      </c>
      <c r="B3182" s="21" t="s">
        <v>7886</v>
      </c>
      <c r="C3182" s="21" t="s">
        <v>13576</v>
      </c>
      <c r="D3182" s="21" t="s">
        <v>71</v>
      </c>
      <c r="E3182" s="22" t="s">
        <v>13577</v>
      </c>
      <c r="F3182" s="22" t="s">
        <v>7886</v>
      </c>
      <c r="G3182" s="21" t="s">
        <v>13578</v>
      </c>
      <c r="H3182" s="21" t="s">
        <v>13579</v>
      </c>
      <c r="I3182" s="12" t="s">
        <v>13613</v>
      </c>
      <c r="J3182" s="12" t="s">
        <v>13665</v>
      </c>
      <c r="K3182" s="12"/>
      <c r="L3182" s="12" t="s">
        <v>13751</v>
      </c>
      <c r="M3182" s="12" t="s">
        <v>13752</v>
      </c>
    </row>
    <row r="3183" spans="1:13" ht="39.6">
      <c r="A3183" s="21" t="s">
        <v>13575</v>
      </c>
      <c r="B3183" s="21" t="s">
        <v>7886</v>
      </c>
      <c r="C3183" s="21" t="s">
        <v>13576</v>
      </c>
      <c r="D3183" s="21" t="s">
        <v>71</v>
      </c>
      <c r="E3183" s="22" t="s">
        <v>13577</v>
      </c>
      <c r="F3183" s="22" t="s">
        <v>7886</v>
      </c>
      <c r="G3183" s="21" t="s">
        <v>13578</v>
      </c>
      <c r="H3183" s="21" t="s">
        <v>13579</v>
      </c>
      <c r="I3183" s="12" t="s">
        <v>13614</v>
      </c>
      <c r="J3183" s="12" t="s">
        <v>13666</v>
      </c>
      <c r="K3183" s="12"/>
      <c r="L3183" s="12" t="s">
        <v>13753</v>
      </c>
      <c r="M3183" s="12" t="s">
        <v>13754</v>
      </c>
    </row>
    <row r="3184" spans="1:13" ht="39.6">
      <c r="A3184" s="21" t="s">
        <v>13575</v>
      </c>
      <c r="B3184" s="21" t="s">
        <v>7886</v>
      </c>
      <c r="C3184" s="21" t="s">
        <v>13576</v>
      </c>
      <c r="D3184" s="21" t="s">
        <v>71</v>
      </c>
      <c r="E3184" s="22" t="s">
        <v>13577</v>
      </c>
      <c r="F3184" s="22" t="s">
        <v>7886</v>
      </c>
      <c r="G3184" s="21" t="s">
        <v>13578</v>
      </c>
      <c r="H3184" s="21" t="s">
        <v>13579</v>
      </c>
      <c r="I3184" s="12" t="s">
        <v>13615</v>
      </c>
      <c r="J3184" s="12" t="s">
        <v>13667</v>
      </c>
      <c r="K3184" s="12"/>
      <c r="L3184" s="12" t="s">
        <v>13755</v>
      </c>
      <c r="M3184" s="12" t="s">
        <v>13756</v>
      </c>
    </row>
    <row r="3185" spans="1:13" ht="39.6">
      <c r="A3185" s="21" t="s">
        <v>13575</v>
      </c>
      <c r="B3185" s="21" t="s">
        <v>7886</v>
      </c>
      <c r="C3185" s="21" t="s">
        <v>13576</v>
      </c>
      <c r="D3185" s="21" t="s">
        <v>71</v>
      </c>
      <c r="E3185" s="22" t="s">
        <v>13577</v>
      </c>
      <c r="F3185" s="22" t="s">
        <v>7886</v>
      </c>
      <c r="G3185" s="21" t="s">
        <v>13578</v>
      </c>
      <c r="H3185" s="21" t="s">
        <v>13579</v>
      </c>
      <c r="I3185" s="12" t="s">
        <v>13616</v>
      </c>
      <c r="J3185" s="12" t="s">
        <v>13668</v>
      </c>
      <c r="K3185" s="12"/>
      <c r="L3185" s="12" t="s">
        <v>13757</v>
      </c>
      <c r="M3185" s="12" t="s">
        <v>13758</v>
      </c>
    </row>
    <row r="3186" spans="1:13" ht="39.6">
      <c r="A3186" s="21" t="s">
        <v>13575</v>
      </c>
      <c r="B3186" s="21" t="s">
        <v>7886</v>
      </c>
      <c r="C3186" s="21" t="s">
        <v>13576</v>
      </c>
      <c r="D3186" s="21" t="s">
        <v>71</v>
      </c>
      <c r="E3186" s="22" t="s">
        <v>13577</v>
      </c>
      <c r="F3186" s="22" t="s">
        <v>7886</v>
      </c>
      <c r="G3186" s="21" t="s">
        <v>13578</v>
      </c>
      <c r="H3186" s="21" t="s">
        <v>13579</v>
      </c>
      <c r="I3186" s="12" t="s">
        <v>13617</v>
      </c>
      <c r="J3186" s="12" t="s">
        <v>13669</v>
      </c>
      <c r="K3186" s="12"/>
      <c r="L3186" s="12" t="s">
        <v>13759</v>
      </c>
      <c r="M3186" s="12" t="s">
        <v>13760</v>
      </c>
    </row>
    <row r="3187" spans="1:13" ht="39.6">
      <c r="A3187" s="21" t="s">
        <v>13575</v>
      </c>
      <c r="B3187" s="21" t="s">
        <v>7886</v>
      </c>
      <c r="C3187" s="21" t="s">
        <v>13576</v>
      </c>
      <c r="D3187" s="21" t="s">
        <v>71</v>
      </c>
      <c r="E3187" s="22" t="s">
        <v>13577</v>
      </c>
      <c r="F3187" s="22" t="s">
        <v>7886</v>
      </c>
      <c r="G3187" s="21" t="s">
        <v>13578</v>
      </c>
      <c r="H3187" s="21" t="s">
        <v>13579</v>
      </c>
      <c r="I3187" s="12" t="s">
        <v>13618</v>
      </c>
      <c r="J3187" s="12" t="s">
        <v>13670</v>
      </c>
      <c r="K3187" s="12"/>
      <c r="L3187" s="12" t="s">
        <v>13761</v>
      </c>
      <c r="M3187" s="12" t="s">
        <v>13762</v>
      </c>
    </row>
    <row r="3188" spans="1:13" ht="39.6">
      <c r="A3188" s="21" t="s">
        <v>13575</v>
      </c>
      <c r="B3188" s="21" t="s">
        <v>7886</v>
      </c>
      <c r="C3188" s="21" t="s">
        <v>13576</v>
      </c>
      <c r="D3188" s="21" t="s">
        <v>71</v>
      </c>
      <c r="E3188" s="22" t="s">
        <v>13577</v>
      </c>
      <c r="F3188" s="22" t="s">
        <v>7886</v>
      </c>
      <c r="G3188" s="21" t="s">
        <v>13578</v>
      </c>
      <c r="H3188" s="21" t="s">
        <v>13579</v>
      </c>
      <c r="I3188" s="12" t="s">
        <v>13619</v>
      </c>
      <c r="J3188" s="12" t="s">
        <v>13671</v>
      </c>
      <c r="K3188" s="12"/>
      <c r="L3188" s="12" t="s">
        <v>13763</v>
      </c>
      <c r="M3188" s="12" t="s">
        <v>13764</v>
      </c>
    </row>
    <row r="3189" spans="1:13" ht="39.6">
      <c r="A3189" s="21" t="s">
        <v>13575</v>
      </c>
      <c r="B3189" s="21" t="s">
        <v>7886</v>
      </c>
      <c r="C3189" s="21" t="s">
        <v>13576</v>
      </c>
      <c r="D3189" s="21" t="s">
        <v>71</v>
      </c>
      <c r="E3189" s="22" t="s">
        <v>13577</v>
      </c>
      <c r="F3189" s="22" t="s">
        <v>7886</v>
      </c>
      <c r="G3189" s="21" t="s">
        <v>13578</v>
      </c>
      <c r="H3189" s="21" t="s">
        <v>13579</v>
      </c>
      <c r="I3189" s="12" t="s">
        <v>13620</v>
      </c>
      <c r="J3189" s="12" t="s">
        <v>13672</v>
      </c>
      <c r="K3189" s="12"/>
      <c r="L3189" s="12" t="s">
        <v>13765</v>
      </c>
      <c r="M3189" s="12" t="s">
        <v>13766</v>
      </c>
    </row>
    <row r="3190" spans="1:13" ht="39.6">
      <c r="A3190" s="21" t="s">
        <v>13575</v>
      </c>
      <c r="B3190" s="21" t="s">
        <v>7886</v>
      </c>
      <c r="C3190" s="21" t="s">
        <v>13576</v>
      </c>
      <c r="D3190" s="21" t="s">
        <v>71</v>
      </c>
      <c r="E3190" s="22" t="s">
        <v>13577</v>
      </c>
      <c r="F3190" s="22" t="s">
        <v>7886</v>
      </c>
      <c r="G3190" s="21" t="s">
        <v>13578</v>
      </c>
      <c r="H3190" s="21" t="s">
        <v>13579</v>
      </c>
      <c r="I3190" s="12" t="s">
        <v>13621</v>
      </c>
      <c r="J3190" s="12" t="s">
        <v>13673</v>
      </c>
      <c r="K3190" s="12"/>
      <c r="L3190" s="12" t="s">
        <v>13767</v>
      </c>
      <c r="M3190" s="12" t="s">
        <v>13768</v>
      </c>
    </row>
    <row r="3191" spans="1:13" ht="39.6">
      <c r="A3191" s="21" t="s">
        <v>13575</v>
      </c>
      <c r="B3191" s="21" t="s">
        <v>7886</v>
      </c>
      <c r="C3191" s="21" t="s">
        <v>13576</v>
      </c>
      <c r="D3191" s="21" t="s">
        <v>71</v>
      </c>
      <c r="E3191" s="22" t="s">
        <v>13577</v>
      </c>
      <c r="F3191" s="22" t="s">
        <v>7886</v>
      </c>
      <c r="G3191" s="21" t="s">
        <v>13578</v>
      </c>
      <c r="H3191" s="21" t="s">
        <v>13579</v>
      </c>
      <c r="I3191" s="12" t="s">
        <v>13622</v>
      </c>
      <c r="J3191" s="12" t="s">
        <v>13674</v>
      </c>
      <c r="K3191" s="12"/>
      <c r="L3191" s="12" t="s">
        <v>13769</v>
      </c>
      <c r="M3191" s="12" t="s">
        <v>13770</v>
      </c>
    </row>
    <row r="3192" spans="1:13" ht="39.6">
      <c r="A3192" s="21" t="s">
        <v>13575</v>
      </c>
      <c r="B3192" s="21" t="s">
        <v>7886</v>
      </c>
      <c r="C3192" s="21" t="s">
        <v>13576</v>
      </c>
      <c r="D3192" s="21" t="s">
        <v>71</v>
      </c>
      <c r="E3192" s="22" t="s">
        <v>13577</v>
      </c>
      <c r="F3192" s="22" t="s">
        <v>7886</v>
      </c>
      <c r="G3192" s="21" t="s">
        <v>13578</v>
      </c>
      <c r="H3192" s="21" t="s">
        <v>13579</v>
      </c>
      <c r="I3192" s="12" t="s">
        <v>13623</v>
      </c>
      <c r="J3192" s="12" t="s">
        <v>13675</v>
      </c>
      <c r="K3192" s="12"/>
      <c r="L3192" s="12" t="s">
        <v>13771</v>
      </c>
      <c r="M3192" s="12" t="s">
        <v>13772</v>
      </c>
    </row>
    <row r="3193" spans="1:13" ht="39.6">
      <c r="A3193" s="21" t="s">
        <v>13575</v>
      </c>
      <c r="B3193" s="21" t="s">
        <v>7886</v>
      </c>
      <c r="C3193" s="21" t="s">
        <v>13576</v>
      </c>
      <c r="D3193" s="21" t="s">
        <v>71</v>
      </c>
      <c r="E3193" s="22" t="s">
        <v>13577</v>
      </c>
      <c r="F3193" s="22" t="s">
        <v>7886</v>
      </c>
      <c r="G3193" s="21" t="s">
        <v>13578</v>
      </c>
      <c r="H3193" s="21" t="s">
        <v>13579</v>
      </c>
      <c r="I3193" s="12" t="s">
        <v>13624</v>
      </c>
      <c r="J3193" s="12" t="s">
        <v>13676</v>
      </c>
      <c r="K3193" s="12"/>
      <c r="L3193" s="12" t="s">
        <v>13773</v>
      </c>
      <c r="M3193" s="12" t="s">
        <v>13774</v>
      </c>
    </row>
    <row r="3194" spans="1:13" ht="39.6">
      <c r="A3194" s="21" t="s">
        <v>13575</v>
      </c>
      <c r="B3194" s="21" t="s">
        <v>7886</v>
      </c>
      <c r="C3194" s="21" t="s">
        <v>13576</v>
      </c>
      <c r="D3194" s="21" t="s">
        <v>71</v>
      </c>
      <c r="E3194" s="22" t="s">
        <v>13577</v>
      </c>
      <c r="F3194" s="22" t="s">
        <v>7886</v>
      </c>
      <c r="G3194" s="21" t="s">
        <v>13578</v>
      </c>
      <c r="H3194" s="21" t="s">
        <v>13579</v>
      </c>
      <c r="I3194" s="12" t="s">
        <v>13625</v>
      </c>
      <c r="J3194" s="12" t="s">
        <v>13677</v>
      </c>
      <c r="K3194" s="12"/>
      <c r="L3194" s="12" t="s">
        <v>13775</v>
      </c>
      <c r="M3194" s="12" t="s">
        <v>13776</v>
      </c>
    </row>
    <row r="3195" spans="1:13" ht="39.6">
      <c r="A3195" s="21" t="s">
        <v>13575</v>
      </c>
      <c r="B3195" s="21" t="s">
        <v>7886</v>
      </c>
      <c r="C3195" s="21" t="s">
        <v>13576</v>
      </c>
      <c r="D3195" s="21" t="s">
        <v>71</v>
      </c>
      <c r="E3195" s="22" t="s">
        <v>13577</v>
      </c>
      <c r="F3195" s="22" t="s">
        <v>7886</v>
      </c>
      <c r="G3195" s="21" t="s">
        <v>13578</v>
      </c>
      <c r="H3195" s="21" t="s">
        <v>13579</v>
      </c>
      <c r="I3195" s="12" t="s">
        <v>13626</v>
      </c>
      <c r="J3195" s="12" t="s">
        <v>13678</v>
      </c>
      <c r="K3195" s="12"/>
      <c r="L3195" s="12" t="s">
        <v>13777</v>
      </c>
      <c r="M3195" s="12" t="s">
        <v>13778</v>
      </c>
    </row>
    <row r="3196" spans="1:13" ht="39.6">
      <c r="A3196" s="21" t="s">
        <v>13575</v>
      </c>
      <c r="B3196" s="21" t="s">
        <v>7886</v>
      </c>
      <c r="C3196" s="21" t="s">
        <v>13576</v>
      </c>
      <c r="D3196" s="21" t="s">
        <v>71</v>
      </c>
      <c r="E3196" s="22" t="s">
        <v>13577</v>
      </c>
      <c r="F3196" s="22" t="s">
        <v>7886</v>
      </c>
      <c r="G3196" s="21" t="s">
        <v>13578</v>
      </c>
      <c r="H3196" s="21" t="s">
        <v>13579</v>
      </c>
      <c r="I3196" s="12" t="s">
        <v>13627</v>
      </c>
      <c r="J3196" s="12" t="s">
        <v>13679</v>
      </c>
      <c r="K3196" s="12"/>
      <c r="L3196" s="12" t="s">
        <v>13779</v>
      </c>
      <c r="M3196" s="12" t="s">
        <v>13780</v>
      </c>
    </row>
    <row r="3197" spans="1:13" ht="39.6">
      <c r="A3197" s="21" t="s">
        <v>13575</v>
      </c>
      <c r="B3197" s="21" t="s">
        <v>7886</v>
      </c>
      <c r="C3197" s="21" t="s">
        <v>13576</v>
      </c>
      <c r="D3197" s="21" t="s">
        <v>71</v>
      </c>
      <c r="E3197" s="22" t="s">
        <v>13577</v>
      </c>
      <c r="F3197" s="22" t="s">
        <v>7886</v>
      </c>
      <c r="G3197" s="21" t="s">
        <v>13578</v>
      </c>
      <c r="H3197" s="21" t="s">
        <v>13579</v>
      </c>
      <c r="I3197" s="12" t="s">
        <v>13628</v>
      </c>
      <c r="J3197" s="12" t="s">
        <v>13680</v>
      </c>
      <c r="K3197" s="12"/>
      <c r="L3197" s="12" t="s">
        <v>13781</v>
      </c>
      <c r="M3197" s="12" t="s">
        <v>13782</v>
      </c>
    </row>
    <row r="3198" spans="1:13" ht="39.6">
      <c r="A3198" s="21" t="s">
        <v>13575</v>
      </c>
      <c r="B3198" s="21" t="s">
        <v>7886</v>
      </c>
      <c r="C3198" s="21" t="s">
        <v>13576</v>
      </c>
      <c r="D3198" s="21" t="s">
        <v>71</v>
      </c>
      <c r="E3198" s="22" t="s">
        <v>13577</v>
      </c>
      <c r="F3198" s="22" t="s">
        <v>7886</v>
      </c>
      <c r="G3198" s="21" t="s">
        <v>13578</v>
      </c>
      <c r="H3198" s="21" t="s">
        <v>13579</v>
      </c>
      <c r="I3198" s="12" t="s">
        <v>13629</v>
      </c>
      <c r="J3198" s="12" t="s">
        <v>13681</v>
      </c>
      <c r="K3198" s="12"/>
      <c r="L3198" s="12" t="s">
        <v>13783</v>
      </c>
      <c r="M3198" s="12" t="s">
        <v>13784</v>
      </c>
    </row>
    <row r="3199" spans="1:13" ht="39.6">
      <c r="A3199" s="21" t="s">
        <v>13575</v>
      </c>
      <c r="B3199" s="21" t="s">
        <v>7886</v>
      </c>
      <c r="C3199" s="21" t="s">
        <v>13576</v>
      </c>
      <c r="D3199" s="21" t="s">
        <v>71</v>
      </c>
      <c r="E3199" s="22" t="s">
        <v>13577</v>
      </c>
      <c r="F3199" s="22" t="s">
        <v>7886</v>
      </c>
      <c r="G3199" s="21" t="s">
        <v>13578</v>
      </c>
      <c r="H3199" s="21" t="s">
        <v>13579</v>
      </c>
      <c r="I3199" s="12" t="s">
        <v>13630</v>
      </c>
      <c r="J3199" s="12" t="s">
        <v>13682</v>
      </c>
      <c r="K3199" s="12"/>
      <c r="L3199" s="12" t="s">
        <v>13785</v>
      </c>
      <c r="M3199" s="12" t="s">
        <v>13786</v>
      </c>
    </row>
    <row r="3200" spans="1:13" ht="39.6">
      <c r="A3200" s="21" t="s">
        <v>13912</v>
      </c>
      <c r="B3200" s="21" t="s">
        <v>13879</v>
      </c>
      <c r="C3200" s="21" t="s">
        <v>13880</v>
      </c>
      <c r="D3200" s="21" t="s">
        <v>71</v>
      </c>
      <c r="E3200" s="22" t="s">
        <v>13881</v>
      </c>
      <c r="F3200" s="22" t="s">
        <v>13879</v>
      </c>
      <c r="G3200" s="21" t="s">
        <v>13882</v>
      </c>
      <c r="H3200" s="21" t="s">
        <v>13883</v>
      </c>
      <c r="I3200" s="12" t="s">
        <v>13884</v>
      </c>
      <c r="J3200" s="12" t="s">
        <v>13891</v>
      </c>
      <c r="K3200" s="12"/>
      <c r="L3200" s="12" t="s">
        <v>13898</v>
      </c>
      <c r="M3200" s="12" t="s">
        <v>13899</v>
      </c>
    </row>
    <row r="3201" spans="1:13" ht="39.6">
      <c r="A3201" s="21" t="s">
        <v>13912</v>
      </c>
      <c r="B3201" s="21" t="s">
        <v>13879</v>
      </c>
      <c r="C3201" s="21" t="s">
        <v>13880</v>
      </c>
      <c r="D3201" s="21" t="s">
        <v>71</v>
      </c>
      <c r="E3201" s="22" t="s">
        <v>13881</v>
      </c>
      <c r="F3201" s="22" t="s">
        <v>13879</v>
      </c>
      <c r="G3201" s="21" t="s">
        <v>13882</v>
      </c>
      <c r="H3201" s="21" t="s">
        <v>13883</v>
      </c>
      <c r="I3201" s="12" t="s">
        <v>13885</v>
      </c>
      <c r="J3201" s="12" t="s">
        <v>13892</v>
      </c>
      <c r="K3201" s="12" t="s">
        <v>13900</v>
      </c>
      <c r="L3201" s="12" t="s">
        <v>13901</v>
      </c>
      <c r="M3201" s="12" t="s">
        <v>13900</v>
      </c>
    </row>
    <row r="3202" spans="1:13" ht="39.6">
      <c r="A3202" s="21" t="s">
        <v>13912</v>
      </c>
      <c r="B3202" s="21" t="s">
        <v>13879</v>
      </c>
      <c r="C3202" s="21" t="s">
        <v>13880</v>
      </c>
      <c r="D3202" s="21" t="s">
        <v>71</v>
      </c>
      <c r="E3202" s="22" t="s">
        <v>13881</v>
      </c>
      <c r="F3202" s="22" t="s">
        <v>13879</v>
      </c>
      <c r="G3202" s="21" t="s">
        <v>13882</v>
      </c>
      <c r="H3202" s="21" t="s">
        <v>13883</v>
      </c>
      <c r="I3202" s="12" t="s">
        <v>13886</v>
      </c>
      <c r="J3202" s="12" t="s">
        <v>13893</v>
      </c>
      <c r="K3202" s="12"/>
      <c r="L3202" s="12" t="s">
        <v>13902</v>
      </c>
      <c r="M3202" s="12" t="s">
        <v>13903</v>
      </c>
    </row>
    <row r="3203" spans="1:13" ht="39.6">
      <c r="A3203" s="21" t="s">
        <v>13912</v>
      </c>
      <c r="B3203" s="21" t="s">
        <v>13879</v>
      </c>
      <c r="C3203" s="21" t="s">
        <v>13880</v>
      </c>
      <c r="D3203" s="21" t="s">
        <v>71</v>
      </c>
      <c r="E3203" s="22" t="s">
        <v>13881</v>
      </c>
      <c r="F3203" s="22" t="s">
        <v>13879</v>
      </c>
      <c r="G3203" s="21" t="s">
        <v>13882</v>
      </c>
      <c r="H3203" s="21" t="s">
        <v>13883</v>
      </c>
      <c r="I3203" s="12" t="s">
        <v>13887</v>
      </c>
      <c r="J3203" s="12" t="s">
        <v>13894</v>
      </c>
      <c r="K3203" s="12"/>
      <c r="L3203" s="12" t="s">
        <v>13904</v>
      </c>
      <c r="M3203" s="12" t="s">
        <v>13905</v>
      </c>
    </row>
    <row r="3204" spans="1:13" ht="39.6">
      <c r="A3204" s="21" t="s">
        <v>13912</v>
      </c>
      <c r="B3204" s="21" t="s">
        <v>13879</v>
      </c>
      <c r="C3204" s="21" t="s">
        <v>13880</v>
      </c>
      <c r="D3204" s="21" t="s">
        <v>71</v>
      </c>
      <c r="E3204" s="22" t="s">
        <v>13881</v>
      </c>
      <c r="F3204" s="22" t="s">
        <v>13879</v>
      </c>
      <c r="G3204" s="21" t="s">
        <v>13882</v>
      </c>
      <c r="H3204" s="21" t="s">
        <v>13883</v>
      </c>
      <c r="I3204" s="12" t="s">
        <v>13888</v>
      </c>
      <c r="J3204" s="12" t="s">
        <v>13895</v>
      </c>
      <c r="K3204" s="12"/>
      <c r="L3204" s="12" t="s">
        <v>13906</v>
      </c>
      <c r="M3204" s="12" t="s">
        <v>13907</v>
      </c>
    </row>
    <row r="3205" spans="1:13" ht="39.6">
      <c r="A3205" s="21" t="s">
        <v>13912</v>
      </c>
      <c r="B3205" s="21" t="s">
        <v>13879</v>
      </c>
      <c r="C3205" s="21" t="s">
        <v>13880</v>
      </c>
      <c r="D3205" s="21" t="s">
        <v>71</v>
      </c>
      <c r="E3205" s="22" t="s">
        <v>13881</v>
      </c>
      <c r="F3205" s="22" t="s">
        <v>13879</v>
      </c>
      <c r="G3205" s="21" t="s">
        <v>13882</v>
      </c>
      <c r="H3205" s="21" t="s">
        <v>13883</v>
      </c>
      <c r="I3205" s="12" t="s">
        <v>13889</v>
      </c>
      <c r="J3205" s="12" t="s">
        <v>13896</v>
      </c>
      <c r="K3205" s="12"/>
      <c r="L3205" s="12" t="s">
        <v>13908</v>
      </c>
      <c r="M3205" s="12" t="s">
        <v>13909</v>
      </c>
    </row>
    <row r="3206" spans="1:13" ht="39.6">
      <c r="A3206" s="21" t="s">
        <v>13912</v>
      </c>
      <c r="B3206" s="21" t="s">
        <v>13879</v>
      </c>
      <c r="C3206" s="21" t="s">
        <v>13880</v>
      </c>
      <c r="D3206" s="21" t="s">
        <v>71</v>
      </c>
      <c r="E3206" s="22" t="s">
        <v>13881</v>
      </c>
      <c r="F3206" s="22" t="s">
        <v>13879</v>
      </c>
      <c r="G3206" s="21" t="s">
        <v>13882</v>
      </c>
      <c r="H3206" s="21" t="s">
        <v>13883</v>
      </c>
      <c r="I3206" s="12" t="s">
        <v>13890</v>
      </c>
      <c r="J3206" s="12" t="s">
        <v>13897</v>
      </c>
      <c r="K3206" s="12"/>
      <c r="L3206" s="12" t="s">
        <v>13910</v>
      </c>
      <c r="M3206" s="12" t="s">
        <v>13911</v>
      </c>
    </row>
    <row r="3207" spans="1:13" ht="39.6">
      <c r="A3207" s="12" t="s">
        <v>128</v>
      </c>
      <c r="B3207" s="12" t="s">
        <v>122</v>
      </c>
      <c r="C3207" s="21" t="s">
        <v>119</v>
      </c>
      <c r="D3207" s="12" t="s">
        <v>71</v>
      </c>
      <c r="E3207" s="12" t="s">
        <v>181</v>
      </c>
      <c r="F3207" s="12" t="s">
        <v>122</v>
      </c>
      <c r="G3207" s="12" t="s">
        <v>129</v>
      </c>
      <c r="H3207" s="12" t="s">
        <v>130</v>
      </c>
      <c r="I3207" s="12" t="s">
        <v>143</v>
      </c>
      <c r="J3207" s="12" t="s">
        <v>131</v>
      </c>
      <c r="K3207" s="12"/>
      <c r="L3207" s="12" t="s">
        <v>155</v>
      </c>
      <c r="M3207" s="12" t="s">
        <v>156</v>
      </c>
    </row>
    <row r="3208" spans="1:13" ht="39.6">
      <c r="A3208" s="12" t="s">
        <v>128</v>
      </c>
      <c r="B3208" s="12" t="s">
        <v>122</v>
      </c>
      <c r="C3208" s="21" t="s">
        <v>119</v>
      </c>
      <c r="D3208" s="12" t="s">
        <v>71</v>
      </c>
      <c r="E3208" s="12" t="s">
        <v>181</v>
      </c>
      <c r="F3208" s="12" t="s">
        <v>122</v>
      </c>
      <c r="G3208" s="12" t="s">
        <v>129</v>
      </c>
      <c r="H3208" s="12" t="s">
        <v>130</v>
      </c>
      <c r="I3208" s="12" t="s">
        <v>144</v>
      </c>
      <c r="J3208" s="12" t="s">
        <v>132</v>
      </c>
      <c r="K3208" s="12"/>
      <c r="L3208" s="12" t="s">
        <v>157</v>
      </c>
      <c r="M3208" s="12" t="s">
        <v>158</v>
      </c>
    </row>
    <row r="3209" spans="1:13" ht="39.6">
      <c r="A3209" s="12" t="s">
        <v>128</v>
      </c>
      <c r="B3209" s="12" t="s">
        <v>122</v>
      </c>
      <c r="C3209" s="21" t="s">
        <v>119</v>
      </c>
      <c r="D3209" s="12" t="s">
        <v>71</v>
      </c>
      <c r="E3209" s="12" t="s">
        <v>181</v>
      </c>
      <c r="F3209" s="12" t="s">
        <v>122</v>
      </c>
      <c r="G3209" s="12" t="s">
        <v>129</v>
      </c>
      <c r="H3209" s="12" t="s">
        <v>130</v>
      </c>
      <c r="I3209" s="12" t="s">
        <v>145</v>
      </c>
      <c r="J3209" s="12" t="s">
        <v>133</v>
      </c>
      <c r="K3209" s="12" t="s">
        <v>159</v>
      </c>
      <c r="L3209" s="12" t="s">
        <v>160</v>
      </c>
      <c r="M3209" s="12" t="s">
        <v>161</v>
      </c>
    </row>
    <row r="3210" spans="1:13" ht="39.6">
      <c r="A3210" s="12" t="s">
        <v>128</v>
      </c>
      <c r="B3210" s="12" t="s">
        <v>122</v>
      </c>
      <c r="C3210" s="21" t="s">
        <v>119</v>
      </c>
      <c r="D3210" s="12" t="s">
        <v>71</v>
      </c>
      <c r="E3210" s="12" t="s">
        <v>181</v>
      </c>
      <c r="F3210" s="12" t="s">
        <v>122</v>
      </c>
      <c r="G3210" s="12" t="s">
        <v>129</v>
      </c>
      <c r="H3210" s="12" t="s">
        <v>130</v>
      </c>
      <c r="I3210" s="12" t="s">
        <v>146</v>
      </c>
      <c r="J3210" s="12" t="s">
        <v>134</v>
      </c>
      <c r="K3210" s="12"/>
      <c r="L3210" s="12" t="s">
        <v>162</v>
      </c>
      <c r="M3210" s="12" t="s">
        <v>163</v>
      </c>
    </row>
    <row r="3211" spans="1:13" ht="39.6">
      <c r="A3211" s="12" t="s">
        <v>128</v>
      </c>
      <c r="B3211" s="12" t="s">
        <v>122</v>
      </c>
      <c r="C3211" s="21" t="s">
        <v>119</v>
      </c>
      <c r="D3211" s="12" t="s">
        <v>71</v>
      </c>
      <c r="E3211" s="12" t="s">
        <v>181</v>
      </c>
      <c r="F3211" s="12" t="s">
        <v>122</v>
      </c>
      <c r="G3211" s="12" t="s">
        <v>129</v>
      </c>
      <c r="H3211" s="12" t="s">
        <v>130</v>
      </c>
      <c r="I3211" s="12" t="s">
        <v>147</v>
      </c>
      <c r="J3211" s="12" t="s">
        <v>135</v>
      </c>
      <c r="K3211" s="12" t="s">
        <v>164</v>
      </c>
      <c r="L3211" s="12" t="s">
        <v>165</v>
      </c>
      <c r="M3211" s="12" t="s">
        <v>166</v>
      </c>
    </row>
    <row r="3212" spans="1:13" ht="39.6">
      <c r="A3212" s="12" t="s">
        <v>128</v>
      </c>
      <c r="B3212" s="12" t="s">
        <v>122</v>
      </c>
      <c r="C3212" s="21" t="s">
        <v>119</v>
      </c>
      <c r="D3212" s="12" t="s">
        <v>71</v>
      </c>
      <c r="E3212" s="12" t="s">
        <v>181</v>
      </c>
      <c r="F3212" s="12" t="s">
        <v>122</v>
      </c>
      <c r="G3212" s="12" t="s">
        <v>129</v>
      </c>
      <c r="H3212" s="12" t="s">
        <v>130</v>
      </c>
      <c r="I3212" s="12" t="s">
        <v>148</v>
      </c>
      <c r="J3212" s="12" t="s">
        <v>136</v>
      </c>
      <c r="K3212" s="12"/>
      <c r="L3212" s="12" t="s">
        <v>167</v>
      </c>
      <c r="M3212" s="12" t="s">
        <v>168</v>
      </c>
    </row>
    <row r="3213" spans="1:13" ht="39.6">
      <c r="A3213" s="12" t="s">
        <v>128</v>
      </c>
      <c r="B3213" s="12" t="s">
        <v>122</v>
      </c>
      <c r="C3213" s="21" t="s">
        <v>119</v>
      </c>
      <c r="D3213" s="12" t="s">
        <v>71</v>
      </c>
      <c r="E3213" s="12" t="s">
        <v>181</v>
      </c>
      <c r="F3213" s="12" t="s">
        <v>122</v>
      </c>
      <c r="G3213" s="12" t="s">
        <v>129</v>
      </c>
      <c r="H3213" s="12" t="s">
        <v>130</v>
      </c>
      <c r="I3213" s="12" t="s">
        <v>149</v>
      </c>
      <c r="J3213" s="12" t="s">
        <v>137</v>
      </c>
      <c r="K3213" s="12"/>
      <c r="L3213" s="12" t="s">
        <v>169</v>
      </c>
      <c r="M3213" s="12" t="s">
        <v>170</v>
      </c>
    </row>
    <row r="3214" spans="1:13" ht="39.6">
      <c r="A3214" s="12" t="s">
        <v>128</v>
      </c>
      <c r="B3214" s="12" t="s">
        <v>122</v>
      </c>
      <c r="C3214" s="21" t="s">
        <v>119</v>
      </c>
      <c r="D3214" s="12" t="s">
        <v>71</v>
      </c>
      <c r="E3214" s="12" t="s">
        <v>181</v>
      </c>
      <c r="F3214" s="12" t="s">
        <v>122</v>
      </c>
      <c r="G3214" s="12" t="s">
        <v>129</v>
      </c>
      <c r="H3214" s="12" t="s">
        <v>130</v>
      </c>
      <c r="I3214" s="12" t="s">
        <v>150</v>
      </c>
      <c r="J3214" s="12" t="s">
        <v>138</v>
      </c>
      <c r="K3214" s="12"/>
      <c r="L3214" s="12" t="s">
        <v>171</v>
      </c>
      <c r="M3214" s="12" t="s">
        <v>172</v>
      </c>
    </row>
    <row r="3215" spans="1:13" ht="79.2">
      <c r="A3215" s="12" t="s">
        <v>128</v>
      </c>
      <c r="B3215" s="12" t="s">
        <v>122</v>
      </c>
      <c r="C3215" s="21" t="s">
        <v>119</v>
      </c>
      <c r="D3215" s="12" t="s">
        <v>71</v>
      </c>
      <c r="E3215" s="12" t="s">
        <v>181</v>
      </c>
      <c r="F3215" s="12" t="s">
        <v>122</v>
      </c>
      <c r="G3215" s="12" t="s">
        <v>129</v>
      </c>
      <c r="H3215" s="12" t="s">
        <v>130</v>
      </c>
      <c r="I3215" s="12" t="s">
        <v>151</v>
      </c>
      <c r="J3215" s="12" t="s">
        <v>139</v>
      </c>
      <c r="K3215" s="12"/>
      <c r="L3215" s="12" t="s">
        <v>173</v>
      </c>
      <c r="M3215" s="12" t="s">
        <v>174</v>
      </c>
    </row>
    <row r="3216" spans="1:13" ht="39.6">
      <c r="A3216" s="12" t="s">
        <v>128</v>
      </c>
      <c r="B3216" s="12" t="s">
        <v>122</v>
      </c>
      <c r="C3216" s="21" t="s">
        <v>119</v>
      </c>
      <c r="D3216" s="12" t="s">
        <v>71</v>
      </c>
      <c r="E3216" s="12" t="s">
        <v>181</v>
      </c>
      <c r="F3216" s="12" t="s">
        <v>122</v>
      </c>
      <c r="G3216" s="12" t="s">
        <v>129</v>
      </c>
      <c r="H3216" s="12" t="s">
        <v>130</v>
      </c>
      <c r="I3216" s="12" t="s">
        <v>152</v>
      </c>
      <c r="J3216" s="12" t="s">
        <v>140</v>
      </c>
      <c r="K3216" s="12"/>
      <c r="L3216" s="12" t="s">
        <v>175</v>
      </c>
      <c r="M3216" s="12" t="s">
        <v>176</v>
      </c>
    </row>
    <row r="3217" spans="1:13" ht="39.6">
      <c r="A3217" s="12" t="s">
        <v>128</v>
      </c>
      <c r="B3217" s="12" t="s">
        <v>122</v>
      </c>
      <c r="C3217" s="21" t="s">
        <v>119</v>
      </c>
      <c r="D3217" s="12" t="s">
        <v>71</v>
      </c>
      <c r="E3217" s="12" t="s">
        <v>181</v>
      </c>
      <c r="F3217" s="12" t="s">
        <v>122</v>
      </c>
      <c r="G3217" s="12" t="s">
        <v>129</v>
      </c>
      <c r="H3217" s="12" t="s">
        <v>130</v>
      </c>
      <c r="I3217" s="12" t="s">
        <v>153</v>
      </c>
      <c r="J3217" s="12" t="s">
        <v>141</v>
      </c>
      <c r="K3217" s="12"/>
      <c r="L3217" s="12" t="s">
        <v>177</v>
      </c>
      <c r="M3217" s="12" t="s">
        <v>178</v>
      </c>
    </row>
    <row r="3218" spans="1:13" ht="52.8">
      <c r="A3218" s="12" t="s">
        <v>128</v>
      </c>
      <c r="B3218" s="12" t="s">
        <v>122</v>
      </c>
      <c r="C3218" s="21" t="s">
        <v>119</v>
      </c>
      <c r="D3218" s="12" t="s">
        <v>71</v>
      </c>
      <c r="E3218" s="12" t="s">
        <v>181</v>
      </c>
      <c r="F3218" s="12" t="s">
        <v>122</v>
      </c>
      <c r="G3218" s="12" t="s">
        <v>129</v>
      </c>
      <c r="H3218" s="12" t="s">
        <v>130</v>
      </c>
      <c r="I3218" s="12" t="s">
        <v>154</v>
      </c>
      <c r="J3218" s="12" t="s">
        <v>142</v>
      </c>
      <c r="K3218" s="12"/>
      <c r="L3218" s="12" t="s">
        <v>179</v>
      </c>
      <c r="M3218" s="12" t="s">
        <v>180</v>
      </c>
    </row>
    <row r="3219" spans="1:13" ht="52.8">
      <c r="A3219" s="12" t="s">
        <v>14006</v>
      </c>
      <c r="B3219" s="12" t="s">
        <v>14001</v>
      </c>
      <c r="C3219" s="21" t="s">
        <v>14002</v>
      </c>
      <c r="D3219" s="12" t="s">
        <v>71</v>
      </c>
      <c r="E3219" s="12" t="s">
        <v>14003</v>
      </c>
      <c r="F3219" s="12" t="s">
        <v>14001</v>
      </c>
      <c r="G3219" s="12" t="s">
        <v>14004</v>
      </c>
      <c r="H3219" s="12" t="s">
        <v>14005</v>
      </c>
      <c r="I3219" s="12" t="s">
        <v>14007</v>
      </c>
      <c r="J3219" s="12" t="s">
        <v>14146</v>
      </c>
      <c r="K3219" s="12" t="s">
        <v>14286</v>
      </c>
      <c r="L3219" s="12" t="s">
        <v>14287</v>
      </c>
      <c r="M3219" s="12" t="s">
        <v>14288</v>
      </c>
    </row>
    <row r="3220" spans="1:13" ht="39.6">
      <c r="A3220" s="12" t="s">
        <v>14006</v>
      </c>
      <c r="B3220" s="12" t="s">
        <v>14001</v>
      </c>
      <c r="C3220" s="21" t="s">
        <v>14002</v>
      </c>
      <c r="D3220" s="12" t="s">
        <v>71</v>
      </c>
      <c r="E3220" s="12" t="s">
        <v>14003</v>
      </c>
      <c r="F3220" s="12" t="s">
        <v>14001</v>
      </c>
      <c r="G3220" s="12" t="s">
        <v>14004</v>
      </c>
      <c r="H3220" s="12" t="s">
        <v>14005</v>
      </c>
      <c r="I3220" s="12" t="s">
        <v>14008</v>
      </c>
      <c r="J3220" s="12" t="s">
        <v>14147</v>
      </c>
      <c r="K3220" s="12"/>
      <c r="L3220" s="12" t="s">
        <v>14289</v>
      </c>
      <c r="M3220" s="12" t="s">
        <v>14290</v>
      </c>
    </row>
    <row r="3221" spans="1:13" ht="39.6">
      <c r="A3221" s="12" t="s">
        <v>14006</v>
      </c>
      <c r="B3221" s="12" t="s">
        <v>14001</v>
      </c>
      <c r="C3221" s="21" t="s">
        <v>14002</v>
      </c>
      <c r="D3221" s="12" t="s">
        <v>71</v>
      </c>
      <c r="E3221" s="12" t="s">
        <v>14003</v>
      </c>
      <c r="F3221" s="12" t="s">
        <v>14001</v>
      </c>
      <c r="G3221" s="12" t="s">
        <v>14004</v>
      </c>
      <c r="H3221" s="12" t="s">
        <v>14005</v>
      </c>
      <c r="I3221" s="12" t="s">
        <v>14009</v>
      </c>
      <c r="J3221" s="12" t="s">
        <v>14148</v>
      </c>
      <c r="K3221" s="12"/>
      <c r="L3221" s="12" t="s">
        <v>14291</v>
      </c>
      <c r="M3221" s="12" t="s">
        <v>14292</v>
      </c>
    </row>
    <row r="3222" spans="1:13" ht="39.6">
      <c r="A3222" s="12" t="s">
        <v>14006</v>
      </c>
      <c r="B3222" s="12" t="s">
        <v>14001</v>
      </c>
      <c r="C3222" s="21" t="s">
        <v>14002</v>
      </c>
      <c r="D3222" s="12" t="s">
        <v>71</v>
      </c>
      <c r="E3222" s="12" t="s">
        <v>14003</v>
      </c>
      <c r="F3222" s="12" t="s">
        <v>14001</v>
      </c>
      <c r="G3222" s="12" t="s">
        <v>14004</v>
      </c>
      <c r="H3222" s="12" t="s">
        <v>14005</v>
      </c>
      <c r="I3222" s="12" t="s">
        <v>14010</v>
      </c>
      <c r="J3222" s="12" t="s">
        <v>14149</v>
      </c>
      <c r="K3222" s="12"/>
      <c r="L3222" s="12" t="s">
        <v>14293</v>
      </c>
      <c r="M3222" s="12" t="s">
        <v>14294</v>
      </c>
    </row>
    <row r="3223" spans="1:13" ht="39.6">
      <c r="A3223" s="12" t="s">
        <v>14006</v>
      </c>
      <c r="B3223" s="12" t="s">
        <v>14001</v>
      </c>
      <c r="C3223" s="21" t="s">
        <v>14002</v>
      </c>
      <c r="D3223" s="12" t="s">
        <v>71</v>
      </c>
      <c r="E3223" s="12" t="s">
        <v>14003</v>
      </c>
      <c r="F3223" s="12" t="s">
        <v>14001</v>
      </c>
      <c r="G3223" s="12" t="s">
        <v>14004</v>
      </c>
      <c r="H3223" s="12" t="s">
        <v>14005</v>
      </c>
      <c r="I3223" s="12" t="s">
        <v>14011</v>
      </c>
      <c r="J3223" s="12" t="s">
        <v>14150</v>
      </c>
      <c r="K3223" s="12"/>
      <c r="L3223" s="12" t="s">
        <v>14295</v>
      </c>
      <c r="M3223" s="12" t="s">
        <v>14296</v>
      </c>
    </row>
    <row r="3224" spans="1:13" ht="39.6">
      <c r="A3224" s="12" t="s">
        <v>14006</v>
      </c>
      <c r="B3224" s="12" t="s">
        <v>14001</v>
      </c>
      <c r="C3224" s="21" t="s">
        <v>14002</v>
      </c>
      <c r="D3224" s="12" t="s">
        <v>71</v>
      </c>
      <c r="E3224" s="12" t="s">
        <v>14003</v>
      </c>
      <c r="F3224" s="12" t="s">
        <v>14001</v>
      </c>
      <c r="G3224" s="12" t="s">
        <v>14004</v>
      </c>
      <c r="H3224" s="12" t="s">
        <v>14005</v>
      </c>
      <c r="I3224" s="12" t="s">
        <v>14012</v>
      </c>
      <c r="J3224" s="12" t="s">
        <v>14151</v>
      </c>
      <c r="K3224" s="12"/>
      <c r="L3224" s="12" t="s">
        <v>14297</v>
      </c>
      <c r="M3224" s="12" t="s">
        <v>14298</v>
      </c>
    </row>
    <row r="3225" spans="1:13" ht="39.6">
      <c r="A3225" s="12" t="s">
        <v>14006</v>
      </c>
      <c r="B3225" s="12" t="s">
        <v>14001</v>
      </c>
      <c r="C3225" s="21" t="s">
        <v>14002</v>
      </c>
      <c r="D3225" s="12" t="s">
        <v>71</v>
      </c>
      <c r="E3225" s="12" t="s">
        <v>14003</v>
      </c>
      <c r="F3225" s="12" t="s">
        <v>14001</v>
      </c>
      <c r="G3225" s="12" t="s">
        <v>14004</v>
      </c>
      <c r="H3225" s="12" t="s">
        <v>14005</v>
      </c>
      <c r="I3225" s="12" t="s">
        <v>14013</v>
      </c>
      <c r="J3225" s="12" t="s">
        <v>14152</v>
      </c>
      <c r="K3225" s="12"/>
      <c r="L3225" s="12" t="s">
        <v>14299</v>
      </c>
      <c r="M3225" s="12" t="s">
        <v>14300</v>
      </c>
    </row>
    <row r="3226" spans="1:13" ht="39.6">
      <c r="A3226" s="12" t="s">
        <v>14006</v>
      </c>
      <c r="B3226" s="12" t="s">
        <v>14001</v>
      </c>
      <c r="C3226" s="21" t="s">
        <v>14002</v>
      </c>
      <c r="D3226" s="12" t="s">
        <v>71</v>
      </c>
      <c r="E3226" s="12" t="s">
        <v>14003</v>
      </c>
      <c r="F3226" s="12" t="s">
        <v>14001</v>
      </c>
      <c r="G3226" s="12" t="s">
        <v>14004</v>
      </c>
      <c r="H3226" s="12" t="s">
        <v>14005</v>
      </c>
      <c r="I3226" s="12" t="s">
        <v>14014</v>
      </c>
      <c r="J3226" s="12" t="s">
        <v>14153</v>
      </c>
      <c r="K3226" s="12"/>
      <c r="L3226" s="12" t="s">
        <v>14301</v>
      </c>
      <c r="M3226" s="12" t="s">
        <v>14302</v>
      </c>
    </row>
    <row r="3227" spans="1:13" ht="39.6">
      <c r="A3227" s="12" t="s">
        <v>14006</v>
      </c>
      <c r="B3227" s="12" t="s">
        <v>14001</v>
      </c>
      <c r="C3227" s="21" t="s">
        <v>14002</v>
      </c>
      <c r="D3227" s="12" t="s">
        <v>71</v>
      </c>
      <c r="E3227" s="12" t="s">
        <v>14003</v>
      </c>
      <c r="F3227" s="12" t="s">
        <v>14001</v>
      </c>
      <c r="G3227" s="12" t="s">
        <v>14004</v>
      </c>
      <c r="H3227" s="12" t="s">
        <v>14005</v>
      </c>
      <c r="I3227" s="12" t="s">
        <v>14015</v>
      </c>
      <c r="J3227" s="12" t="s">
        <v>14154</v>
      </c>
      <c r="K3227" s="12"/>
      <c r="L3227" s="12" t="s">
        <v>14303</v>
      </c>
      <c r="M3227" s="12" t="s">
        <v>14304</v>
      </c>
    </row>
    <row r="3228" spans="1:13" ht="52.8">
      <c r="A3228" s="12" t="s">
        <v>14006</v>
      </c>
      <c r="B3228" s="12" t="s">
        <v>14001</v>
      </c>
      <c r="C3228" s="21" t="s">
        <v>14002</v>
      </c>
      <c r="D3228" s="12" t="s">
        <v>71</v>
      </c>
      <c r="E3228" s="12" t="s">
        <v>14003</v>
      </c>
      <c r="F3228" s="12" t="s">
        <v>14001</v>
      </c>
      <c r="G3228" s="12" t="s">
        <v>14004</v>
      </c>
      <c r="H3228" s="12" t="s">
        <v>14005</v>
      </c>
      <c r="I3228" s="12" t="s">
        <v>14016</v>
      </c>
      <c r="J3228" s="12" t="s">
        <v>14155</v>
      </c>
      <c r="K3228" s="12"/>
      <c r="L3228" s="12" t="s">
        <v>14305</v>
      </c>
      <c r="M3228" s="12" t="s">
        <v>14306</v>
      </c>
    </row>
    <row r="3229" spans="1:13" ht="39.6">
      <c r="A3229" s="12" t="s">
        <v>14006</v>
      </c>
      <c r="B3229" s="12" t="s">
        <v>14001</v>
      </c>
      <c r="C3229" s="21" t="s">
        <v>14002</v>
      </c>
      <c r="D3229" s="12" t="s">
        <v>71</v>
      </c>
      <c r="E3229" s="12" t="s">
        <v>14003</v>
      </c>
      <c r="F3229" s="12" t="s">
        <v>14001</v>
      </c>
      <c r="G3229" s="12" t="s">
        <v>14004</v>
      </c>
      <c r="H3229" s="12" t="s">
        <v>14005</v>
      </c>
      <c r="I3229" s="12" t="s">
        <v>14017</v>
      </c>
      <c r="J3229" s="12" t="s">
        <v>14156</v>
      </c>
      <c r="K3229" s="12" t="s">
        <v>14307</v>
      </c>
      <c r="L3229" s="12" t="s">
        <v>14308</v>
      </c>
      <c r="M3229" s="12" t="s">
        <v>14307</v>
      </c>
    </row>
    <row r="3230" spans="1:13" ht="39.6">
      <c r="A3230" s="12" t="s">
        <v>14006</v>
      </c>
      <c r="B3230" s="12" t="s">
        <v>14001</v>
      </c>
      <c r="C3230" s="21" t="s">
        <v>14002</v>
      </c>
      <c r="D3230" s="12" t="s">
        <v>71</v>
      </c>
      <c r="E3230" s="12" t="s">
        <v>14003</v>
      </c>
      <c r="F3230" s="12" t="s">
        <v>14001</v>
      </c>
      <c r="G3230" s="12" t="s">
        <v>14004</v>
      </c>
      <c r="H3230" s="12" t="s">
        <v>14005</v>
      </c>
      <c r="I3230" s="12" t="s">
        <v>14018</v>
      </c>
      <c r="J3230" s="12" t="s">
        <v>14157</v>
      </c>
      <c r="K3230" s="12"/>
      <c r="L3230" s="12" t="s">
        <v>14309</v>
      </c>
      <c r="M3230" s="12" t="s">
        <v>14310</v>
      </c>
    </row>
    <row r="3231" spans="1:13" ht="66">
      <c r="A3231" s="12" t="s">
        <v>14006</v>
      </c>
      <c r="B3231" s="12" t="s">
        <v>14001</v>
      </c>
      <c r="C3231" s="21" t="s">
        <v>14002</v>
      </c>
      <c r="D3231" s="12" t="s">
        <v>71</v>
      </c>
      <c r="E3231" s="12" t="s">
        <v>14003</v>
      </c>
      <c r="F3231" s="12" t="s">
        <v>14001</v>
      </c>
      <c r="G3231" s="12" t="s">
        <v>14004</v>
      </c>
      <c r="H3231" s="12" t="s">
        <v>14005</v>
      </c>
      <c r="I3231" s="12" t="s">
        <v>14019</v>
      </c>
      <c r="J3231" s="12" t="s">
        <v>14158</v>
      </c>
      <c r="K3231" s="12" t="s">
        <v>14311</v>
      </c>
      <c r="L3231" s="12" t="s">
        <v>14312</v>
      </c>
      <c r="M3231" s="12" t="s">
        <v>14313</v>
      </c>
    </row>
    <row r="3232" spans="1:13" ht="39.6">
      <c r="A3232" s="12" t="s">
        <v>14006</v>
      </c>
      <c r="B3232" s="12" t="s">
        <v>14001</v>
      </c>
      <c r="C3232" s="21" t="s">
        <v>14002</v>
      </c>
      <c r="D3232" s="12" t="s">
        <v>71</v>
      </c>
      <c r="E3232" s="12" t="s">
        <v>14003</v>
      </c>
      <c r="F3232" s="12" t="s">
        <v>14001</v>
      </c>
      <c r="G3232" s="12" t="s">
        <v>14004</v>
      </c>
      <c r="H3232" s="12" t="s">
        <v>14005</v>
      </c>
      <c r="I3232" s="12" t="s">
        <v>14020</v>
      </c>
      <c r="J3232" s="12" t="s">
        <v>14159</v>
      </c>
      <c r="K3232" s="12" t="s">
        <v>14314</v>
      </c>
      <c r="L3232" s="12" t="s">
        <v>14315</v>
      </c>
      <c r="M3232" s="12" t="s">
        <v>14316</v>
      </c>
    </row>
    <row r="3233" spans="1:13" ht="39.6">
      <c r="A3233" s="12" t="s">
        <v>14006</v>
      </c>
      <c r="B3233" s="12" t="s">
        <v>14001</v>
      </c>
      <c r="C3233" s="21" t="s">
        <v>14002</v>
      </c>
      <c r="D3233" s="12" t="s">
        <v>71</v>
      </c>
      <c r="E3233" s="12" t="s">
        <v>14003</v>
      </c>
      <c r="F3233" s="12" t="s">
        <v>14001</v>
      </c>
      <c r="G3233" s="12" t="s">
        <v>14004</v>
      </c>
      <c r="H3233" s="12" t="s">
        <v>14005</v>
      </c>
      <c r="I3233" s="12" t="s">
        <v>14021</v>
      </c>
      <c r="J3233" s="12" t="s">
        <v>14160</v>
      </c>
      <c r="K3233" s="12"/>
      <c r="L3233" s="12" t="s">
        <v>14317</v>
      </c>
      <c r="M3233" s="12" t="s">
        <v>14318</v>
      </c>
    </row>
    <row r="3234" spans="1:13" ht="39.6">
      <c r="A3234" s="12" t="s">
        <v>14006</v>
      </c>
      <c r="B3234" s="12" t="s">
        <v>14001</v>
      </c>
      <c r="C3234" s="21" t="s">
        <v>14002</v>
      </c>
      <c r="D3234" s="12" t="s">
        <v>71</v>
      </c>
      <c r="E3234" s="12" t="s">
        <v>14003</v>
      </c>
      <c r="F3234" s="12" t="s">
        <v>14001</v>
      </c>
      <c r="G3234" s="12" t="s">
        <v>14004</v>
      </c>
      <c r="H3234" s="12" t="s">
        <v>14005</v>
      </c>
      <c r="I3234" s="12" t="s">
        <v>14022</v>
      </c>
      <c r="J3234" s="12" t="s">
        <v>14161</v>
      </c>
      <c r="K3234" s="12" t="s">
        <v>14319</v>
      </c>
      <c r="L3234" s="12" t="s">
        <v>14320</v>
      </c>
      <c r="M3234" s="12" t="s">
        <v>14321</v>
      </c>
    </row>
    <row r="3235" spans="1:13" ht="39.6">
      <c r="A3235" s="12" t="s">
        <v>14006</v>
      </c>
      <c r="B3235" s="12" t="s">
        <v>14001</v>
      </c>
      <c r="C3235" s="21" t="s">
        <v>14002</v>
      </c>
      <c r="D3235" s="12" t="s">
        <v>71</v>
      </c>
      <c r="E3235" s="12" t="s">
        <v>14003</v>
      </c>
      <c r="F3235" s="12" t="s">
        <v>14001</v>
      </c>
      <c r="G3235" s="12" t="s">
        <v>14004</v>
      </c>
      <c r="H3235" s="12" t="s">
        <v>14005</v>
      </c>
      <c r="I3235" s="12" t="s">
        <v>14023</v>
      </c>
      <c r="J3235" s="12" t="s">
        <v>14162</v>
      </c>
      <c r="K3235" s="12"/>
      <c r="L3235" s="12" t="s">
        <v>14322</v>
      </c>
      <c r="M3235" s="12" t="s">
        <v>14323</v>
      </c>
    </row>
    <row r="3236" spans="1:13" ht="39.6">
      <c r="A3236" s="12" t="s">
        <v>14006</v>
      </c>
      <c r="B3236" s="12" t="s">
        <v>14001</v>
      </c>
      <c r="C3236" s="21" t="s">
        <v>14002</v>
      </c>
      <c r="D3236" s="12" t="s">
        <v>71</v>
      </c>
      <c r="E3236" s="12" t="s">
        <v>14003</v>
      </c>
      <c r="F3236" s="12" t="s">
        <v>14001</v>
      </c>
      <c r="G3236" s="12" t="s">
        <v>14004</v>
      </c>
      <c r="H3236" s="12" t="s">
        <v>14005</v>
      </c>
      <c r="I3236" s="12" t="s">
        <v>14024</v>
      </c>
      <c r="J3236" s="12" t="s">
        <v>14163</v>
      </c>
      <c r="K3236" s="12"/>
      <c r="L3236" s="12" t="s">
        <v>14324</v>
      </c>
      <c r="M3236" s="12" t="s">
        <v>14325</v>
      </c>
    </row>
    <row r="3237" spans="1:13" ht="39.6">
      <c r="A3237" s="12" t="s">
        <v>14006</v>
      </c>
      <c r="B3237" s="12" t="s">
        <v>14001</v>
      </c>
      <c r="C3237" s="21" t="s">
        <v>14002</v>
      </c>
      <c r="D3237" s="12" t="s">
        <v>71</v>
      </c>
      <c r="E3237" s="12" t="s">
        <v>14003</v>
      </c>
      <c r="F3237" s="12" t="s">
        <v>14001</v>
      </c>
      <c r="G3237" s="12" t="s">
        <v>14004</v>
      </c>
      <c r="H3237" s="12" t="s">
        <v>14005</v>
      </c>
      <c r="I3237" s="12" t="s">
        <v>14025</v>
      </c>
      <c r="J3237" s="12" t="s">
        <v>14164</v>
      </c>
      <c r="K3237" s="12"/>
      <c r="L3237" s="12" t="s">
        <v>14326</v>
      </c>
      <c r="M3237" s="12" t="s">
        <v>14327</v>
      </c>
    </row>
    <row r="3238" spans="1:13" ht="66">
      <c r="A3238" s="12" t="s">
        <v>14006</v>
      </c>
      <c r="B3238" s="12" t="s">
        <v>14001</v>
      </c>
      <c r="C3238" s="21" t="s">
        <v>14002</v>
      </c>
      <c r="D3238" s="12" t="s">
        <v>71</v>
      </c>
      <c r="E3238" s="12" t="s">
        <v>14003</v>
      </c>
      <c r="F3238" s="12" t="s">
        <v>14001</v>
      </c>
      <c r="G3238" s="12" t="s">
        <v>14004</v>
      </c>
      <c r="H3238" s="12" t="s">
        <v>14005</v>
      </c>
      <c r="I3238" s="12" t="s">
        <v>14026</v>
      </c>
      <c r="J3238" s="12" t="s">
        <v>14165</v>
      </c>
      <c r="K3238" s="12" t="s">
        <v>14328</v>
      </c>
      <c r="L3238" s="12" t="s">
        <v>14329</v>
      </c>
      <c r="M3238" s="12" t="s">
        <v>14330</v>
      </c>
    </row>
    <row r="3239" spans="1:13" ht="39.6">
      <c r="A3239" s="12" t="s">
        <v>14006</v>
      </c>
      <c r="B3239" s="12" t="s">
        <v>14001</v>
      </c>
      <c r="C3239" s="21" t="s">
        <v>14002</v>
      </c>
      <c r="D3239" s="12" t="s">
        <v>71</v>
      </c>
      <c r="E3239" s="12" t="s">
        <v>14003</v>
      </c>
      <c r="F3239" s="12" t="s">
        <v>14001</v>
      </c>
      <c r="G3239" s="12" t="s">
        <v>14004</v>
      </c>
      <c r="H3239" s="12" t="s">
        <v>14005</v>
      </c>
      <c r="I3239" s="12" t="s">
        <v>14027</v>
      </c>
      <c r="J3239" s="12" t="s">
        <v>14166</v>
      </c>
      <c r="K3239" s="12"/>
      <c r="L3239" s="12" t="s">
        <v>14331</v>
      </c>
      <c r="M3239" s="12" t="s">
        <v>14332</v>
      </c>
    </row>
    <row r="3240" spans="1:13" ht="39.6">
      <c r="A3240" s="12" t="s">
        <v>14006</v>
      </c>
      <c r="B3240" s="12" t="s">
        <v>14001</v>
      </c>
      <c r="C3240" s="21" t="s">
        <v>14002</v>
      </c>
      <c r="D3240" s="12" t="s">
        <v>71</v>
      </c>
      <c r="E3240" s="12" t="s">
        <v>14003</v>
      </c>
      <c r="F3240" s="12" t="s">
        <v>14001</v>
      </c>
      <c r="G3240" s="12" t="s">
        <v>14004</v>
      </c>
      <c r="H3240" s="12" t="s">
        <v>14005</v>
      </c>
      <c r="I3240" s="12" t="s">
        <v>14028</v>
      </c>
      <c r="J3240" s="12" t="s">
        <v>14167</v>
      </c>
      <c r="K3240" s="12" t="s">
        <v>14333</v>
      </c>
      <c r="L3240" s="12" t="s">
        <v>14334</v>
      </c>
      <c r="M3240" s="12" t="s">
        <v>14335</v>
      </c>
    </row>
    <row r="3241" spans="1:13" ht="39.6">
      <c r="A3241" s="12" t="s">
        <v>14006</v>
      </c>
      <c r="B3241" s="12" t="s">
        <v>14001</v>
      </c>
      <c r="C3241" s="21" t="s">
        <v>14002</v>
      </c>
      <c r="D3241" s="12" t="s">
        <v>71</v>
      </c>
      <c r="E3241" s="12" t="s">
        <v>14003</v>
      </c>
      <c r="F3241" s="12" t="s">
        <v>14001</v>
      </c>
      <c r="G3241" s="12" t="s">
        <v>14004</v>
      </c>
      <c r="H3241" s="12" t="s">
        <v>14005</v>
      </c>
      <c r="I3241" s="12" t="s">
        <v>14029</v>
      </c>
      <c r="J3241" s="12" t="s">
        <v>14168</v>
      </c>
      <c r="K3241" s="12"/>
      <c r="L3241" s="12" t="s">
        <v>14336</v>
      </c>
      <c r="M3241" s="12" t="s">
        <v>14337</v>
      </c>
    </row>
    <row r="3242" spans="1:13" ht="39.6">
      <c r="A3242" s="12" t="s">
        <v>14006</v>
      </c>
      <c r="B3242" s="12" t="s">
        <v>14001</v>
      </c>
      <c r="C3242" s="21" t="s">
        <v>14002</v>
      </c>
      <c r="D3242" s="12" t="s">
        <v>71</v>
      </c>
      <c r="E3242" s="12" t="s">
        <v>14003</v>
      </c>
      <c r="F3242" s="12" t="s">
        <v>14001</v>
      </c>
      <c r="G3242" s="12" t="s">
        <v>14004</v>
      </c>
      <c r="H3242" s="12" t="s">
        <v>14005</v>
      </c>
      <c r="I3242" s="12" t="s">
        <v>14030</v>
      </c>
      <c r="J3242" s="12" t="s">
        <v>14169</v>
      </c>
      <c r="K3242" s="12"/>
      <c r="L3242" s="12" t="s">
        <v>14338</v>
      </c>
      <c r="M3242" s="12" t="s">
        <v>14339</v>
      </c>
    </row>
    <row r="3243" spans="1:13" ht="52.8">
      <c r="A3243" s="12" t="s">
        <v>14006</v>
      </c>
      <c r="B3243" s="12" t="s">
        <v>14001</v>
      </c>
      <c r="C3243" s="21" t="s">
        <v>14002</v>
      </c>
      <c r="D3243" s="12" t="s">
        <v>71</v>
      </c>
      <c r="E3243" s="12" t="s">
        <v>14003</v>
      </c>
      <c r="F3243" s="12" t="s">
        <v>14001</v>
      </c>
      <c r="G3243" s="12" t="s">
        <v>14004</v>
      </c>
      <c r="H3243" s="12" t="s">
        <v>14005</v>
      </c>
      <c r="I3243" s="12" t="s">
        <v>14031</v>
      </c>
      <c r="J3243" s="12" t="s">
        <v>14170</v>
      </c>
      <c r="K3243" s="12"/>
      <c r="L3243" s="12" t="s">
        <v>14340</v>
      </c>
      <c r="M3243" s="12" t="s">
        <v>14341</v>
      </c>
    </row>
    <row r="3244" spans="1:13" ht="39.6">
      <c r="A3244" s="12" t="s">
        <v>14006</v>
      </c>
      <c r="B3244" s="12" t="s">
        <v>14001</v>
      </c>
      <c r="C3244" s="21" t="s">
        <v>14002</v>
      </c>
      <c r="D3244" s="12" t="s">
        <v>71</v>
      </c>
      <c r="E3244" s="12" t="s">
        <v>14003</v>
      </c>
      <c r="F3244" s="12" t="s">
        <v>14001</v>
      </c>
      <c r="G3244" s="12" t="s">
        <v>14004</v>
      </c>
      <c r="H3244" s="12" t="s">
        <v>14005</v>
      </c>
      <c r="I3244" s="12" t="s">
        <v>14032</v>
      </c>
      <c r="J3244" s="12" t="s">
        <v>14171</v>
      </c>
      <c r="K3244" s="12"/>
      <c r="L3244" s="12" t="s">
        <v>14342</v>
      </c>
      <c r="M3244" s="12" t="s">
        <v>14343</v>
      </c>
    </row>
    <row r="3245" spans="1:13" ht="52.8">
      <c r="A3245" s="12" t="s">
        <v>14006</v>
      </c>
      <c r="B3245" s="12" t="s">
        <v>14001</v>
      </c>
      <c r="C3245" s="21" t="s">
        <v>14002</v>
      </c>
      <c r="D3245" s="12" t="s">
        <v>71</v>
      </c>
      <c r="E3245" s="12" t="s">
        <v>14003</v>
      </c>
      <c r="F3245" s="12" t="s">
        <v>14001</v>
      </c>
      <c r="G3245" s="12" t="s">
        <v>14004</v>
      </c>
      <c r="H3245" s="12" t="s">
        <v>14005</v>
      </c>
      <c r="I3245" s="12" t="s">
        <v>14033</v>
      </c>
      <c r="J3245" s="12" t="s">
        <v>14172</v>
      </c>
      <c r="K3245" s="12"/>
      <c r="L3245" s="12" t="s">
        <v>14344</v>
      </c>
      <c r="M3245" s="12" t="s">
        <v>14345</v>
      </c>
    </row>
    <row r="3246" spans="1:13" ht="52.8">
      <c r="A3246" s="12" t="s">
        <v>14006</v>
      </c>
      <c r="B3246" s="12" t="s">
        <v>14001</v>
      </c>
      <c r="C3246" s="21" t="s">
        <v>14002</v>
      </c>
      <c r="D3246" s="12" t="s">
        <v>71</v>
      </c>
      <c r="E3246" s="12" t="s">
        <v>14003</v>
      </c>
      <c r="F3246" s="12" t="s">
        <v>14001</v>
      </c>
      <c r="G3246" s="12" t="s">
        <v>14004</v>
      </c>
      <c r="H3246" s="12" t="s">
        <v>14005</v>
      </c>
      <c r="I3246" s="12" t="s">
        <v>14034</v>
      </c>
      <c r="J3246" s="12" t="s">
        <v>14173</v>
      </c>
      <c r="K3246" s="12" t="s">
        <v>14346</v>
      </c>
      <c r="L3246" s="12" t="s">
        <v>14347</v>
      </c>
      <c r="M3246" s="12" t="s">
        <v>14348</v>
      </c>
    </row>
    <row r="3247" spans="1:13" ht="66">
      <c r="A3247" s="12" t="s">
        <v>14006</v>
      </c>
      <c r="B3247" s="12" t="s">
        <v>14001</v>
      </c>
      <c r="C3247" s="21" t="s">
        <v>14002</v>
      </c>
      <c r="D3247" s="12" t="s">
        <v>71</v>
      </c>
      <c r="E3247" s="12" t="s">
        <v>14003</v>
      </c>
      <c r="F3247" s="12" t="s">
        <v>14001</v>
      </c>
      <c r="G3247" s="12" t="s">
        <v>14004</v>
      </c>
      <c r="H3247" s="12" t="s">
        <v>14005</v>
      </c>
      <c r="I3247" s="12" t="s">
        <v>14035</v>
      </c>
      <c r="J3247" s="12" t="s">
        <v>14174</v>
      </c>
      <c r="K3247" s="12"/>
      <c r="L3247" s="12" t="s">
        <v>14349</v>
      </c>
      <c r="M3247" s="12" t="s">
        <v>14350</v>
      </c>
    </row>
    <row r="3248" spans="1:13" ht="39.6">
      <c r="A3248" s="12" t="s">
        <v>14006</v>
      </c>
      <c r="B3248" s="12" t="s">
        <v>14001</v>
      </c>
      <c r="C3248" s="21" t="s">
        <v>14002</v>
      </c>
      <c r="D3248" s="12" t="s">
        <v>71</v>
      </c>
      <c r="E3248" s="12" t="s">
        <v>14003</v>
      </c>
      <c r="F3248" s="12" t="s">
        <v>14001</v>
      </c>
      <c r="G3248" s="12" t="s">
        <v>14004</v>
      </c>
      <c r="H3248" s="12" t="s">
        <v>14005</v>
      </c>
      <c r="I3248" s="12" t="s">
        <v>14036</v>
      </c>
      <c r="J3248" s="12" t="s">
        <v>14175</v>
      </c>
      <c r="K3248" s="12" t="s">
        <v>14351</v>
      </c>
      <c r="L3248" s="12" t="s">
        <v>14352</v>
      </c>
      <c r="M3248" s="12" t="s">
        <v>14353</v>
      </c>
    </row>
    <row r="3249" spans="1:13" ht="39.6">
      <c r="A3249" s="12" t="s">
        <v>14006</v>
      </c>
      <c r="B3249" s="12" t="s">
        <v>14001</v>
      </c>
      <c r="C3249" s="21" t="s">
        <v>14002</v>
      </c>
      <c r="D3249" s="12" t="s">
        <v>71</v>
      </c>
      <c r="E3249" s="12" t="s">
        <v>14003</v>
      </c>
      <c r="F3249" s="12" t="s">
        <v>14001</v>
      </c>
      <c r="G3249" s="12" t="s">
        <v>14004</v>
      </c>
      <c r="H3249" s="12" t="s">
        <v>14005</v>
      </c>
      <c r="I3249" s="12" t="s">
        <v>14037</v>
      </c>
      <c r="J3249" s="12" t="s">
        <v>14176</v>
      </c>
      <c r="K3249" s="12" t="s">
        <v>14354</v>
      </c>
      <c r="L3249" s="12" t="s">
        <v>14355</v>
      </c>
      <c r="M3249" s="12" t="s">
        <v>14356</v>
      </c>
    </row>
    <row r="3250" spans="1:13" ht="39.6">
      <c r="A3250" s="12" t="s">
        <v>14006</v>
      </c>
      <c r="B3250" s="12" t="s">
        <v>14001</v>
      </c>
      <c r="C3250" s="21" t="s">
        <v>14002</v>
      </c>
      <c r="D3250" s="12" t="s">
        <v>71</v>
      </c>
      <c r="E3250" s="12" t="s">
        <v>14003</v>
      </c>
      <c r="F3250" s="12" t="s">
        <v>14001</v>
      </c>
      <c r="G3250" s="12" t="s">
        <v>14004</v>
      </c>
      <c r="H3250" s="12" t="s">
        <v>14005</v>
      </c>
      <c r="I3250" s="12" t="s">
        <v>14038</v>
      </c>
      <c r="J3250" s="12" t="s">
        <v>14177</v>
      </c>
      <c r="K3250" s="12" t="s">
        <v>14357</v>
      </c>
      <c r="L3250" s="12" t="s">
        <v>14358</v>
      </c>
      <c r="M3250" s="12" t="s">
        <v>14359</v>
      </c>
    </row>
    <row r="3251" spans="1:13" ht="39.6">
      <c r="A3251" s="12" t="s">
        <v>14006</v>
      </c>
      <c r="B3251" s="12" t="s">
        <v>14001</v>
      </c>
      <c r="C3251" s="21" t="s">
        <v>14002</v>
      </c>
      <c r="D3251" s="12" t="s">
        <v>71</v>
      </c>
      <c r="E3251" s="12" t="s">
        <v>14003</v>
      </c>
      <c r="F3251" s="12" t="s">
        <v>14001</v>
      </c>
      <c r="G3251" s="12" t="s">
        <v>14004</v>
      </c>
      <c r="H3251" s="12" t="s">
        <v>14005</v>
      </c>
      <c r="I3251" s="12" t="s">
        <v>14039</v>
      </c>
      <c r="J3251" s="12" t="s">
        <v>14178</v>
      </c>
      <c r="K3251" s="12"/>
      <c r="L3251" s="12" t="s">
        <v>14360</v>
      </c>
      <c r="M3251" s="12" t="s">
        <v>14361</v>
      </c>
    </row>
    <row r="3252" spans="1:13" ht="39.6">
      <c r="A3252" s="12" t="s">
        <v>14006</v>
      </c>
      <c r="B3252" s="12" t="s">
        <v>14001</v>
      </c>
      <c r="C3252" s="21" t="s">
        <v>14002</v>
      </c>
      <c r="D3252" s="12" t="s">
        <v>71</v>
      </c>
      <c r="E3252" s="12" t="s">
        <v>14003</v>
      </c>
      <c r="F3252" s="12" t="s">
        <v>14001</v>
      </c>
      <c r="G3252" s="12" t="s">
        <v>14004</v>
      </c>
      <c r="H3252" s="12" t="s">
        <v>14005</v>
      </c>
      <c r="I3252" s="12" t="s">
        <v>14040</v>
      </c>
      <c r="J3252" s="12" t="s">
        <v>14179</v>
      </c>
      <c r="K3252" s="12"/>
      <c r="L3252" s="12" t="s">
        <v>14362</v>
      </c>
      <c r="M3252" s="12" t="s">
        <v>14363</v>
      </c>
    </row>
    <row r="3253" spans="1:13" ht="39.6">
      <c r="A3253" s="12" t="s">
        <v>14006</v>
      </c>
      <c r="B3253" s="12" t="s">
        <v>14001</v>
      </c>
      <c r="C3253" s="21" t="s">
        <v>14002</v>
      </c>
      <c r="D3253" s="12" t="s">
        <v>71</v>
      </c>
      <c r="E3253" s="12" t="s">
        <v>14003</v>
      </c>
      <c r="F3253" s="12" t="s">
        <v>14001</v>
      </c>
      <c r="G3253" s="12" t="s">
        <v>14004</v>
      </c>
      <c r="H3253" s="12" t="s">
        <v>14005</v>
      </c>
      <c r="I3253" s="12" t="s">
        <v>14041</v>
      </c>
      <c r="J3253" s="12" t="s">
        <v>14180</v>
      </c>
      <c r="K3253" s="12"/>
      <c r="L3253" s="12" t="s">
        <v>14364</v>
      </c>
      <c r="M3253" s="12" t="s">
        <v>14365</v>
      </c>
    </row>
    <row r="3254" spans="1:13" ht="39.6">
      <c r="A3254" s="12" t="s">
        <v>14006</v>
      </c>
      <c r="B3254" s="12" t="s">
        <v>14001</v>
      </c>
      <c r="C3254" s="21" t="s">
        <v>14002</v>
      </c>
      <c r="D3254" s="12" t="s">
        <v>71</v>
      </c>
      <c r="E3254" s="12" t="s">
        <v>14003</v>
      </c>
      <c r="F3254" s="12" t="s">
        <v>14001</v>
      </c>
      <c r="G3254" s="12" t="s">
        <v>14004</v>
      </c>
      <c r="H3254" s="12" t="s">
        <v>14005</v>
      </c>
      <c r="I3254" s="12" t="s">
        <v>14042</v>
      </c>
      <c r="J3254" s="12" t="s">
        <v>14181</v>
      </c>
      <c r="K3254" s="12"/>
      <c r="L3254" s="12" t="s">
        <v>14366</v>
      </c>
      <c r="M3254" s="12" t="s">
        <v>14367</v>
      </c>
    </row>
    <row r="3255" spans="1:13" ht="66">
      <c r="A3255" s="12" t="s">
        <v>14006</v>
      </c>
      <c r="B3255" s="12" t="s">
        <v>14001</v>
      </c>
      <c r="C3255" s="21" t="s">
        <v>14002</v>
      </c>
      <c r="D3255" s="12" t="s">
        <v>71</v>
      </c>
      <c r="E3255" s="12" t="s">
        <v>14003</v>
      </c>
      <c r="F3255" s="12" t="s">
        <v>14001</v>
      </c>
      <c r="G3255" s="12" t="s">
        <v>14004</v>
      </c>
      <c r="H3255" s="12" t="s">
        <v>14005</v>
      </c>
      <c r="I3255" s="12" t="s">
        <v>14043</v>
      </c>
      <c r="J3255" s="12" t="s">
        <v>14182</v>
      </c>
      <c r="K3255" s="12" t="s">
        <v>14368</v>
      </c>
      <c r="L3255" s="12" t="s">
        <v>14369</v>
      </c>
      <c r="M3255" s="12" t="s">
        <v>14370</v>
      </c>
    </row>
    <row r="3256" spans="1:13" ht="39.6">
      <c r="A3256" s="12" t="s">
        <v>14006</v>
      </c>
      <c r="B3256" s="12" t="s">
        <v>14001</v>
      </c>
      <c r="C3256" s="21" t="s">
        <v>14002</v>
      </c>
      <c r="D3256" s="12" t="s">
        <v>71</v>
      </c>
      <c r="E3256" s="12" t="s">
        <v>14003</v>
      </c>
      <c r="F3256" s="12" t="s">
        <v>14001</v>
      </c>
      <c r="G3256" s="12" t="s">
        <v>14004</v>
      </c>
      <c r="H3256" s="12" t="s">
        <v>14005</v>
      </c>
      <c r="I3256" s="12" t="s">
        <v>14044</v>
      </c>
      <c r="J3256" s="12" t="s">
        <v>14183</v>
      </c>
      <c r="K3256" s="12"/>
      <c r="L3256" s="12" t="s">
        <v>14371</v>
      </c>
      <c r="M3256" s="12" t="s">
        <v>14372</v>
      </c>
    </row>
    <row r="3257" spans="1:13" ht="158.4">
      <c r="A3257" s="12" t="s">
        <v>14006</v>
      </c>
      <c r="B3257" s="12" t="s">
        <v>14001</v>
      </c>
      <c r="C3257" s="21" t="s">
        <v>14002</v>
      </c>
      <c r="D3257" s="12" t="s">
        <v>71</v>
      </c>
      <c r="E3257" s="12" t="s">
        <v>14003</v>
      </c>
      <c r="F3257" s="12" t="s">
        <v>14001</v>
      </c>
      <c r="G3257" s="12" t="s">
        <v>14004</v>
      </c>
      <c r="H3257" s="12" t="s">
        <v>14005</v>
      </c>
      <c r="I3257" s="12" t="s">
        <v>14045</v>
      </c>
      <c r="J3257" s="12" t="s">
        <v>14184</v>
      </c>
      <c r="K3257" s="12" t="s">
        <v>14373</v>
      </c>
      <c r="L3257" s="12" t="s">
        <v>14374</v>
      </c>
      <c r="M3257" s="12" t="s">
        <v>14375</v>
      </c>
    </row>
    <row r="3258" spans="1:13" ht="39.6">
      <c r="A3258" s="12" t="s">
        <v>14006</v>
      </c>
      <c r="B3258" s="12" t="s">
        <v>14001</v>
      </c>
      <c r="C3258" s="21" t="s">
        <v>14002</v>
      </c>
      <c r="D3258" s="12" t="s">
        <v>71</v>
      </c>
      <c r="E3258" s="12" t="s">
        <v>14003</v>
      </c>
      <c r="F3258" s="12" t="s">
        <v>14001</v>
      </c>
      <c r="G3258" s="12" t="s">
        <v>14004</v>
      </c>
      <c r="H3258" s="12" t="s">
        <v>14005</v>
      </c>
      <c r="I3258" s="12" t="s">
        <v>14046</v>
      </c>
      <c r="J3258" s="12" t="s">
        <v>14185</v>
      </c>
      <c r="K3258" s="12"/>
      <c r="L3258" s="12" t="s">
        <v>14376</v>
      </c>
      <c r="M3258" s="12" t="s">
        <v>14377</v>
      </c>
    </row>
    <row r="3259" spans="1:13" ht="39.6">
      <c r="A3259" s="12" t="s">
        <v>14006</v>
      </c>
      <c r="B3259" s="12" t="s">
        <v>14001</v>
      </c>
      <c r="C3259" s="21" t="s">
        <v>14002</v>
      </c>
      <c r="D3259" s="12" t="s">
        <v>71</v>
      </c>
      <c r="E3259" s="12" t="s">
        <v>14003</v>
      </c>
      <c r="F3259" s="12" t="s">
        <v>14001</v>
      </c>
      <c r="G3259" s="12" t="s">
        <v>14004</v>
      </c>
      <c r="H3259" s="12" t="s">
        <v>14005</v>
      </c>
      <c r="I3259" s="12" t="s">
        <v>14047</v>
      </c>
      <c r="J3259" s="12" t="s">
        <v>14186</v>
      </c>
      <c r="K3259" s="12"/>
      <c r="L3259" s="12" t="s">
        <v>14378</v>
      </c>
      <c r="M3259" s="12" t="s">
        <v>14379</v>
      </c>
    </row>
    <row r="3260" spans="1:13" ht="92.4">
      <c r="A3260" s="12" t="s">
        <v>14006</v>
      </c>
      <c r="B3260" s="12" t="s">
        <v>14001</v>
      </c>
      <c r="C3260" s="21" t="s">
        <v>14002</v>
      </c>
      <c r="D3260" s="12" t="s">
        <v>71</v>
      </c>
      <c r="E3260" s="12" t="s">
        <v>14003</v>
      </c>
      <c r="F3260" s="12" t="s">
        <v>14001</v>
      </c>
      <c r="G3260" s="12" t="s">
        <v>14004</v>
      </c>
      <c r="H3260" s="12" t="s">
        <v>14005</v>
      </c>
      <c r="I3260" s="12" t="s">
        <v>14048</v>
      </c>
      <c r="J3260" s="12" t="s">
        <v>14187</v>
      </c>
      <c r="K3260" s="12" t="s">
        <v>14380</v>
      </c>
      <c r="L3260" s="12" t="s">
        <v>14381</v>
      </c>
      <c r="M3260" s="12" t="s">
        <v>14382</v>
      </c>
    </row>
    <row r="3261" spans="1:13" ht="39.6">
      <c r="A3261" s="12" t="s">
        <v>14006</v>
      </c>
      <c r="B3261" s="12" t="s">
        <v>14001</v>
      </c>
      <c r="C3261" s="21" t="s">
        <v>14002</v>
      </c>
      <c r="D3261" s="12" t="s">
        <v>71</v>
      </c>
      <c r="E3261" s="12" t="s">
        <v>14003</v>
      </c>
      <c r="F3261" s="12" t="s">
        <v>14001</v>
      </c>
      <c r="G3261" s="12" t="s">
        <v>14004</v>
      </c>
      <c r="H3261" s="12" t="s">
        <v>14005</v>
      </c>
      <c r="I3261" s="12" t="s">
        <v>14049</v>
      </c>
      <c r="J3261" s="12" t="s">
        <v>14188</v>
      </c>
      <c r="K3261" s="12"/>
      <c r="L3261" s="12" t="s">
        <v>14383</v>
      </c>
      <c r="M3261" s="12" t="s">
        <v>14384</v>
      </c>
    </row>
    <row r="3262" spans="1:13" ht="39.6">
      <c r="A3262" s="12" t="s">
        <v>14006</v>
      </c>
      <c r="B3262" s="12" t="s">
        <v>14001</v>
      </c>
      <c r="C3262" s="21" t="s">
        <v>14002</v>
      </c>
      <c r="D3262" s="12" t="s">
        <v>71</v>
      </c>
      <c r="E3262" s="12" t="s">
        <v>14003</v>
      </c>
      <c r="F3262" s="12" t="s">
        <v>14001</v>
      </c>
      <c r="G3262" s="12" t="s">
        <v>14004</v>
      </c>
      <c r="H3262" s="12" t="s">
        <v>14005</v>
      </c>
      <c r="I3262" s="12" t="s">
        <v>14050</v>
      </c>
      <c r="J3262" s="12" t="s">
        <v>14189</v>
      </c>
      <c r="K3262" s="12"/>
      <c r="L3262" s="12" t="s">
        <v>14385</v>
      </c>
      <c r="M3262" s="12" t="s">
        <v>14386</v>
      </c>
    </row>
    <row r="3263" spans="1:13" ht="39.6">
      <c r="A3263" s="12" t="s">
        <v>14006</v>
      </c>
      <c r="B3263" s="12" t="s">
        <v>14001</v>
      </c>
      <c r="C3263" s="21" t="s">
        <v>14002</v>
      </c>
      <c r="D3263" s="12" t="s">
        <v>71</v>
      </c>
      <c r="E3263" s="12" t="s">
        <v>14003</v>
      </c>
      <c r="F3263" s="12" t="s">
        <v>14001</v>
      </c>
      <c r="G3263" s="12" t="s">
        <v>14004</v>
      </c>
      <c r="H3263" s="12" t="s">
        <v>14005</v>
      </c>
      <c r="I3263" s="12" t="s">
        <v>14051</v>
      </c>
      <c r="J3263" s="12" t="s">
        <v>14190</v>
      </c>
      <c r="K3263" s="12"/>
      <c r="L3263" s="12" t="s">
        <v>14387</v>
      </c>
      <c r="M3263" s="12" t="s">
        <v>14388</v>
      </c>
    </row>
    <row r="3264" spans="1:13" ht="52.8">
      <c r="A3264" s="12" t="s">
        <v>14006</v>
      </c>
      <c r="B3264" s="12" t="s">
        <v>14001</v>
      </c>
      <c r="C3264" s="21" t="s">
        <v>14002</v>
      </c>
      <c r="D3264" s="12" t="s">
        <v>71</v>
      </c>
      <c r="E3264" s="12" t="s">
        <v>14003</v>
      </c>
      <c r="F3264" s="12" t="s">
        <v>14001</v>
      </c>
      <c r="G3264" s="12" t="s">
        <v>14004</v>
      </c>
      <c r="H3264" s="12" t="s">
        <v>14005</v>
      </c>
      <c r="I3264" s="12" t="s">
        <v>14052</v>
      </c>
      <c r="J3264" s="12" t="s">
        <v>14191</v>
      </c>
      <c r="K3264" s="12"/>
      <c r="L3264" s="12" t="s">
        <v>14389</v>
      </c>
      <c r="M3264" s="12" t="s">
        <v>14390</v>
      </c>
    </row>
    <row r="3265" spans="1:13" ht="39.6">
      <c r="A3265" s="12" t="s">
        <v>14006</v>
      </c>
      <c r="B3265" s="12" t="s">
        <v>14001</v>
      </c>
      <c r="C3265" s="21" t="s">
        <v>14002</v>
      </c>
      <c r="D3265" s="12" t="s">
        <v>71</v>
      </c>
      <c r="E3265" s="12" t="s">
        <v>14003</v>
      </c>
      <c r="F3265" s="12" t="s">
        <v>14001</v>
      </c>
      <c r="G3265" s="12" t="s">
        <v>14004</v>
      </c>
      <c r="H3265" s="12" t="s">
        <v>14005</v>
      </c>
      <c r="I3265" s="12" t="s">
        <v>14053</v>
      </c>
      <c r="J3265" s="12" t="s">
        <v>14192</v>
      </c>
      <c r="K3265" s="12"/>
      <c r="L3265" s="12" t="s">
        <v>14391</v>
      </c>
      <c r="M3265" s="12" t="s">
        <v>14392</v>
      </c>
    </row>
    <row r="3266" spans="1:13" ht="39.6">
      <c r="A3266" s="12" t="s">
        <v>14006</v>
      </c>
      <c r="B3266" s="12" t="s">
        <v>14001</v>
      </c>
      <c r="C3266" s="21" t="s">
        <v>14002</v>
      </c>
      <c r="D3266" s="12" t="s">
        <v>71</v>
      </c>
      <c r="E3266" s="12" t="s">
        <v>14003</v>
      </c>
      <c r="F3266" s="12" t="s">
        <v>14001</v>
      </c>
      <c r="G3266" s="12" t="s">
        <v>14004</v>
      </c>
      <c r="H3266" s="12" t="s">
        <v>14005</v>
      </c>
      <c r="I3266" s="12" t="s">
        <v>14054</v>
      </c>
      <c r="J3266" s="12" t="s">
        <v>14193</v>
      </c>
      <c r="K3266" s="12"/>
      <c r="L3266" s="12" t="s">
        <v>14393</v>
      </c>
      <c r="M3266" s="12" t="s">
        <v>14394</v>
      </c>
    </row>
    <row r="3267" spans="1:13" ht="39.6">
      <c r="A3267" s="12" t="s">
        <v>14006</v>
      </c>
      <c r="B3267" s="12" t="s">
        <v>14001</v>
      </c>
      <c r="C3267" s="21" t="s">
        <v>14002</v>
      </c>
      <c r="D3267" s="12" t="s">
        <v>71</v>
      </c>
      <c r="E3267" s="12" t="s">
        <v>14003</v>
      </c>
      <c r="F3267" s="12" t="s">
        <v>14001</v>
      </c>
      <c r="G3267" s="12" t="s">
        <v>14004</v>
      </c>
      <c r="H3267" s="12" t="s">
        <v>14005</v>
      </c>
      <c r="I3267" s="12" t="s">
        <v>14055</v>
      </c>
      <c r="J3267" s="12" t="s">
        <v>14194</v>
      </c>
      <c r="K3267" s="12"/>
      <c r="L3267" s="12" t="s">
        <v>14395</v>
      </c>
      <c r="M3267" s="12" t="s">
        <v>14396</v>
      </c>
    </row>
    <row r="3268" spans="1:13" ht="39.6">
      <c r="A3268" s="12" t="s">
        <v>14006</v>
      </c>
      <c r="B3268" s="12" t="s">
        <v>14001</v>
      </c>
      <c r="C3268" s="21" t="s">
        <v>14002</v>
      </c>
      <c r="D3268" s="12" t="s">
        <v>71</v>
      </c>
      <c r="E3268" s="12" t="s">
        <v>14003</v>
      </c>
      <c r="F3268" s="12" t="s">
        <v>14001</v>
      </c>
      <c r="G3268" s="12" t="s">
        <v>14004</v>
      </c>
      <c r="H3268" s="12" t="s">
        <v>14005</v>
      </c>
      <c r="I3268" s="12" t="s">
        <v>14056</v>
      </c>
      <c r="J3268" s="12" t="s">
        <v>14195</v>
      </c>
      <c r="K3268" s="12" t="s">
        <v>14397</v>
      </c>
      <c r="L3268" s="12" t="s">
        <v>14398</v>
      </c>
      <c r="M3268" s="12" t="s">
        <v>14399</v>
      </c>
    </row>
    <row r="3269" spans="1:13" ht="39.6">
      <c r="A3269" s="12" t="s">
        <v>14006</v>
      </c>
      <c r="B3269" s="12" t="s">
        <v>14001</v>
      </c>
      <c r="C3269" s="21" t="s">
        <v>14002</v>
      </c>
      <c r="D3269" s="12" t="s">
        <v>71</v>
      </c>
      <c r="E3269" s="12" t="s">
        <v>14003</v>
      </c>
      <c r="F3269" s="12" t="s">
        <v>14001</v>
      </c>
      <c r="G3269" s="12" t="s">
        <v>14004</v>
      </c>
      <c r="H3269" s="12" t="s">
        <v>14005</v>
      </c>
      <c r="I3269" s="12" t="s">
        <v>14057</v>
      </c>
      <c r="J3269" s="12" t="s">
        <v>14196</v>
      </c>
      <c r="K3269" s="12"/>
      <c r="L3269" s="12" t="s">
        <v>14400</v>
      </c>
      <c r="M3269" s="12" t="s">
        <v>14401</v>
      </c>
    </row>
    <row r="3270" spans="1:13" ht="52.8">
      <c r="A3270" s="12" t="s">
        <v>14006</v>
      </c>
      <c r="B3270" s="12" t="s">
        <v>14001</v>
      </c>
      <c r="C3270" s="21" t="s">
        <v>14002</v>
      </c>
      <c r="D3270" s="12" t="s">
        <v>71</v>
      </c>
      <c r="E3270" s="12" t="s">
        <v>14003</v>
      </c>
      <c r="F3270" s="12" t="s">
        <v>14001</v>
      </c>
      <c r="G3270" s="12" t="s">
        <v>14004</v>
      </c>
      <c r="H3270" s="12" t="s">
        <v>14005</v>
      </c>
      <c r="I3270" s="12" t="s">
        <v>14058</v>
      </c>
      <c r="J3270" s="12" t="s">
        <v>14197</v>
      </c>
      <c r="K3270" s="12"/>
      <c r="L3270" s="12" t="s">
        <v>14402</v>
      </c>
      <c r="M3270" s="12" t="s">
        <v>14403</v>
      </c>
    </row>
    <row r="3271" spans="1:13" ht="39.6">
      <c r="A3271" s="12" t="s">
        <v>14006</v>
      </c>
      <c r="B3271" s="12" t="s">
        <v>14001</v>
      </c>
      <c r="C3271" s="21" t="s">
        <v>14002</v>
      </c>
      <c r="D3271" s="12" t="s">
        <v>71</v>
      </c>
      <c r="E3271" s="12" t="s">
        <v>14003</v>
      </c>
      <c r="F3271" s="12" t="s">
        <v>14001</v>
      </c>
      <c r="G3271" s="12" t="s">
        <v>14004</v>
      </c>
      <c r="H3271" s="12" t="s">
        <v>14005</v>
      </c>
      <c r="I3271" s="12" t="s">
        <v>14059</v>
      </c>
      <c r="J3271" s="12" t="s">
        <v>14198</v>
      </c>
      <c r="K3271" s="12" t="s">
        <v>14404</v>
      </c>
      <c r="L3271" s="12" t="s">
        <v>14405</v>
      </c>
      <c r="M3271" s="12" t="s">
        <v>14406</v>
      </c>
    </row>
    <row r="3272" spans="1:13" ht="39.6">
      <c r="A3272" s="12" t="s">
        <v>14006</v>
      </c>
      <c r="B3272" s="12" t="s">
        <v>14001</v>
      </c>
      <c r="C3272" s="21" t="s">
        <v>14002</v>
      </c>
      <c r="D3272" s="12" t="s">
        <v>71</v>
      </c>
      <c r="E3272" s="12" t="s">
        <v>14003</v>
      </c>
      <c r="F3272" s="12" t="s">
        <v>14001</v>
      </c>
      <c r="G3272" s="12" t="s">
        <v>14004</v>
      </c>
      <c r="H3272" s="12" t="s">
        <v>14005</v>
      </c>
      <c r="I3272" s="12" t="s">
        <v>14060</v>
      </c>
      <c r="J3272" s="12" t="s">
        <v>14199</v>
      </c>
      <c r="K3272" s="12" t="s">
        <v>14407</v>
      </c>
      <c r="L3272" s="12" t="s">
        <v>14408</v>
      </c>
      <c r="M3272" s="12" t="s">
        <v>14409</v>
      </c>
    </row>
    <row r="3273" spans="1:13" ht="52.8">
      <c r="A3273" s="12" t="s">
        <v>14006</v>
      </c>
      <c r="B3273" s="12" t="s">
        <v>14001</v>
      </c>
      <c r="C3273" s="21" t="s">
        <v>14002</v>
      </c>
      <c r="D3273" s="12" t="s">
        <v>71</v>
      </c>
      <c r="E3273" s="12" t="s">
        <v>14003</v>
      </c>
      <c r="F3273" s="12" t="s">
        <v>14001</v>
      </c>
      <c r="G3273" s="12" t="s">
        <v>14004</v>
      </c>
      <c r="H3273" s="12" t="s">
        <v>14005</v>
      </c>
      <c r="I3273" s="12" t="s">
        <v>2555</v>
      </c>
      <c r="J3273" s="12" t="s">
        <v>14200</v>
      </c>
      <c r="K3273" s="12"/>
      <c r="L3273" s="12" t="s">
        <v>14410</v>
      </c>
      <c r="M3273" s="12" t="s">
        <v>14411</v>
      </c>
    </row>
    <row r="3274" spans="1:13" ht="66">
      <c r="A3274" s="12" t="s">
        <v>14006</v>
      </c>
      <c r="B3274" s="12" t="s">
        <v>14001</v>
      </c>
      <c r="C3274" s="21" t="s">
        <v>14002</v>
      </c>
      <c r="D3274" s="12" t="s">
        <v>71</v>
      </c>
      <c r="E3274" s="12" t="s">
        <v>14003</v>
      </c>
      <c r="F3274" s="12" t="s">
        <v>14001</v>
      </c>
      <c r="G3274" s="12" t="s">
        <v>14004</v>
      </c>
      <c r="H3274" s="12" t="s">
        <v>14005</v>
      </c>
      <c r="I3274" s="12" t="s">
        <v>14061</v>
      </c>
      <c r="J3274" s="12" t="s">
        <v>14201</v>
      </c>
      <c r="K3274" s="12"/>
      <c r="L3274" s="12" t="s">
        <v>14412</v>
      </c>
      <c r="M3274" s="12" t="s">
        <v>14413</v>
      </c>
    </row>
    <row r="3275" spans="1:13" ht="39.6">
      <c r="A3275" s="12" t="s">
        <v>14006</v>
      </c>
      <c r="B3275" s="12" t="s">
        <v>14001</v>
      </c>
      <c r="C3275" s="21" t="s">
        <v>14002</v>
      </c>
      <c r="D3275" s="12" t="s">
        <v>71</v>
      </c>
      <c r="E3275" s="12" t="s">
        <v>14003</v>
      </c>
      <c r="F3275" s="12" t="s">
        <v>14001</v>
      </c>
      <c r="G3275" s="12" t="s">
        <v>14004</v>
      </c>
      <c r="H3275" s="12" t="s">
        <v>14005</v>
      </c>
      <c r="I3275" s="12" t="s">
        <v>14062</v>
      </c>
      <c r="J3275" s="12" t="s">
        <v>14202</v>
      </c>
      <c r="K3275" s="12"/>
      <c r="L3275" s="12" t="s">
        <v>14414</v>
      </c>
      <c r="M3275" s="12" t="s">
        <v>14415</v>
      </c>
    </row>
    <row r="3276" spans="1:13" ht="52.8">
      <c r="A3276" s="12" t="s">
        <v>14006</v>
      </c>
      <c r="B3276" s="12" t="s">
        <v>14001</v>
      </c>
      <c r="C3276" s="21" t="s">
        <v>14002</v>
      </c>
      <c r="D3276" s="12" t="s">
        <v>71</v>
      </c>
      <c r="E3276" s="12" t="s">
        <v>14003</v>
      </c>
      <c r="F3276" s="12" t="s">
        <v>14001</v>
      </c>
      <c r="G3276" s="12" t="s">
        <v>14004</v>
      </c>
      <c r="H3276" s="12" t="s">
        <v>14005</v>
      </c>
      <c r="I3276" s="12" t="s">
        <v>14063</v>
      </c>
      <c r="J3276" s="12" t="s">
        <v>14203</v>
      </c>
      <c r="K3276" s="12" t="s">
        <v>14416</v>
      </c>
      <c r="L3276" s="12" t="s">
        <v>14417</v>
      </c>
      <c r="M3276" s="12" t="s">
        <v>14418</v>
      </c>
    </row>
    <row r="3277" spans="1:13" ht="66">
      <c r="A3277" s="12" t="s">
        <v>14006</v>
      </c>
      <c r="B3277" s="12" t="s">
        <v>14001</v>
      </c>
      <c r="C3277" s="21" t="s">
        <v>14002</v>
      </c>
      <c r="D3277" s="12" t="s">
        <v>71</v>
      </c>
      <c r="E3277" s="12" t="s">
        <v>14003</v>
      </c>
      <c r="F3277" s="12" t="s">
        <v>14001</v>
      </c>
      <c r="G3277" s="12" t="s">
        <v>14004</v>
      </c>
      <c r="H3277" s="12" t="s">
        <v>14005</v>
      </c>
      <c r="I3277" s="12" t="s">
        <v>14064</v>
      </c>
      <c r="J3277" s="12" t="s">
        <v>14204</v>
      </c>
      <c r="K3277" s="12"/>
      <c r="L3277" s="12" t="s">
        <v>14419</v>
      </c>
      <c r="M3277" s="12" t="s">
        <v>14420</v>
      </c>
    </row>
    <row r="3278" spans="1:13" ht="39.6">
      <c r="A3278" s="12" t="s">
        <v>14006</v>
      </c>
      <c r="B3278" s="12" t="s">
        <v>14001</v>
      </c>
      <c r="C3278" s="21" t="s">
        <v>14002</v>
      </c>
      <c r="D3278" s="12" t="s">
        <v>71</v>
      </c>
      <c r="E3278" s="12" t="s">
        <v>14003</v>
      </c>
      <c r="F3278" s="12" t="s">
        <v>14001</v>
      </c>
      <c r="G3278" s="12" t="s">
        <v>14004</v>
      </c>
      <c r="H3278" s="12" t="s">
        <v>14005</v>
      </c>
      <c r="I3278" s="12" t="s">
        <v>14065</v>
      </c>
      <c r="J3278" s="12" t="s">
        <v>14205</v>
      </c>
      <c r="K3278" s="12"/>
      <c r="L3278" s="12" t="s">
        <v>14421</v>
      </c>
      <c r="M3278" s="12" t="s">
        <v>14422</v>
      </c>
    </row>
    <row r="3279" spans="1:13" ht="52.8">
      <c r="A3279" s="12" t="s">
        <v>14006</v>
      </c>
      <c r="B3279" s="12" t="s">
        <v>14001</v>
      </c>
      <c r="C3279" s="21" t="s">
        <v>14002</v>
      </c>
      <c r="D3279" s="12" t="s">
        <v>71</v>
      </c>
      <c r="E3279" s="12" t="s">
        <v>14003</v>
      </c>
      <c r="F3279" s="12" t="s">
        <v>14001</v>
      </c>
      <c r="G3279" s="12" t="s">
        <v>14004</v>
      </c>
      <c r="H3279" s="12" t="s">
        <v>14005</v>
      </c>
      <c r="I3279" s="12" t="s">
        <v>14066</v>
      </c>
      <c r="J3279" s="12" t="s">
        <v>14206</v>
      </c>
      <c r="K3279" s="12" t="s">
        <v>14423</v>
      </c>
      <c r="L3279" s="12" t="s">
        <v>14424</v>
      </c>
      <c r="M3279" s="12" t="s">
        <v>14425</v>
      </c>
    </row>
    <row r="3280" spans="1:13" ht="39.6">
      <c r="A3280" s="12" t="s">
        <v>14006</v>
      </c>
      <c r="B3280" s="12" t="s">
        <v>14001</v>
      </c>
      <c r="C3280" s="21" t="s">
        <v>14002</v>
      </c>
      <c r="D3280" s="12" t="s">
        <v>71</v>
      </c>
      <c r="E3280" s="12" t="s">
        <v>14003</v>
      </c>
      <c r="F3280" s="12" t="s">
        <v>14001</v>
      </c>
      <c r="G3280" s="12" t="s">
        <v>14004</v>
      </c>
      <c r="H3280" s="12" t="s">
        <v>14005</v>
      </c>
      <c r="I3280" s="12" t="s">
        <v>14067</v>
      </c>
      <c r="J3280" s="12" t="s">
        <v>14207</v>
      </c>
      <c r="K3280" s="12" t="s">
        <v>14426</v>
      </c>
      <c r="L3280" s="12" t="s">
        <v>14427</v>
      </c>
      <c r="M3280" s="12" t="s">
        <v>14428</v>
      </c>
    </row>
    <row r="3281" spans="1:13" ht="66">
      <c r="A3281" s="12" t="s">
        <v>14006</v>
      </c>
      <c r="B3281" s="12" t="s">
        <v>14001</v>
      </c>
      <c r="C3281" s="21" t="s">
        <v>14002</v>
      </c>
      <c r="D3281" s="12" t="s">
        <v>71</v>
      </c>
      <c r="E3281" s="12" t="s">
        <v>14003</v>
      </c>
      <c r="F3281" s="12" t="s">
        <v>14001</v>
      </c>
      <c r="G3281" s="12" t="s">
        <v>14004</v>
      </c>
      <c r="H3281" s="12" t="s">
        <v>14005</v>
      </c>
      <c r="I3281" s="12" t="s">
        <v>14068</v>
      </c>
      <c r="J3281" s="12" t="s">
        <v>14208</v>
      </c>
      <c r="K3281" s="12"/>
      <c r="L3281" s="12" t="s">
        <v>14429</v>
      </c>
      <c r="M3281" s="12" t="s">
        <v>14430</v>
      </c>
    </row>
    <row r="3282" spans="1:13" ht="92.4">
      <c r="A3282" s="12" t="s">
        <v>14006</v>
      </c>
      <c r="B3282" s="12" t="s">
        <v>14001</v>
      </c>
      <c r="C3282" s="21" t="s">
        <v>14002</v>
      </c>
      <c r="D3282" s="12" t="s">
        <v>71</v>
      </c>
      <c r="E3282" s="12" t="s">
        <v>14003</v>
      </c>
      <c r="F3282" s="12" t="s">
        <v>14001</v>
      </c>
      <c r="G3282" s="12" t="s">
        <v>14004</v>
      </c>
      <c r="H3282" s="12" t="s">
        <v>14005</v>
      </c>
      <c r="I3282" s="12" t="s">
        <v>14069</v>
      </c>
      <c r="J3282" s="12" t="s">
        <v>14209</v>
      </c>
      <c r="K3282" s="12"/>
      <c r="L3282" s="12" t="s">
        <v>14431</v>
      </c>
      <c r="M3282" s="12" t="s">
        <v>14432</v>
      </c>
    </row>
    <row r="3283" spans="1:13" ht="39.6">
      <c r="A3283" s="12" t="s">
        <v>14006</v>
      </c>
      <c r="B3283" s="12" t="s">
        <v>14001</v>
      </c>
      <c r="C3283" s="21" t="s">
        <v>14002</v>
      </c>
      <c r="D3283" s="12" t="s">
        <v>71</v>
      </c>
      <c r="E3283" s="12" t="s">
        <v>14003</v>
      </c>
      <c r="F3283" s="12" t="s">
        <v>14001</v>
      </c>
      <c r="G3283" s="12" t="s">
        <v>14004</v>
      </c>
      <c r="H3283" s="12" t="s">
        <v>14005</v>
      </c>
      <c r="I3283" s="12" t="s">
        <v>14070</v>
      </c>
      <c r="J3283" s="12" t="s">
        <v>14210</v>
      </c>
      <c r="K3283" s="12" t="s">
        <v>14433</v>
      </c>
      <c r="L3283" s="12" t="s">
        <v>14434</v>
      </c>
      <c r="M3283" s="12" t="s">
        <v>14435</v>
      </c>
    </row>
    <row r="3284" spans="1:13" ht="66">
      <c r="A3284" s="12" t="s">
        <v>14006</v>
      </c>
      <c r="B3284" s="12" t="s">
        <v>14001</v>
      </c>
      <c r="C3284" s="21" t="s">
        <v>14002</v>
      </c>
      <c r="D3284" s="12" t="s">
        <v>71</v>
      </c>
      <c r="E3284" s="12" t="s">
        <v>14003</v>
      </c>
      <c r="F3284" s="12" t="s">
        <v>14001</v>
      </c>
      <c r="G3284" s="12" t="s">
        <v>14004</v>
      </c>
      <c r="H3284" s="12" t="s">
        <v>14005</v>
      </c>
      <c r="I3284" s="12" t="s">
        <v>14071</v>
      </c>
      <c r="J3284" s="12" t="s">
        <v>14211</v>
      </c>
      <c r="K3284" s="12"/>
      <c r="L3284" s="12" t="s">
        <v>14436</v>
      </c>
      <c r="M3284" s="12" t="s">
        <v>14437</v>
      </c>
    </row>
    <row r="3285" spans="1:13" ht="39.6">
      <c r="A3285" s="12" t="s">
        <v>14006</v>
      </c>
      <c r="B3285" s="12" t="s">
        <v>14001</v>
      </c>
      <c r="C3285" s="21" t="s">
        <v>14002</v>
      </c>
      <c r="D3285" s="12" t="s">
        <v>71</v>
      </c>
      <c r="E3285" s="12" t="s">
        <v>14003</v>
      </c>
      <c r="F3285" s="12" t="s">
        <v>14001</v>
      </c>
      <c r="G3285" s="12" t="s">
        <v>14004</v>
      </c>
      <c r="H3285" s="12" t="s">
        <v>14005</v>
      </c>
      <c r="I3285" s="12" t="s">
        <v>14072</v>
      </c>
      <c r="J3285" s="12" t="s">
        <v>14212</v>
      </c>
      <c r="K3285" s="12"/>
      <c r="L3285" s="12" t="s">
        <v>14438</v>
      </c>
      <c r="M3285" s="12" t="s">
        <v>14439</v>
      </c>
    </row>
    <row r="3286" spans="1:13" ht="52.8">
      <c r="A3286" s="12" t="s">
        <v>14006</v>
      </c>
      <c r="B3286" s="12" t="s">
        <v>14001</v>
      </c>
      <c r="C3286" s="21" t="s">
        <v>14002</v>
      </c>
      <c r="D3286" s="12" t="s">
        <v>71</v>
      </c>
      <c r="E3286" s="12" t="s">
        <v>14003</v>
      </c>
      <c r="F3286" s="12" t="s">
        <v>14001</v>
      </c>
      <c r="G3286" s="12" t="s">
        <v>14004</v>
      </c>
      <c r="H3286" s="12" t="s">
        <v>14005</v>
      </c>
      <c r="I3286" s="12" t="s">
        <v>14073</v>
      </c>
      <c r="J3286" s="12" t="s">
        <v>14213</v>
      </c>
      <c r="K3286" s="12" t="s">
        <v>14440</v>
      </c>
      <c r="L3286" s="12" t="s">
        <v>14441</v>
      </c>
      <c r="M3286" s="12" t="s">
        <v>14442</v>
      </c>
    </row>
    <row r="3287" spans="1:13" ht="66">
      <c r="A3287" s="12" t="s">
        <v>14006</v>
      </c>
      <c r="B3287" s="12" t="s">
        <v>14001</v>
      </c>
      <c r="C3287" s="21" t="s">
        <v>14002</v>
      </c>
      <c r="D3287" s="12" t="s">
        <v>71</v>
      </c>
      <c r="E3287" s="12" t="s">
        <v>14003</v>
      </c>
      <c r="F3287" s="12" t="s">
        <v>14001</v>
      </c>
      <c r="G3287" s="12" t="s">
        <v>14004</v>
      </c>
      <c r="H3287" s="12" t="s">
        <v>14005</v>
      </c>
      <c r="I3287" s="12" t="s">
        <v>14074</v>
      </c>
      <c r="J3287" s="12" t="s">
        <v>14214</v>
      </c>
      <c r="K3287" s="12"/>
      <c r="L3287" s="12" t="s">
        <v>14443</v>
      </c>
      <c r="M3287" s="12" t="s">
        <v>14444</v>
      </c>
    </row>
    <row r="3288" spans="1:13" ht="39.6">
      <c r="A3288" s="12" t="s">
        <v>14006</v>
      </c>
      <c r="B3288" s="12" t="s">
        <v>14001</v>
      </c>
      <c r="C3288" s="21" t="s">
        <v>14002</v>
      </c>
      <c r="D3288" s="12" t="s">
        <v>71</v>
      </c>
      <c r="E3288" s="12" t="s">
        <v>14003</v>
      </c>
      <c r="F3288" s="12" t="s">
        <v>14001</v>
      </c>
      <c r="G3288" s="12" t="s">
        <v>14004</v>
      </c>
      <c r="H3288" s="12" t="s">
        <v>14005</v>
      </c>
      <c r="I3288" s="12" t="s">
        <v>14075</v>
      </c>
      <c r="J3288" s="12" t="s">
        <v>14215</v>
      </c>
      <c r="K3288" s="12"/>
      <c r="L3288" s="12" t="s">
        <v>14445</v>
      </c>
      <c r="M3288" s="12" t="s">
        <v>14446</v>
      </c>
    </row>
    <row r="3289" spans="1:13" ht="39.6">
      <c r="A3289" s="12" t="s">
        <v>14006</v>
      </c>
      <c r="B3289" s="12" t="s">
        <v>14001</v>
      </c>
      <c r="C3289" s="21" t="s">
        <v>14002</v>
      </c>
      <c r="D3289" s="12" t="s">
        <v>71</v>
      </c>
      <c r="E3289" s="12" t="s">
        <v>14003</v>
      </c>
      <c r="F3289" s="12" t="s">
        <v>14001</v>
      </c>
      <c r="G3289" s="12" t="s">
        <v>14004</v>
      </c>
      <c r="H3289" s="12" t="s">
        <v>14005</v>
      </c>
      <c r="I3289" s="12" t="s">
        <v>14076</v>
      </c>
      <c r="J3289" s="12" t="s">
        <v>14216</v>
      </c>
      <c r="K3289" s="12"/>
      <c r="L3289" s="12" t="s">
        <v>14447</v>
      </c>
      <c r="M3289" s="12" t="s">
        <v>14448</v>
      </c>
    </row>
    <row r="3290" spans="1:13" ht="39.6">
      <c r="A3290" s="12" t="s">
        <v>14006</v>
      </c>
      <c r="B3290" s="12" t="s">
        <v>14001</v>
      </c>
      <c r="C3290" s="21" t="s">
        <v>14002</v>
      </c>
      <c r="D3290" s="12" t="s">
        <v>71</v>
      </c>
      <c r="E3290" s="12" t="s">
        <v>14003</v>
      </c>
      <c r="F3290" s="12" t="s">
        <v>14001</v>
      </c>
      <c r="G3290" s="12" t="s">
        <v>14004</v>
      </c>
      <c r="H3290" s="12" t="s">
        <v>14005</v>
      </c>
      <c r="I3290" s="12" t="s">
        <v>14077</v>
      </c>
      <c r="J3290" s="12" t="s">
        <v>14217</v>
      </c>
      <c r="K3290" s="12" t="s">
        <v>14449</v>
      </c>
      <c r="L3290" s="12" t="s">
        <v>14450</v>
      </c>
      <c r="M3290" s="12" t="s">
        <v>14451</v>
      </c>
    </row>
    <row r="3291" spans="1:13" ht="39.6">
      <c r="A3291" s="12" t="s">
        <v>14006</v>
      </c>
      <c r="B3291" s="12" t="s">
        <v>14001</v>
      </c>
      <c r="C3291" s="21" t="s">
        <v>14002</v>
      </c>
      <c r="D3291" s="12" t="s">
        <v>71</v>
      </c>
      <c r="E3291" s="12" t="s">
        <v>14003</v>
      </c>
      <c r="F3291" s="12" t="s">
        <v>14001</v>
      </c>
      <c r="G3291" s="12" t="s">
        <v>14004</v>
      </c>
      <c r="H3291" s="12" t="s">
        <v>14005</v>
      </c>
      <c r="I3291" s="12" t="s">
        <v>14078</v>
      </c>
      <c r="J3291" s="12" t="s">
        <v>14218</v>
      </c>
      <c r="K3291" s="12"/>
      <c r="L3291" s="12" t="s">
        <v>14452</v>
      </c>
      <c r="M3291" s="12" t="s">
        <v>14453</v>
      </c>
    </row>
    <row r="3292" spans="1:13" ht="39.6">
      <c r="A3292" s="12" t="s">
        <v>14006</v>
      </c>
      <c r="B3292" s="12" t="s">
        <v>14001</v>
      </c>
      <c r="C3292" s="21" t="s">
        <v>14002</v>
      </c>
      <c r="D3292" s="12" t="s">
        <v>71</v>
      </c>
      <c r="E3292" s="12" t="s">
        <v>14003</v>
      </c>
      <c r="F3292" s="12" t="s">
        <v>14001</v>
      </c>
      <c r="G3292" s="12" t="s">
        <v>14004</v>
      </c>
      <c r="H3292" s="12" t="s">
        <v>14005</v>
      </c>
      <c r="I3292" s="12" t="s">
        <v>14079</v>
      </c>
      <c r="J3292" s="12" t="s">
        <v>14219</v>
      </c>
      <c r="K3292" s="12"/>
      <c r="L3292" s="12" t="s">
        <v>14454</v>
      </c>
      <c r="M3292" s="12" t="s">
        <v>14455</v>
      </c>
    </row>
    <row r="3293" spans="1:13" ht="39.6">
      <c r="A3293" s="12" t="s">
        <v>14006</v>
      </c>
      <c r="B3293" s="12" t="s">
        <v>14001</v>
      </c>
      <c r="C3293" s="21" t="s">
        <v>14002</v>
      </c>
      <c r="D3293" s="12" t="s">
        <v>71</v>
      </c>
      <c r="E3293" s="12" t="s">
        <v>14003</v>
      </c>
      <c r="F3293" s="12" t="s">
        <v>14001</v>
      </c>
      <c r="G3293" s="12" t="s">
        <v>14004</v>
      </c>
      <c r="H3293" s="12" t="s">
        <v>14005</v>
      </c>
      <c r="I3293" s="12" t="s">
        <v>14080</v>
      </c>
      <c r="J3293" s="12" t="s">
        <v>14220</v>
      </c>
      <c r="K3293" s="12" t="s">
        <v>14456</v>
      </c>
      <c r="L3293" s="12" t="s">
        <v>14457</v>
      </c>
      <c r="M3293" s="12" t="s">
        <v>14458</v>
      </c>
    </row>
    <row r="3294" spans="1:13" ht="39.6">
      <c r="A3294" s="12" t="s">
        <v>14006</v>
      </c>
      <c r="B3294" s="12" t="s">
        <v>14001</v>
      </c>
      <c r="C3294" s="21" t="s">
        <v>14002</v>
      </c>
      <c r="D3294" s="12" t="s">
        <v>71</v>
      </c>
      <c r="E3294" s="12" t="s">
        <v>14003</v>
      </c>
      <c r="F3294" s="12" t="s">
        <v>14001</v>
      </c>
      <c r="G3294" s="12" t="s">
        <v>14004</v>
      </c>
      <c r="H3294" s="12" t="s">
        <v>14005</v>
      </c>
      <c r="I3294" s="12" t="s">
        <v>14081</v>
      </c>
      <c r="J3294" s="12" t="s">
        <v>14221</v>
      </c>
      <c r="K3294" s="12"/>
      <c r="L3294" s="12" t="s">
        <v>14459</v>
      </c>
      <c r="M3294" s="12" t="s">
        <v>14460</v>
      </c>
    </row>
    <row r="3295" spans="1:13" ht="39.6">
      <c r="A3295" s="12" t="s">
        <v>14006</v>
      </c>
      <c r="B3295" s="12" t="s">
        <v>14001</v>
      </c>
      <c r="C3295" s="21" t="s">
        <v>14002</v>
      </c>
      <c r="D3295" s="12" t="s">
        <v>71</v>
      </c>
      <c r="E3295" s="12" t="s">
        <v>14003</v>
      </c>
      <c r="F3295" s="12" t="s">
        <v>14001</v>
      </c>
      <c r="G3295" s="12" t="s">
        <v>14004</v>
      </c>
      <c r="H3295" s="12" t="s">
        <v>14005</v>
      </c>
      <c r="I3295" s="12" t="s">
        <v>14082</v>
      </c>
      <c r="J3295" s="12" t="s">
        <v>14222</v>
      </c>
      <c r="K3295" s="12"/>
      <c r="L3295" s="12" t="s">
        <v>14461</v>
      </c>
      <c r="M3295" s="12" t="s">
        <v>14462</v>
      </c>
    </row>
    <row r="3296" spans="1:13" ht="39.6">
      <c r="A3296" s="12" t="s">
        <v>14006</v>
      </c>
      <c r="B3296" s="12" t="s">
        <v>14001</v>
      </c>
      <c r="C3296" s="21" t="s">
        <v>14002</v>
      </c>
      <c r="D3296" s="12" t="s">
        <v>71</v>
      </c>
      <c r="E3296" s="12" t="s">
        <v>14003</v>
      </c>
      <c r="F3296" s="12" t="s">
        <v>14001</v>
      </c>
      <c r="G3296" s="12" t="s">
        <v>14004</v>
      </c>
      <c r="H3296" s="12" t="s">
        <v>14005</v>
      </c>
      <c r="I3296" s="12" t="s">
        <v>14083</v>
      </c>
      <c r="J3296" s="12" t="s">
        <v>14223</v>
      </c>
      <c r="K3296" s="12" t="s">
        <v>14463</v>
      </c>
      <c r="L3296" s="12" t="s">
        <v>14464</v>
      </c>
      <c r="M3296" s="12" t="s">
        <v>14463</v>
      </c>
    </row>
    <row r="3297" spans="1:13" ht="39.6">
      <c r="A3297" s="12" t="s">
        <v>14006</v>
      </c>
      <c r="B3297" s="12" t="s">
        <v>14001</v>
      </c>
      <c r="C3297" s="21" t="s">
        <v>14002</v>
      </c>
      <c r="D3297" s="12" t="s">
        <v>71</v>
      </c>
      <c r="E3297" s="12" t="s">
        <v>14003</v>
      </c>
      <c r="F3297" s="12" t="s">
        <v>14001</v>
      </c>
      <c r="G3297" s="12" t="s">
        <v>14004</v>
      </c>
      <c r="H3297" s="12" t="s">
        <v>14005</v>
      </c>
      <c r="I3297" s="12" t="s">
        <v>14084</v>
      </c>
      <c r="J3297" s="12" t="s">
        <v>14224</v>
      </c>
      <c r="K3297" s="12"/>
      <c r="L3297" s="12" t="s">
        <v>14465</v>
      </c>
      <c r="M3297" s="12" t="s">
        <v>14466</v>
      </c>
    </row>
    <row r="3298" spans="1:13" ht="39.6">
      <c r="A3298" s="12" t="s">
        <v>14006</v>
      </c>
      <c r="B3298" s="12" t="s">
        <v>14001</v>
      </c>
      <c r="C3298" s="21" t="s">
        <v>14002</v>
      </c>
      <c r="D3298" s="12" t="s">
        <v>71</v>
      </c>
      <c r="E3298" s="12" t="s">
        <v>14003</v>
      </c>
      <c r="F3298" s="12" t="s">
        <v>14001</v>
      </c>
      <c r="G3298" s="12" t="s">
        <v>14004</v>
      </c>
      <c r="H3298" s="12" t="s">
        <v>14005</v>
      </c>
      <c r="I3298" s="12" t="s">
        <v>14085</v>
      </c>
      <c r="J3298" s="12" t="s">
        <v>14225</v>
      </c>
      <c r="K3298" s="12"/>
      <c r="L3298" s="12" t="s">
        <v>14467</v>
      </c>
      <c r="M3298" s="12" t="s">
        <v>14468</v>
      </c>
    </row>
    <row r="3299" spans="1:13" ht="39.6">
      <c r="A3299" s="12" t="s">
        <v>14006</v>
      </c>
      <c r="B3299" s="12" t="s">
        <v>14001</v>
      </c>
      <c r="C3299" s="21" t="s">
        <v>14002</v>
      </c>
      <c r="D3299" s="12" t="s">
        <v>71</v>
      </c>
      <c r="E3299" s="12" t="s">
        <v>14003</v>
      </c>
      <c r="F3299" s="12" t="s">
        <v>14001</v>
      </c>
      <c r="G3299" s="12" t="s">
        <v>14004</v>
      </c>
      <c r="H3299" s="12" t="s">
        <v>14005</v>
      </c>
      <c r="I3299" s="12" t="s">
        <v>14086</v>
      </c>
      <c r="J3299" s="12" t="s">
        <v>14226</v>
      </c>
      <c r="K3299" s="12"/>
      <c r="L3299" s="12" t="s">
        <v>14469</v>
      </c>
      <c r="M3299" s="12" t="s">
        <v>14470</v>
      </c>
    </row>
    <row r="3300" spans="1:13" ht="39.6">
      <c r="A3300" s="12" t="s">
        <v>14006</v>
      </c>
      <c r="B3300" s="12" t="s">
        <v>14001</v>
      </c>
      <c r="C3300" s="21" t="s">
        <v>14002</v>
      </c>
      <c r="D3300" s="12" t="s">
        <v>71</v>
      </c>
      <c r="E3300" s="12" t="s">
        <v>14003</v>
      </c>
      <c r="F3300" s="12" t="s">
        <v>14001</v>
      </c>
      <c r="G3300" s="12" t="s">
        <v>14004</v>
      </c>
      <c r="H3300" s="12" t="s">
        <v>14005</v>
      </c>
      <c r="I3300" s="12" t="s">
        <v>14087</v>
      </c>
      <c r="J3300" s="12" t="s">
        <v>14227</v>
      </c>
      <c r="K3300" s="12"/>
      <c r="L3300" s="12" t="s">
        <v>14471</v>
      </c>
      <c r="M3300" s="12" t="s">
        <v>14472</v>
      </c>
    </row>
    <row r="3301" spans="1:13" ht="39.6">
      <c r="A3301" s="12" t="s">
        <v>14006</v>
      </c>
      <c r="B3301" s="12" t="s">
        <v>14001</v>
      </c>
      <c r="C3301" s="21" t="s">
        <v>14002</v>
      </c>
      <c r="D3301" s="12" t="s">
        <v>71</v>
      </c>
      <c r="E3301" s="12" t="s">
        <v>14003</v>
      </c>
      <c r="F3301" s="12" t="s">
        <v>14001</v>
      </c>
      <c r="G3301" s="12" t="s">
        <v>14004</v>
      </c>
      <c r="H3301" s="12" t="s">
        <v>14005</v>
      </c>
      <c r="I3301" s="12" t="s">
        <v>14088</v>
      </c>
      <c r="J3301" s="12" t="s">
        <v>14228</v>
      </c>
      <c r="K3301" s="12"/>
      <c r="L3301" s="12" t="s">
        <v>14473</v>
      </c>
      <c r="M3301" s="12" t="s">
        <v>14474</v>
      </c>
    </row>
    <row r="3302" spans="1:13" ht="52.8">
      <c r="A3302" s="12" t="s">
        <v>14006</v>
      </c>
      <c r="B3302" s="12" t="s">
        <v>14001</v>
      </c>
      <c r="C3302" s="21" t="s">
        <v>14002</v>
      </c>
      <c r="D3302" s="12" t="s">
        <v>71</v>
      </c>
      <c r="E3302" s="12" t="s">
        <v>14003</v>
      </c>
      <c r="F3302" s="12" t="s">
        <v>14001</v>
      </c>
      <c r="G3302" s="12" t="s">
        <v>14004</v>
      </c>
      <c r="H3302" s="12" t="s">
        <v>14005</v>
      </c>
      <c r="I3302" s="12" t="s">
        <v>14089</v>
      </c>
      <c r="J3302" s="12" t="s">
        <v>14229</v>
      </c>
      <c r="K3302" s="12"/>
      <c r="L3302" s="12" t="s">
        <v>14475</v>
      </c>
      <c r="M3302" s="12" t="s">
        <v>14476</v>
      </c>
    </row>
    <row r="3303" spans="1:13" ht="79.2">
      <c r="A3303" s="12" t="s">
        <v>14006</v>
      </c>
      <c r="B3303" s="12" t="s">
        <v>14001</v>
      </c>
      <c r="C3303" s="21" t="s">
        <v>14002</v>
      </c>
      <c r="D3303" s="12" t="s">
        <v>71</v>
      </c>
      <c r="E3303" s="12" t="s">
        <v>14003</v>
      </c>
      <c r="F3303" s="12" t="s">
        <v>14001</v>
      </c>
      <c r="G3303" s="12" t="s">
        <v>14004</v>
      </c>
      <c r="H3303" s="12" t="s">
        <v>14005</v>
      </c>
      <c r="I3303" s="12" t="s">
        <v>14090</v>
      </c>
      <c r="J3303" s="12" t="s">
        <v>14230</v>
      </c>
      <c r="K3303" s="12" t="s">
        <v>14477</v>
      </c>
      <c r="L3303" s="12" t="s">
        <v>14478</v>
      </c>
      <c r="M3303" s="12" t="s">
        <v>14477</v>
      </c>
    </row>
    <row r="3304" spans="1:13" ht="52.8">
      <c r="A3304" s="12" t="s">
        <v>14006</v>
      </c>
      <c r="B3304" s="12" t="s">
        <v>14001</v>
      </c>
      <c r="C3304" s="21" t="s">
        <v>14002</v>
      </c>
      <c r="D3304" s="12" t="s">
        <v>71</v>
      </c>
      <c r="E3304" s="12" t="s">
        <v>14003</v>
      </c>
      <c r="F3304" s="12" t="s">
        <v>14001</v>
      </c>
      <c r="G3304" s="12" t="s">
        <v>14004</v>
      </c>
      <c r="H3304" s="12" t="s">
        <v>14005</v>
      </c>
      <c r="I3304" s="12" t="s">
        <v>14091</v>
      </c>
      <c r="J3304" s="12" t="s">
        <v>14231</v>
      </c>
      <c r="K3304" s="12" t="s">
        <v>14479</v>
      </c>
      <c r="L3304" s="12" t="s">
        <v>14480</v>
      </c>
      <c r="M3304" s="12" t="s">
        <v>14481</v>
      </c>
    </row>
    <row r="3305" spans="1:13" ht="39.6">
      <c r="A3305" s="12" t="s">
        <v>14006</v>
      </c>
      <c r="B3305" s="12" t="s">
        <v>14001</v>
      </c>
      <c r="C3305" s="21" t="s">
        <v>14002</v>
      </c>
      <c r="D3305" s="12" t="s">
        <v>71</v>
      </c>
      <c r="E3305" s="12" t="s">
        <v>14003</v>
      </c>
      <c r="F3305" s="12" t="s">
        <v>14001</v>
      </c>
      <c r="G3305" s="12" t="s">
        <v>14004</v>
      </c>
      <c r="H3305" s="12" t="s">
        <v>14005</v>
      </c>
      <c r="I3305" s="12" t="s">
        <v>14092</v>
      </c>
      <c r="J3305" s="12" t="s">
        <v>14232</v>
      </c>
      <c r="K3305" s="12"/>
      <c r="L3305" s="12" t="s">
        <v>14482</v>
      </c>
      <c r="M3305" s="12" t="s">
        <v>14483</v>
      </c>
    </row>
    <row r="3306" spans="1:13" ht="39.6">
      <c r="A3306" s="12" t="s">
        <v>14006</v>
      </c>
      <c r="B3306" s="12" t="s">
        <v>14001</v>
      </c>
      <c r="C3306" s="21" t="s">
        <v>14002</v>
      </c>
      <c r="D3306" s="12" t="s">
        <v>71</v>
      </c>
      <c r="E3306" s="12" t="s">
        <v>14003</v>
      </c>
      <c r="F3306" s="12" t="s">
        <v>14001</v>
      </c>
      <c r="G3306" s="12" t="s">
        <v>14004</v>
      </c>
      <c r="H3306" s="12" t="s">
        <v>14005</v>
      </c>
      <c r="I3306" s="12" t="s">
        <v>14093</v>
      </c>
      <c r="J3306" s="12" t="s">
        <v>14233</v>
      </c>
      <c r="K3306" s="12" t="s">
        <v>14484</v>
      </c>
      <c r="L3306" s="12" t="s">
        <v>14485</v>
      </c>
      <c r="M3306" s="12" t="s">
        <v>14486</v>
      </c>
    </row>
    <row r="3307" spans="1:13" ht="39.6">
      <c r="A3307" s="12" t="s">
        <v>14006</v>
      </c>
      <c r="B3307" s="12" t="s">
        <v>14001</v>
      </c>
      <c r="C3307" s="21" t="s">
        <v>14002</v>
      </c>
      <c r="D3307" s="12" t="s">
        <v>71</v>
      </c>
      <c r="E3307" s="12" t="s">
        <v>14003</v>
      </c>
      <c r="F3307" s="12" t="s">
        <v>14001</v>
      </c>
      <c r="G3307" s="12" t="s">
        <v>14004</v>
      </c>
      <c r="H3307" s="12" t="s">
        <v>14005</v>
      </c>
      <c r="I3307" s="12" t="s">
        <v>14094</v>
      </c>
      <c r="J3307" s="12" t="s">
        <v>14234</v>
      </c>
      <c r="K3307" s="12" t="s">
        <v>14487</v>
      </c>
      <c r="L3307" s="12" t="s">
        <v>14488</v>
      </c>
      <c r="M3307" s="12" t="s">
        <v>14487</v>
      </c>
    </row>
    <row r="3308" spans="1:13" ht="39.6">
      <c r="A3308" s="12" t="s">
        <v>14006</v>
      </c>
      <c r="B3308" s="12" t="s">
        <v>14001</v>
      </c>
      <c r="C3308" s="21" t="s">
        <v>14002</v>
      </c>
      <c r="D3308" s="12" t="s">
        <v>71</v>
      </c>
      <c r="E3308" s="12" t="s">
        <v>14003</v>
      </c>
      <c r="F3308" s="12" t="s">
        <v>14001</v>
      </c>
      <c r="G3308" s="12" t="s">
        <v>14004</v>
      </c>
      <c r="H3308" s="12" t="s">
        <v>14005</v>
      </c>
      <c r="I3308" s="12" t="s">
        <v>14095</v>
      </c>
      <c r="J3308" s="12" t="s">
        <v>14235</v>
      </c>
      <c r="K3308" s="12"/>
      <c r="L3308" s="12" t="s">
        <v>14489</v>
      </c>
      <c r="M3308" s="12" t="s">
        <v>14490</v>
      </c>
    </row>
    <row r="3309" spans="1:13" ht="66">
      <c r="A3309" s="12" t="s">
        <v>14006</v>
      </c>
      <c r="B3309" s="12" t="s">
        <v>14001</v>
      </c>
      <c r="C3309" s="21" t="s">
        <v>14002</v>
      </c>
      <c r="D3309" s="12" t="s">
        <v>71</v>
      </c>
      <c r="E3309" s="12" t="s">
        <v>14003</v>
      </c>
      <c r="F3309" s="12" t="s">
        <v>14001</v>
      </c>
      <c r="G3309" s="12" t="s">
        <v>14004</v>
      </c>
      <c r="H3309" s="12" t="s">
        <v>14005</v>
      </c>
      <c r="I3309" s="12" t="s">
        <v>14096</v>
      </c>
      <c r="J3309" s="12" t="s">
        <v>14236</v>
      </c>
      <c r="K3309" s="12" t="s">
        <v>14491</v>
      </c>
      <c r="L3309" s="12" t="s">
        <v>14492</v>
      </c>
      <c r="M3309" s="12" t="s">
        <v>14493</v>
      </c>
    </row>
    <row r="3310" spans="1:13" ht="66">
      <c r="A3310" s="12" t="s">
        <v>14006</v>
      </c>
      <c r="B3310" s="12" t="s">
        <v>14001</v>
      </c>
      <c r="C3310" s="21" t="s">
        <v>14002</v>
      </c>
      <c r="D3310" s="12" t="s">
        <v>71</v>
      </c>
      <c r="E3310" s="12" t="s">
        <v>14003</v>
      </c>
      <c r="F3310" s="12" t="s">
        <v>14001</v>
      </c>
      <c r="G3310" s="12" t="s">
        <v>14004</v>
      </c>
      <c r="H3310" s="12" t="s">
        <v>14005</v>
      </c>
      <c r="I3310" s="12" t="s">
        <v>14097</v>
      </c>
      <c r="J3310" s="12" t="s">
        <v>14237</v>
      </c>
      <c r="K3310" s="12"/>
      <c r="L3310" s="12" t="s">
        <v>14494</v>
      </c>
      <c r="M3310" s="12" t="s">
        <v>14495</v>
      </c>
    </row>
    <row r="3311" spans="1:13" ht="39.6">
      <c r="A3311" s="12" t="s">
        <v>14006</v>
      </c>
      <c r="B3311" s="12" t="s">
        <v>14001</v>
      </c>
      <c r="C3311" s="21" t="s">
        <v>14002</v>
      </c>
      <c r="D3311" s="12" t="s">
        <v>71</v>
      </c>
      <c r="E3311" s="12" t="s">
        <v>14003</v>
      </c>
      <c r="F3311" s="12" t="s">
        <v>14001</v>
      </c>
      <c r="G3311" s="12" t="s">
        <v>14004</v>
      </c>
      <c r="H3311" s="12" t="s">
        <v>14005</v>
      </c>
      <c r="I3311" s="12" t="s">
        <v>14098</v>
      </c>
      <c r="J3311" s="12" t="s">
        <v>14238</v>
      </c>
      <c r="K3311" s="12"/>
      <c r="L3311" s="12" t="s">
        <v>14496</v>
      </c>
      <c r="M3311" s="12" t="s">
        <v>14497</v>
      </c>
    </row>
    <row r="3312" spans="1:13" ht="118.8">
      <c r="A3312" s="12" t="s">
        <v>14006</v>
      </c>
      <c r="B3312" s="12" t="s">
        <v>14001</v>
      </c>
      <c r="C3312" s="21" t="s">
        <v>14002</v>
      </c>
      <c r="D3312" s="12" t="s">
        <v>71</v>
      </c>
      <c r="E3312" s="12" t="s">
        <v>14003</v>
      </c>
      <c r="F3312" s="12" t="s">
        <v>14001</v>
      </c>
      <c r="G3312" s="12" t="s">
        <v>14004</v>
      </c>
      <c r="H3312" s="12" t="s">
        <v>14005</v>
      </c>
      <c r="I3312" s="12" t="s">
        <v>14099</v>
      </c>
      <c r="J3312" s="12" t="s">
        <v>14239</v>
      </c>
      <c r="K3312" s="12" t="s">
        <v>14498</v>
      </c>
      <c r="L3312" s="12" t="s">
        <v>14499</v>
      </c>
      <c r="M3312" s="12" t="s">
        <v>14500</v>
      </c>
    </row>
    <row r="3313" spans="1:13" ht="39.6">
      <c r="A3313" s="12" t="s">
        <v>14006</v>
      </c>
      <c r="B3313" s="12" t="s">
        <v>14001</v>
      </c>
      <c r="C3313" s="21" t="s">
        <v>14002</v>
      </c>
      <c r="D3313" s="12" t="s">
        <v>71</v>
      </c>
      <c r="E3313" s="12" t="s">
        <v>14003</v>
      </c>
      <c r="F3313" s="12" t="s">
        <v>14001</v>
      </c>
      <c r="G3313" s="12" t="s">
        <v>14004</v>
      </c>
      <c r="H3313" s="12" t="s">
        <v>14005</v>
      </c>
      <c r="I3313" s="12" t="s">
        <v>14100</v>
      </c>
      <c r="J3313" s="12" t="s">
        <v>14240</v>
      </c>
      <c r="K3313" s="12"/>
      <c r="L3313" s="12" t="s">
        <v>14501</v>
      </c>
      <c r="M3313" s="12" t="s">
        <v>14502</v>
      </c>
    </row>
    <row r="3314" spans="1:13" ht="66">
      <c r="A3314" s="12" t="s">
        <v>14006</v>
      </c>
      <c r="B3314" s="12" t="s">
        <v>14001</v>
      </c>
      <c r="C3314" s="21" t="s">
        <v>14002</v>
      </c>
      <c r="D3314" s="12" t="s">
        <v>71</v>
      </c>
      <c r="E3314" s="12" t="s">
        <v>14003</v>
      </c>
      <c r="F3314" s="12" t="s">
        <v>14001</v>
      </c>
      <c r="G3314" s="12" t="s">
        <v>14004</v>
      </c>
      <c r="H3314" s="12" t="s">
        <v>14005</v>
      </c>
      <c r="I3314" s="12" t="s">
        <v>14101</v>
      </c>
      <c r="J3314" s="12" t="s">
        <v>14241</v>
      </c>
      <c r="K3314" s="12" t="s">
        <v>14503</v>
      </c>
      <c r="L3314" s="12" t="s">
        <v>14504</v>
      </c>
      <c r="M3314" s="12" t="s">
        <v>14505</v>
      </c>
    </row>
    <row r="3315" spans="1:13" ht="39.6">
      <c r="A3315" s="12" t="s">
        <v>14006</v>
      </c>
      <c r="B3315" s="12" t="s">
        <v>14001</v>
      </c>
      <c r="C3315" s="21" t="s">
        <v>14002</v>
      </c>
      <c r="D3315" s="12" t="s">
        <v>71</v>
      </c>
      <c r="E3315" s="12" t="s">
        <v>14003</v>
      </c>
      <c r="F3315" s="12" t="s">
        <v>14001</v>
      </c>
      <c r="G3315" s="12" t="s">
        <v>14004</v>
      </c>
      <c r="H3315" s="12" t="s">
        <v>14005</v>
      </c>
      <c r="I3315" s="12" t="s">
        <v>14102</v>
      </c>
      <c r="J3315" s="12" t="s">
        <v>14242</v>
      </c>
      <c r="K3315" s="12"/>
      <c r="L3315" s="12" t="s">
        <v>14506</v>
      </c>
      <c r="M3315" s="12" t="s">
        <v>14507</v>
      </c>
    </row>
    <row r="3316" spans="1:13" ht="39.6">
      <c r="A3316" s="12" t="s">
        <v>14006</v>
      </c>
      <c r="B3316" s="12" t="s">
        <v>14001</v>
      </c>
      <c r="C3316" s="21" t="s">
        <v>14002</v>
      </c>
      <c r="D3316" s="12" t="s">
        <v>71</v>
      </c>
      <c r="E3316" s="12" t="s">
        <v>14003</v>
      </c>
      <c r="F3316" s="12" t="s">
        <v>14001</v>
      </c>
      <c r="G3316" s="12" t="s">
        <v>14004</v>
      </c>
      <c r="H3316" s="12" t="s">
        <v>14005</v>
      </c>
      <c r="I3316" s="12" t="s">
        <v>14103</v>
      </c>
      <c r="J3316" s="12" t="s">
        <v>14243</v>
      </c>
      <c r="K3316" s="12"/>
      <c r="L3316" s="12" t="s">
        <v>14508</v>
      </c>
      <c r="M3316" s="12" t="s">
        <v>14509</v>
      </c>
    </row>
    <row r="3317" spans="1:13" ht="39.6">
      <c r="A3317" s="12" t="s">
        <v>14006</v>
      </c>
      <c r="B3317" s="12" t="s">
        <v>14001</v>
      </c>
      <c r="C3317" s="21" t="s">
        <v>14002</v>
      </c>
      <c r="D3317" s="12" t="s">
        <v>71</v>
      </c>
      <c r="E3317" s="12" t="s">
        <v>14003</v>
      </c>
      <c r="F3317" s="12" t="s">
        <v>14001</v>
      </c>
      <c r="G3317" s="12" t="s">
        <v>14004</v>
      </c>
      <c r="H3317" s="12" t="s">
        <v>14005</v>
      </c>
      <c r="I3317" s="12" t="s">
        <v>14104</v>
      </c>
      <c r="J3317" s="12" t="s">
        <v>14244</v>
      </c>
      <c r="K3317" s="12"/>
      <c r="L3317" s="12" t="s">
        <v>14510</v>
      </c>
      <c r="M3317" s="12" t="s">
        <v>14511</v>
      </c>
    </row>
    <row r="3318" spans="1:13" ht="52.8">
      <c r="A3318" s="12" t="s">
        <v>14006</v>
      </c>
      <c r="B3318" s="12" t="s">
        <v>14001</v>
      </c>
      <c r="C3318" s="21" t="s">
        <v>14002</v>
      </c>
      <c r="D3318" s="12" t="s">
        <v>71</v>
      </c>
      <c r="E3318" s="12" t="s">
        <v>14003</v>
      </c>
      <c r="F3318" s="12" t="s">
        <v>14001</v>
      </c>
      <c r="G3318" s="12" t="s">
        <v>14004</v>
      </c>
      <c r="H3318" s="12" t="s">
        <v>14005</v>
      </c>
      <c r="I3318" s="12" t="s">
        <v>14105</v>
      </c>
      <c r="J3318" s="12" t="s">
        <v>14245</v>
      </c>
      <c r="K3318" s="12"/>
      <c r="L3318" s="12" t="s">
        <v>14512</v>
      </c>
      <c r="M3318" s="12" t="s">
        <v>14513</v>
      </c>
    </row>
    <row r="3319" spans="1:13" ht="118.8">
      <c r="A3319" s="12" t="s">
        <v>14006</v>
      </c>
      <c r="B3319" s="12" t="s">
        <v>14001</v>
      </c>
      <c r="C3319" s="21" t="s">
        <v>14002</v>
      </c>
      <c r="D3319" s="12" t="s">
        <v>71</v>
      </c>
      <c r="E3319" s="12" t="s">
        <v>14003</v>
      </c>
      <c r="F3319" s="12" t="s">
        <v>14001</v>
      </c>
      <c r="G3319" s="12" t="s">
        <v>14004</v>
      </c>
      <c r="H3319" s="12" t="s">
        <v>14005</v>
      </c>
      <c r="I3319" s="12" t="s">
        <v>14106</v>
      </c>
      <c r="J3319" s="12" t="s">
        <v>14246</v>
      </c>
      <c r="K3319" s="12" t="s">
        <v>14514</v>
      </c>
      <c r="L3319" s="12" t="s">
        <v>14515</v>
      </c>
      <c r="M3319" s="12" t="s">
        <v>14516</v>
      </c>
    </row>
    <row r="3320" spans="1:13" ht="39.6">
      <c r="A3320" s="12" t="s">
        <v>14006</v>
      </c>
      <c r="B3320" s="12" t="s">
        <v>14001</v>
      </c>
      <c r="C3320" s="21" t="s">
        <v>14002</v>
      </c>
      <c r="D3320" s="12" t="s">
        <v>71</v>
      </c>
      <c r="E3320" s="12" t="s">
        <v>14003</v>
      </c>
      <c r="F3320" s="12" t="s">
        <v>14001</v>
      </c>
      <c r="G3320" s="12" t="s">
        <v>14004</v>
      </c>
      <c r="H3320" s="12" t="s">
        <v>14005</v>
      </c>
      <c r="I3320" s="12" t="s">
        <v>14107</v>
      </c>
      <c r="J3320" s="12" t="s">
        <v>14247</v>
      </c>
      <c r="K3320" s="12" t="s">
        <v>14517</v>
      </c>
      <c r="L3320" s="12" t="s">
        <v>14518</v>
      </c>
      <c r="M3320" s="12" t="s">
        <v>14519</v>
      </c>
    </row>
    <row r="3321" spans="1:13" ht="39.6">
      <c r="A3321" s="12" t="s">
        <v>14006</v>
      </c>
      <c r="B3321" s="12" t="s">
        <v>14001</v>
      </c>
      <c r="C3321" s="21" t="s">
        <v>14002</v>
      </c>
      <c r="D3321" s="12" t="s">
        <v>71</v>
      </c>
      <c r="E3321" s="12" t="s">
        <v>14003</v>
      </c>
      <c r="F3321" s="12" t="s">
        <v>14001</v>
      </c>
      <c r="G3321" s="12" t="s">
        <v>14004</v>
      </c>
      <c r="H3321" s="12" t="s">
        <v>14005</v>
      </c>
      <c r="I3321" s="12" t="s">
        <v>14108</v>
      </c>
      <c r="J3321" s="12" t="s">
        <v>14248</v>
      </c>
      <c r="K3321" s="12"/>
      <c r="L3321" s="12" t="s">
        <v>14520</v>
      </c>
      <c r="M3321" s="12" t="s">
        <v>14521</v>
      </c>
    </row>
    <row r="3322" spans="1:13" ht="39.6">
      <c r="A3322" s="12" t="s">
        <v>14006</v>
      </c>
      <c r="B3322" s="12" t="s">
        <v>14001</v>
      </c>
      <c r="C3322" s="21" t="s">
        <v>14002</v>
      </c>
      <c r="D3322" s="12" t="s">
        <v>71</v>
      </c>
      <c r="E3322" s="12" t="s">
        <v>14003</v>
      </c>
      <c r="F3322" s="12" t="s">
        <v>14001</v>
      </c>
      <c r="G3322" s="12" t="s">
        <v>14004</v>
      </c>
      <c r="H3322" s="12" t="s">
        <v>14005</v>
      </c>
      <c r="I3322" s="12" t="s">
        <v>14109</v>
      </c>
      <c r="J3322" s="12" t="s">
        <v>14249</v>
      </c>
      <c r="K3322" s="12" t="s">
        <v>14522</v>
      </c>
      <c r="L3322" s="12" t="s">
        <v>14523</v>
      </c>
      <c r="M3322" s="12" t="s">
        <v>1366</v>
      </c>
    </row>
    <row r="3323" spans="1:13" ht="39.6">
      <c r="A3323" s="12" t="s">
        <v>14006</v>
      </c>
      <c r="B3323" s="12" t="s">
        <v>14001</v>
      </c>
      <c r="C3323" s="21" t="s">
        <v>14002</v>
      </c>
      <c r="D3323" s="12" t="s">
        <v>71</v>
      </c>
      <c r="E3323" s="12" t="s">
        <v>14003</v>
      </c>
      <c r="F3323" s="12" t="s">
        <v>14001</v>
      </c>
      <c r="G3323" s="12" t="s">
        <v>14004</v>
      </c>
      <c r="H3323" s="12" t="s">
        <v>14005</v>
      </c>
      <c r="I3323" s="12" t="s">
        <v>14110</v>
      </c>
      <c r="J3323" s="12" t="s">
        <v>14250</v>
      </c>
      <c r="K3323" s="12"/>
      <c r="L3323" s="12" t="s">
        <v>14524</v>
      </c>
      <c r="M3323" s="12" t="s">
        <v>14525</v>
      </c>
    </row>
    <row r="3324" spans="1:13" ht="39.6">
      <c r="A3324" s="12" t="s">
        <v>14006</v>
      </c>
      <c r="B3324" s="12" t="s">
        <v>14001</v>
      </c>
      <c r="C3324" s="21" t="s">
        <v>14002</v>
      </c>
      <c r="D3324" s="12" t="s">
        <v>71</v>
      </c>
      <c r="E3324" s="12" t="s">
        <v>14003</v>
      </c>
      <c r="F3324" s="12" t="s">
        <v>14001</v>
      </c>
      <c r="G3324" s="12" t="s">
        <v>14004</v>
      </c>
      <c r="H3324" s="12" t="s">
        <v>14005</v>
      </c>
      <c r="I3324" s="12" t="s">
        <v>14111</v>
      </c>
      <c r="J3324" s="12" t="s">
        <v>14251</v>
      </c>
      <c r="K3324" s="12"/>
      <c r="L3324" s="12" t="s">
        <v>14526</v>
      </c>
      <c r="M3324" s="12" t="s">
        <v>14527</v>
      </c>
    </row>
    <row r="3325" spans="1:13" ht="39.6">
      <c r="A3325" s="12" t="s">
        <v>14006</v>
      </c>
      <c r="B3325" s="12" t="s">
        <v>14001</v>
      </c>
      <c r="C3325" s="21" t="s">
        <v>14002</v>
      </c>
      <c r="D3325" s="12" t="s">
        <v>71</v>
      </c>
      <c r="E3325" s="12" t="s">
        <v>14003</v>
      </c>
      <c r="F3325" s="12" t="s">
        <v>14001</v>
      </c>
      <c r="G3325" s="12" t="s">
        <v>14004</v>
      </c>
      <c r="H3325" s="12" t="s">
        <v>14005</v>
      </c>
      <c r="I3325" s="12" t="s">
        <v>14112</v>
      </c>
      <c r="J3325" s="12" t="s">
        <v>14252</v>
      </c>
      <c r="K3325" s="12"/>
      <c r="L3325" s="12" t="s">
        <v>14528</v>
      </c>
      <c r="M3325" s="12" t="s">
        <v>14529</v>
      </c>
    </row>
    <row r="3326" spans="1:13" ht="52.8">
      <c r="A3326" s="12" t="s">
        <v>14006</v>
      </c>
      <c r="B3326" s="12" t="s">
        <v>14001</v>
      </c>
      <c r="C3326" s="21" t="s">
        <v>14002</v>
      </c>
      <c r="D3326" s="12" t="s">
        <v>71</v>
      </c>
      <c r="E3326" s="12" t="s">
        <v>14003</v>
      </c>
      <c r="F3326" s="12" t="s">
        <v>14001</v>
      </c>
      <c r="G3326" s="12" t="s">
        <v>14004</v>
      </c>
      <c r="H3326" s="12" t="s">
        <v>14005</v>
      </c>
      <c r="I3326" s="12" t="s">
        <v>14113</v>
      </c>
      <c r="J3326" s="12" t="s">
        <v>14253</v>
      </c>
      <c r="K3326" s="12" t="s">
        <v>14530</v>
      </c>
      <c r="L3326" s="12" t="s">
        <v>14531</v>
      </c>
      <c r="M3326" s="12" t="s">
        <v>14532</v>
      </c>
    </row>
    <row r="3327" spans="1:13" ht="52.8">
      <c r="A3327" s="12" t="s">
        <v>14006</v>
      </c>
      <c r="B3327" s="12" t="s">
        <v>14001</v>
      </c>
      <c r="C3327" s="21" t="s">
        <v>14002</v>
      </c>
      <c r="D3327" s="12" t="s">
        <v>71</v>
      </c>
      <c r="E3327" s="12" t="s">
        <v>14003</v>
      </c>
      <c r="F3327" s="12" t="s">
        <v>14001</v>
      </c>
      <c r="G3327" s="12" t="s">
        <v>14004</v>
      </c>
      <c r="H3327" s="12" t="s">
        <v>14005</v>
      </c>
      <c r="I3327" s="12" t="s">
        <v>14114</v>
      </c>
      <c r="J3327" s="12" t="s">
        <v>14254</v>
      </c>
      <c r="K3327" s="12"/>
      <c r="L3327" s="12" t="s">
        <v>14533</v>
      </c>
      <c r="M3327" s="12" t="s">
        <v>14534</v>
      </c>
    </row>
    <row r="3328" spans="1:13" ht="39.6">
      <c r="A3328" s="12" t="s">
        <v>14006</v>
      </c>
      <c r="B3328" s="12" t="s">
        <v>14001</v>
      </c>
      <c r="C3328" s="21" t="s">
        <v>14002</v>
      </c>
      <c r="D3328" s="12" t="s">
        <v>71</v>
      </c>
      <c r="E3328" s="12" t="s">
        <v>14003</v>
      </c>
      <c r="F3328" s="12" t="s">
        <v>14001</v>
      </c>
      <c r="G3328" s="12" t="s">
        <v>14004</v>
      </c>
      <c r="H3328" s="12" t="s">
        <v>14005</v>
      </c>
      <c r="I3328" s="12" t="s">
        <v>14115</v>
      </c>
      <c r="J3328" s="12" t="s">
        <v>14255</v>
      </c>
      <c r="K3328" s="12"/>
      <c r="L3328" s="12" t="s">
        <v>14535</v>
      </c>
      <c r="M3328" s="12" t="s">
        <v>14536</v>
      </c>
    </row>
    <row r="3329" spans="1:13" ht="39.6">
      <c r="A3329" s="12" t="s">
        <v>14006</v>
      </c>
      <c r="B3329" s="12" t="s">
        <v>14001</v>
      </c>
      <c r="C3329" s="21" t="s">
        <v>14002</v>
      </c>
      <c r="D3329" s="12" t="s">
        <v>71</v>
      </c>
      <c r="E3329" s="12" t="s">
        <v>14003</v>
      </c>
      <c r="F3329" s="12" t="s">
        <v>14001</v>
      </c>
      <c r="G3329" s="12" t="s">
        <v>14004</v>
      </c>
      <c r="H3329" s="12" t="s">
        <v>14005</v>
      </c>
      <c r="I3329" s="12" t="s">
        <v>14116</v>
      </c>
      <c r="J3329" s="12" t="s">
        <v>14256</v>
      </c>
      <c r="K3329" s="12"/>
      <c r="L3329" s="12" t="s">
        <v>14537</v>
      </c>
      <c r="M3329" s="12" t="s">
        <v>14538</v>
      </c>
    </row>
    <row r="3330" spans="1:13" ht="39.6">
      <c r="A3330" s="12" t="s">
        <v>14006</v>
      </c>
      <c r="B3330" s="12" t="s">
        <v>14001</v>
      </c>
      <c r="C3330" s="21" t="s">
        <v>14002</v>
      </c>
      <c r="D3330" s="12" t="s">
        <v>71</v>
      </c>
      <c r="E3330" s="12" t="s">
        <v>14003</v>
      </c>
      <c r="F3330" s="12" t="s">
        <v>14001</v>
      </c>
      <c r="G3330" s="12" t="s">
        <v>14004</v>
      </c>
      <c r="H3330" s="12" t="s">
        <v>14005</v>
      </c>
      <c r="I3330" s="12" t="s">
        <v>14117</v>
      </c>
      <c r="J3330" s="12" t="s">
        <v>14257</v>
      </c>
      <c r="K3330" s="12" t="s">
        <v>14539</v>
      </c>
      <c r="L3330" s="12" t="s">
        <v>14540</v>
      </c>
      <c r="M3330" s="12" t="s">
        <v>14541</v>
      </c>
    </row>
    <row r="3331" spans="1:13" ht="39.6">
      <c r="A3331" s="12" t="s">
        <v>14006</v>
      </c>
      <c r="B3331" s="12" t="s">
        <v>14001</v>
      </c>
      <c r="C3331" s="21" t="s">
        <v>14002</v>
      </c>
      <c r="D3331" s="12" t="s">
        <v>71</v>
      </c>
      <c r="E3331" s="12" t="s">
        <v>14003</v>
      </c>
      <c r="F3331" s="12" t="s">
        <v>14001</v>
      </c>
      <c r="G3331" s="12" t="s">
        <v>14004</v>
      </c>
      <c r="H3331" s="12" t="s">
        <v>14005</v>
      </c>
      <c r="I3331" s="12" t="s">
        <v>14118</v>
      </c>
      <c r="J3331" s="12" t="s">
        <v>14258</v>
      </c>
      <c r="K3331" s="12"/>
      <c r="L3331" s="12" t="s">
        <v>14542</v>
      </c>
      <c r="M3331" s="12" t="s">
        <v>14543</v>
      </c>
    </row>
    <row r="3332" spans="1:13" ht="39.6">
      <c r="A3332" s="12" t="s">
        <v>14006</v>
      </c>
      <c r="B3332" s="12" t="s">
        <v>14001</v>
      </c>
      <c r="C3332" s="21" t="s">
        <v>14002</v>
      </c>
      <c r="D3332" s="12" t="s">
        <v>71</v>
      </c>
      <c r="E3332" s="12" t="s">
        <v>14003</v>
      </c>
      <c r="F3332" s="12" t="s">
        <v>14001</v>
      </c>
      <c r="G3332" s="12" t="s">
        <v>14004</v>
      </c>
      <c r="H3332" s="12" t="s">
        <v>14005</v>
      </c>
      <c r="I3332" s="12" t="s">
        <v>14119</v>
      </c>
      <c r="J3332" s="12" t="s">
        <v>14259</v>
      </c>
      <c r="K3332" s="12"/>
      <c r="L3332" s="12" t="s">
        <v>14544</v>
      </c>
      <c r="M3332" s="12" t="s">
        <v>14545</v>
      </c>
    </row>
    <row r="3333" spans="1:13" ht="39.6">
      <c r="A3333" s="12" t="s">
        <v>14006</v>
      </c>
      <c r="B3333" s="12" t="s">
        <v>14001</v>
      </c>
      <c r="C3333" s="21" t="s">
        <v>14002</v>
      </c>
      <c r="D3333" s="12" t="s">
        <v>71</v>
      </c>
      <c r="E3333" s="12" t="s">
        <v>14003</v>
      </c>
      <c r="F3333" s="12" t="s">
        <v>14001</v>
      </c>
      <c r="G3333" s="12" t="s">
        <v>14004</v>
      </c>
      <c r="H3333" s="12" t="s">
        <v>14005</v>
      </c>
      <c r="I3333" s="12" t="s">
        <v>14120</v>
      </c>
      <c r="J3333" s="12" t="s">
        <v>14260</v>
      </c>
      <c r="K3333" s="12" t="s">
        <v>14546</v>
      </c>
      <c r="L3333" s="12" t="s">
        <v>14547</v>
      </c>
      <c r="M3333" s="12" t="s">
        <v>14548</v>
      </c>
    </row>
    <row r="3334" spans="1:13" ht="39.6">
      <c r="A3334" s="12" t="s">
        <v>14006</v>
      </c>
      <c r="B3334" s="12" t="s">
        <v>14001</v>
      </c>
      <c r="C3334" s="21" t="s">
        <v>14002</v>
      </c>
      <c r="D3334" s="12" t="s">
        <v>71</v>
      </c>
      <c r="E3334" s="12" t="s">
        <v>14003</v>
      </c>
      <c r="F3334" s="12" t="s">
        <v>14001</v>
      </c>
      <c r="G3334" s="12" t="s">
        <v>14004</v>
      </c>
      <c r="H3334" s="12" t="s">
        <v>14005</v>
      </c>
      <c r="I3334" s="12" t="s">
        <v>14121</v>
      </c>
      <c r="J3334" s="12" t="s">
        <v>14261</v>
      </c>
      <c r="K3334" s="12"/>
      <c r="L3334" s="12" t="s">
        <v>14549</v>
      </c>
      <c r="M3334" s="12" t="s">
        <v>14550</v>
      </c>
    </row>
    <row r="3335" spans="1:13" ht="52.8">
      <c r="A3335" s="12" t="s">
        <v>14006</v>
      </c>
      <c r="B3335" s="12" t="s">
        <v>14001</v>
      </c>
      <c r="C3335" s="21" t="s">
        <v>14002</v>
      </c>
      <c r="D3335" s="12" t="s">
        <v>71</v>
      </c>
      <c r="E3335" s="12" t="s">
        <v>14003</v>
      </c>
      <c r="F3335" s="12" t="s">
        <v>14001</v>
      </c>
      <c r="G3335" s="12" t="s">
        <v>14004</v>
      </c>
      <c r="H3335" s="12" t="s">
        <v>14005</v>
      </c>
      <c r="I3335" s="12" t="s">
        <v>14122</v>
      </c>
      <c r="J3335" s="12" t="s">
        <v>14262</v>
      </c>
      <c r="K3335" s="12" t="s">
        <v>14551</v>
      </c>
      <c r="L3335" s="12" t="s">
        <v>14552</v>
      </c>
      <c r="M3335" s="12" t="s">
        <v>14553</v>
      </c>
    </row>
    <row r="3336" spans="1:13" ht="39.6">
      <c r="A3336" s="12" t="s">
        <v>14006</v>
      </c>
      <c r="B3336" s="12" t="s">
        <v>14001</v>
      </c>
      <c r="C3336" s="21" t="s">
        <v>14002</v>
      </c>
      <c r="D3336" s="12" t="s">
        <v>71</v>
      </c>
      <c r="E3336" s="12" t="s">
        <v>14003</v>
      </c>
      <c r="F3336" s="12" t="s">
        <v>14001</v>
      </c>
      <c r="G3336" s="12" t="s">
        <v>14004</v>
      </c>
      <c r="H3336" s="12" t="s">
        <v>14005</v>
      </c>
      <c r="I3336" s="12" t="s">
        <v>14123</v>
      </c>
      <c r="J3336" s="12" t="s">
        <v>14263</v>
      </c>
      <c r="K3336" s="12" t="s">
        <v>14554</v>
      </c>
      <c r="L3336" s="12" t="s">
        <v>14555</v>
      </c>
      <c r="M3336" s="12" t="s">
        <v>14556</v>
      </c>
    </row>
    <row r="3337" spans="1:13" ht="39.6">
      <c r="A3337" s="12" t="s">
        <v>14006</v>
      </c>
      <c r="B3337" s="12" t="s">
        <v>14001</v>
      </c>
      <c r="C3337" s="21" t="s">
        <v>14002</v>
      </c>
      <c r="D3337" s="12" t="s">
        <v>71</v>
      </c>
      <c r="E3337" s="12" t="s">
        <v>14003</v>
      </c>
      <c r="F3337" s="12" t="s">
        <v>14001</v>
      </c>
      <c r="G3337" s="12" t="s">
        <v>14004</v>
      </c>
      <c r="H3337" s="12" t="s">
        <v>14005</v>
      </c>
      <c r="I3337" s="12" t="s">
        <v>14124</v>
      </c>
      <c r="J3337" s="12" t="s">
        <v>14264</v>
      </c>
      <c r="K3337" s="12"/>
      <c r="L3337" s="12" t="s">
        <v>14557</v>
      </c>
      <c r="M3337" s="12" t="s">
        <v>14558</v>
      </c>
    </row>
    <row r="3338" spans="1:13" ht="79.2">
      <c r="A3338" s="12" t="s">
        <v>14006</v>
      </c>
      <c r="B3338" s="12" t="s">
        <v>14001</v>
      </c>
      <c r="C3338" s="21" t="s">
        <v>14002</v>
      </c>
      <c r="D3338" s="12" t="s">
        <v>71</v>
      </c>
      <c r="E3338" s="12" t="s">
        <v>14003</v>
      </c>
      <c r="F3338" s="12" t="s">
        <v>14001</v>
      </c>
      <c r="G3338" s="12" t="s">
        <v>14004</v>
      </c>
      <c r="H3338" s="12" t="s">
        <v>14005</v>
      </c>
      <c r="I3338" s="12" t="s">
        <v>14125</v>
      </c>
      <c r="J3338" s="12" t="s">
        <v>14265</v>
      </c>
      <c r="K3338" s="12"/>
      <c r="L3338" s="12" t="s">
        <v>14559</v>
      </c>
      <c r="M3338" s="12" t="s">
        <v>14560</v>
      </c>
    </row>
    <row r="3339" spans="1:13" ht="39.6">
      <c r="A3339" s="12" t="s">
        <v>14006</v>
      </c>
      <c r="B3339" s="12" t="s">
        <v>14001</v>
      </c>
      <c r="C3339" s="21" t="s">
        <v>14002</v>
      </c>
      <c r="D3339" s="12" t="s">
        <v>71</v>
      </c>
      <c r="E3339" s="12" t="s">
        <v>14003</v>
      </c>
      <c r="F3339" s="12" t="s">
        <v>14001</v>
      </c>
      <c r="G3339" s="12" t="s">
        <v>14004</v>
      </c>
      <c r="H3339" s="12" t="s">
        <v>14005</v>
      </c>
      <c r="I3339" s="12" t="s">
        <v>14126</v>
      </c>
      <c r="J3339" s="12" t="s">
        <v>14266</v>
      </c>
      <c r="K3339" s="12"/>
      <c r="L3339" s="12" t="s">
        <v>14561</v>
      </c>
      <c r="M3339" s="12" t="s">
        <v>14562</v>
      </c>
    </row>
    <row r="3340" spans="1:13" ht="39.6">
      <c r="A3340" s="12" t="s">
        <v>14006</v>
      </c>
      <c r="B3340" s="12" t="s">
        <v>14001</v>
      </c>
      <c r="C3340" s="21" t="s">
        <v>14002</v>
      </c>
      <c r="D3340" s="12" t="s">
        <v>71</v>
      </c>
      <c r="E3340" s="12" t="s">
        <v>14003</v>
      </c>
      <c r="F3340" s="12" t="s">
        <v>14001</v>
      </c>
      <c r="G3340" s="12" t="s">
        <v>14004</v>
      </c>
      <c r="H3340" s="12" t="s">
        <v>14005</v>
      </c>
      <c r="I3340" s="12" t="s">
        <v>14127</v>
      </c>
      <c r="J3340" s="12" t="s">
        <v>14267</v>
      </c>
      <c r="K3340" s="12"/>
      <c r="L3340" s="12" t="s">
        <v>14563</v>
      </c>
      <c r="M3340" s="12" t="s">
        <v>14564</v>
      </c>
    </row>
    <row r="3341" spans="1:13" ht="52.8">
      <c r="A3341" s="12" t="s">
        <v>14006</v>
      </c>
      <c r="B3341" s="12" t="s">
        <v>14001</v>
      </c>
      <c r="C3341" s="21" t="s">
        <v>14002</v>
      </c>
      <c r="D3341" s="12" t="s">
        <v>71</v>
      </c>
      <c r="E3341" s="12" t="s">
        <v>14003</v>
      </c>
      <c r="F3341" s="12" t="s">
        <v>14001</v>
      </c>
      <c r="G3341" s="12" t="s">
        <v>14004</v>
      </c>
      <c r="H3341" s="12" t="s">
        <v>14005</v>
      </c>
      <c r="I3341" s="12" t="s">
        <v>14128</v>
      </c>
      <c r="J3341" s="12" t="s">
        <v>14268</v>
      </c>
      <c r="K3341" s="12"/>
      <c r="L3341" s="12" t="s">
        <v>14565</v>
      </c>
      <c r="M3341" s="12" t="s">
        <v>14566</v>
      </c>
    </row>
    <row r="3342" spans="1:13" ht="39.6">
      <c r="A3342" s="12" t="s">
        <v>14006</v>
      </c>
      <c r="B3342" s="12" t="s">
        <v>14001</v>
      </c>
      <c r="C3342" s="21" t="s">
        <v>14002</v>
      </c>
      <c r="D3342" s="12" t="s">
        <v>71</v>
      </c>
      <c r="E3342" s="12" t="s">
        <v>14003</v>
      </c>
      <c r="F3342" s="12" t="s">
        <v>14001</v>
      </c>
      <c r="G3342" s="12" t="s">
        <v>14004</v>
      </c>
      <c r="H3342" s="12" t="s">
        <v>14005</v>
      </c>
      <c r="I3342" s="12" t="s">
        <v>14129</v>
      </c>
      <c r="J3342" s="12" t="s">
        <v>14269</v>
      </c>
      <c r="K3342" s="12" t="s">
        <v>14567</v>
      </c>
      <c r="L3342" s="12" t="s">
        <v>14568</v>
      </c>
      <c r="M3342" s="12" t="s">
        <v>14569</v>
      </c>
    </row>
    <row r="3343" spans="1:13" ht="52.8">
      <c r="A3343" s="12" t="s">
        <v>14006</v>
      </c>
      <c r="B3343" s="12" t="s">
        <v>14001</v>
      </c>
      <c r="C3343" s="21" t="s">
        <v>14002</v>
      </c>
      <c r="D3343" s="12" t="s">
        <v>71</v>
      </c>
      <c r="E3343" s="12" t="s">
        <v>14003</v>
      </c>
      <c r="F3343" s="12" t="s">
        <v>14001</v>
      </c>
      <c r="G3343" s="12" t="s">
        <v>14004</v>
      </c>
      <c r="H3343" s="12" t="s">
        <v>14005</v>
      </c>
      <c r="I3343" s="12" t="s">
        <v>14130</v>
      </c>
      <c r="J3343" s="12" t="s">
        <v>14270</v>
      </c>
      <c r="K3343" s="12" t="s">
        <v>14570</v>
      </c>
      <c r="L3343" s="12" t="s">
        <v>14571</v>
      </c>
      <c r="M3343" s="12" t="s">
        <v>14572</v>
      </c>
    </row>
    <row r="3344" spans="1:13" ht="39.6">
      <c r="A3344" s="12" t="s">
        <v>14006</v>
      </c>
      <c r="B3344" s="12" t="s">
        <v>14001</v>
      </c>
      <c r="C3344" s="21" t="s">
        <v>14002</v>
      </c>
      <c r="D3344" s="12" t="s">
        <v>71</v>
      </c>
      <c r="E3344" s="12" t="s">
        <v>14003</v>
      </c>
      <c r="F3344" s="12" t="s">
        <v>14001</v>
      </c>
      <c r="G3344" s="12" t="s">
        <v>14004</v>
      </c>
      <c r="H3344" s="12" t="s">
        <v>14005</v>
      </c>
      <c r="I3344" s="12" t="s">
        <v>14131</v>
      </c>
      <c r="J3344" s="12" t="s">
        <v>14271</v>
      </c>
      <c r="K3344" s="12"/>
      <c r="L3344" s="12" t="s">
        <v>14573</v>
      </c>
      <c r="M3344" s="12" t="s">
        <v>14574</v>
      </c>
    </row>
    <row r="3345" spans="1:13" ht="39.6">
      <c r="A3345" s="12" t="s">
        <v>14006</v>
      </c>
      <c r="B3345" s="12" t="s">
        <v>14001</v>
      </c>
      <c r="C3345" s="21" t="s">
        <v>14002</v>
      </c>
      <c r="D3345" s="12" t="s">
        <v>71</v>
      </c>
      <c r="E3345" s="12" t="s">
        <v>14003</v>
      </c>
      <c r="F3345" s="12" t="s">
        <v>14001</v>
      </c>
      <c r="G3345" s="12" t="s">
        <v>14004</v>
      </c>
      <c r="H3345" s="12" t="s">
        <v>14005</v>
      </c>
      <c r="I3345" s="12" t="s">
        <v>14132</v>
      </c>
      <c r="J3345" s="12" t="s">
        <v>14272</v>
      </c>
      <c r="K3345" s="12" t="s">
        <v>14575</v>
      </c>
      <c r="L3345" s="12" t="s">
        <v>14576</v>
      </c>
      <c r="M3345" s="12" t="s">
        <v>14577</v>
      </c>
    </row>
    <row r="3346" spans="1:13" ht="39.6">
      <c r="A3346" s="12" t="s">
        <v>14006</v>
      </c>
      <c r="B3346" s="12" t="s">
        <v>14001</v>
      </c>
      <c r="C3346" s="21" t="s">
        <v>14002</v>
      </c>
      <c r="D3346" s="12" t="s">
        <v>71</v>
      </c>
      <c r="E3346" s="12" t="s">
        <v>14003</v>
      </c>
      <c r="F3346" s="12" t="s">
        <v>14001</v>
      </c>
      <c r="G3346" s="12" t="s">
        <v>14004</v>
      </c>
      <c r="H3346" s="12" t="s">
        <v>14005</v>
      </c>
      <c r="I3346" s="12" t="s">
        <v>14133</v>
      </c>
      <c r="J3346" s="12" t="s">
        <v>14273</v>
      </c>
      <c r="K3346" s="12"/>
      <c r="L3346" s="12" t="s">
        <v>14578</v>
      </c>
      <c r="M3346" s="12" t="s">
        <v>14579</v>
      </c>
    </row>
    <row r="3347" spans="1:13" ht="39.6">
      <c r="A3347" s="12" t="s">
        <v>14006</v>
      </c>
      <c r="B3347" s="12" t="s">
        <v>14001</v>
      </c>
      <c r="C3347" s="21" t="s">
        <v>14002</v>
      </c>
      <c r="D3347" s="12" t="s">
        <v>71</v>
      </c>
      <c r="E3347" s="12" t="s">
        <v>14003</v>
      </c>
      <c r="F3347" s="12" t="s">
        <v>14001</v>
      </c>
      <c r="G3347" s="12" t="s">
        <v>14004</v>
      </c>
      <c r="H3347" s="12" t="s">
        <v>14005</v>
      </c>
      <c r="I3347" s="12" t="s">
        <v>14134</v>
      </c>
      <c r="J3347" s="12" t="s">
        <v>14274</v>
      </c>
      <c r="K3347" s="12"/>
      <c r="L3347" s="12" t="s">
        <v>14580</v>
      </c>
      <c r="M3347" s="12" t="s">
        <v>14581</v>
      </c>
    </row>
    <row r="3348" spans="1:13" ht="39.6">
      <c r="A3348" s="12" t="s">
        <v>14006</v>
      </c>
      <c r="B3348" s="12" t="s">
        <v>14001</v>
      </c>
      <c r="C3348" s="21" t="s">
        <v>14002</v>
      </c>
      <c r="D3348" s="12" t="s">
        <v>71</v>
      </c>
      <c r="E3348" s="12" t="s">
        <v>14003</v>
      </c>
      <c r="F3348" s="12" t="s">
        <v>14001</v>
      </c>
      <c r="G3348" s="12" t="s">
        <v>14004</v>
      </c>
      <c r="H3348" s="12" t="s">
        <v>14005</v>
      </c>
      <c r="I3348" s="12" t="s">
        <v>14135</v>
      </c>
      <c r="J3348" s="12" t="s">
        <v>14275</v>
      </c>
      <c r="K3348" s="12" t="s">
        <v>14582</v>
      </c>
      <c r="L3348" s="12" t="s">
        <v>14583</v>
      </c>
      <c r="M3348" s="12" t="s">
        <v>14582</v>
      </c>
    </row>
    <row r="3349" spans="1:13" ht="39.6">
      <c r="A3349" s="12" t="s">
        <v>14006</v>
      </c>
      <c r="B3349" s="12" t="s">
        <v>14001</v>
      </c>
      <c r="C3349" s="21" t="s">
        <v>14002</v>
      </c>
      <c r="D3349" s="12" t="s">
        <v>71</v>
      </c>
      <c r="E3349" s="12" t="s">
        <v>14003</v>
      </c>
      <c r="F3349" s="12" t="s">
        <v>14001</v>
      </c>
      <c r="G3349" s="12" t="s">
        <v>14004</v>
      </c>
      <c r="H3349" s="12" t="s">
        <v>14005</v>
      </c>
      <c r="I3349" s="12" t="s">
        <v>14136</v>
      </c>
      <c r="J3349" s="12" t="s">
        <v>14276</v>
      </c>
      <c r="K3349" s="12" t="s">
        <v>14584</v>
      </c>
      <c r="L3349" s="12" t="s">
        <v>14585</v>
      </c>
      <c r="M3349" s="12" t="s">
        <v>14584</v>
      </c>
    </row>
    <row r="3350" spans="1:13" ht="39.6">
      <c r="A3350" s="12" t="s">
        <v>14006</v>
      </c>
      <c r="B3350" s="12" t="s">
        <v>14001</v>
      </c>
      <c r="C3350" s="21" t="s">
        <v>14002</v>
      </c>
      <c r="D3350" s="12" t="s">
        <v>71</v>
      </c>
      <c r="E3350" s="12" t="s">
        <v>14003</v>
      </c>
      <c r="F3350" s="12" t="s">
        <v>14001</v>
      </c>
      <c r="G3350" s="12" t="s">
        <v>14004</v>
      </c>
      <c r="H3350" s="12" t="s">
        <v>14005</v>
      </c>
      <c r="I3350" s="12" t="s">
        <v>14137</v>
      </c>
      <c r="J3350" s="12" t="s">
        <v>14277</v>
      </c>
      <c r="K3350" s="12" t="s">
        <v>14586</v>
      </c>
      <c r="L3350" s="12" t="s">
        <v>14587</v>
      </c>
      <c r="M3350" s="12" t="s">
        <v>14588</v>
      </c>
    </row>
    <row r="3351" spans="1:13" ht="39.6">
      <c r="A3351" s="12" t="s">
        <v>14006</v>
      </c>
      <c r="B3351" s="12" t="s">
        <v>14001</v>
      </c>
      <c r="C3351" s="21" t="s">
        <v>14002</v>
      </c>
      <c r="D3351" s="12" t="s">
        <v>71</v>
      </c>
      <c r="E3351" s="12" t="s">
        <v>14003</v>
      </c>
      <c r="F3351" s="12" t="s">
        <v>14001</v>
      </c>
      <c r="G3351" s="12" t="s">
        <v>14004</v>
      </c>
      <c r="H3351" s="12" t="s">
        <v>14005</v>
      </c>
      <c r="I3351" s="12" t="s">
        <v>14138</v>
      </c>
      <c r="J3351" s="12" t="s">
        <v>14278</v>
      </c>
      <c r="K3351" s="12" t="s">
        <v>14589</v>
      </c>
      <c r="L3351" s="12" t="s">
        <v>14590</v>
      </c>
      <c r="M3351" s="12" t="s">
        <v>14591</v>
      </c>
    </row>
    <row r="3352" spans="1:13" ht="39.6">
      <c r="A3352" s="12" t="s">
        <v>14006</v>
      </c>
      <c r="B3352" s="12" t="s">
        <v>14001</v>
      </c>
      <c r="C3352" s="21" t="s">
        <v>14002</v>
      </c>
      <c r="D3352" s="12" t="s">
        <v>71</v>
      </c>
      <c r="E3352" s="12" t="s">
        <v>14003</v>
      </c>
      <c r="F3352" s="12" t="s">
        <v>14001</v>
      </c>
      <c r="G3352" s="12" t="s">
        <v>14004</v>
      </c>
      <c r="H3352" s="12" t="s">
        <v>14005</v>
      </c>
      <c r="I3352" s="12" t="s">
        <v>14139</v>
      </c>
      <c r="J3352" s="12" t="s">
        <v>14279</v>
      </c>
      <c r="K3352" s="12"/>
      <c r="L3352" s="12" t="s">
        <v>14592</v>
      </c>
      <c r="M3352" s="12" t="s">
        <v>14593</v>
      </c>
    </row>
    <row r="3353" spans="1:13" ht="39.6">
      <c r="A3353" s="12" t="s">
        <v>14006</v>
      </c>
      <c r="B3353" s="12" t="s">
        <v>14001</v>
      </c>
      <c r="C3353" s="21" t="s">
        <v>14002</v>
      </c>
      <c r="D3353" s="12" t="s">
        <v>71</v>
      </c>
      <c r="E3353" s="12" t="s">
        <v>14003</v>
      </c>
      <c r="F3353" s="12" t="s">
        <v>14001</v>
      </c>
      <c r="G3353" s="12" t="s">
        <v>14004</v>
      </c>
      <c r="H3353" s="12" t="s">
        <v>14005</v>
      </c>
      <c r="I3353" s="12" t="s">
        <v>14140</v>
      </c>
      <c r="J3353" s="12" t="s">
        <v>14280</v>
      </c>
      <c r="K3353" s="12"/>
      <c r="L3353" s="12" t="s">
        <v>14594</v>
      </c>
      <c r="M3353" s="12" t="s">
        <v>14595</v>
      </c>
    </row>
    <row r="3354" spans="1:13" ht="52.8">
      <c r="A3354" s="12" t="s">
        <v>14006</v>
      </c>
      <c r="B3354" s="12" t="s">
        <v>14001</v>
      </c>
      <c r="C3354" s="21" t="s">
        <v>14002</v>
      </c>
      <c r="D3354" s="12" t="s">
        <v>71</v>
      </c>
      <c r="E3354" s="12" t="s">
        <v>14003</v>
      </c>
      <c r="F3354" s="12" t="s">
        <v>14001</v>
      </c>
      <c r="G3354" s="12" t="s">
        <v>14004</v>
      </c>
      <c r="H3354" s="12" t="s">
        <v>14005</v>
      </c>
      <c r="I3354" s="12" t="s">
        <v>14141</v>
      </c>
      <c r="J3354" s="12" t="s">
        <v>14281</v>
      </c>
      <c r="K3354" s="12"/>
      <c r="L3354" s="12" t="s">
        <v>14596</v>
      </c>
      <c r="M3354" s="12" t="s">
        <v>14597</v>
      </c>
    </row>
    <row r="3355" spans="1:13" ht="39.6">
      <c r="A3355" s="12" t="s">
        <v>14006</v>
      </c>
      <c r="B3355" s="12" t="s">
        <v>14001</v>
      </c>
      <c r="C3355" s="21" t="s">
        <v>14002</v>
      </c>
      <c r="D3355" s="12" t="s">
        <v>71</v>
      </c>
      <c r="E3355" s="12" t="s">
        <v>14003</v>
      </c>
      <c r="F3355" s="12" t="s">
        <v>14001</v>
      </c>
      <c r="G3355" s="12" t="s">
        <v>14004</v>
      </c>
      <c r="H3355" s="12" t="s">
        <v>14005</v>
      </c>
      <c r="I3355" s="12" t="s">
        <v>14142</v>
      </c>
      <c r="J3355" s="12" t="s">
        <v>14282</v>
      </c>
      <c r="K3355" s="12"/>
      <c r="L3355" s="12" t="s">
        <v>14598</v>
      </c>
      <c r="M3355" s="12" t="s">
        <v>14599</v>
      </c>
    </row>
    <row r="3356" spans="1:13" ht="39.6">
      <c r="A3356" s="12" t="s">
        <v>14006</v>
      </c>
      <c r="B3356" s="12" t="s">
        <v>14001</v>
      </c>
      <c r="C3356" s="21" t="s">
        <v>14002</v>
      </c>
      <c r="D3356" s="12" t="s">
        <v>71</v>
      </c>
      <c r="E3356" s="12" t="s">
        <v>14003</v>
      </c>
      <c r="F3356" s="12" t="s">
        <v>14001</v>
      </c>
      <c r="G3356" s="12" t="s">
        <v>14004</v>
      </c>
      <c r="H3356" s="12" t="s">
        <v>14005</v>
      </c>
      <c r="I3356" s="12" t="s">
        <v>14143</v>
      </c>
      <c r="J3356" s="12" t="s">
        <v>14283</v>
      </c>
      <c r="K3356" s="12"/>
      <c r="L3356" s="12" t="s">
        <v>14600</v>
      </c>
      <c r="M3356" s="12" t="s">
        <v>14601</v>
      </c>
    </row>
    <row r="3357" spans="1:13" ht="39.6">
      <c r="A3357" s="12" t="s">
        <v>14006</v>
      </c>
      <c r="B3357" s="12" t="s">
        <v>14001</v>
      </c>
      <c r="C3357" s="21" t="s">
        <v>14002</v>
      </c>
      <c r="D3357" s="12" t="s">
        <v>71</v>
      </c>
      <c r="E3357" s="12" t="s">
        <v>14003</v>
      </c>
      <c r="F3357" s="12" t="s">
        <v>14001</v>
      </c>
      <c r="G3357" s="12" t="s">
        <v>14004</v>
      </c>
      <c r="H3357" s="12" t="s">
        <v>14005</v>
      </c>
      <c r="I3357" s="12" t="s">
        <v>14144</v>
      </c>
      <c r="J3357" s="12" t="s">
        <v>14284</v>
      </c>
      <c r="K3357" s="12"/>
      <c r="L3357" s="12" t="s">
        <v>14602</v>
      </c>
      <c r="M3357" s="12" t="s">
        <v>14603</v>
      </c>
    </row>
    <row r="3358" spans="1:13" ht="39.6">
      <c r="A3358" s="12" t="s">
        <v>14006</v>
      </c>
      <c r="B3358" s="12" t="s">
        <v>14001</v>
      </c>
      <c r="C3358" s="21" t="s">
        <v>14002</v>
      </c>
      <c r="D3358" s="12" t="s">
        <v>71</v>
      </c>
      <c r="E3358" s="12" t="s">
        <v>14003</v>
      </c>
      <c r="F3358" s="12" t="s">
        <v>14001</v>
      </c>
      <c r="G3358" s="12" t="s">
        <v>14004</v>
      </c>
      <c r="H3358" s="12" t="s">
        <v>14005</v>
      </c>
      <c r="I3358" s="12" t="s">
        <v>14145</v>
      </c>
      <c r="J3358" s="12" t="s">
        <v>14285</v>
      </c>
      <c r="K3358" s="12" t="s">
        <v>14604</v>
      </c>
      <c r="L3358" s="12" t="s">
        <v>14605</v>
      </c>
      <c r="M3358" s="12" t="s">
        <v>14606</v>
      </c>
    </row>
    <row r="3359" spans="1:13" ht="66">
      <c r="A3359" s="12" t="s">
        <v>14825</v>
      </c>
      <c r="B3359" s="12" t="s">
        <v>14820</v>
      </c>
      <c r="C3359" s="21" t="s">
        <v>14821</v>
      </c>
      <c r="D3359" s="12" t="s">
        <v>71</v>
      </c>
      <c r="E3359" s="12" t="s">
        <v>14822</v>
      </c>
      <c r="F3359" s="12" t="s">
        <v>14820</v>
      </c>
      <c r="G3359" s="12" t="s">
        <v>14823</v>
      </c>
      <c r="H3359" s="12" t="s">
        <v>14824</v>
      </c>
      <c r="I3359" s="12" t="s">
        <v>14826</v>
      </c>
      <c r="J3359" s="12" t="s">
        <v>14829</v>
      </c>
      <c r="K3359" s="12"/>
      <c r="L3359" s="12" t="s">
        <v>14832</v>
      </c>
      <c r="M3359" s="12" t="s">
        <v>14833</v>
      </c>
    </row>
    <row r="3360" spans="1:13" ht="66">
      <c r="A3360" s="12" t="s">
        <v>14825</v>
      </c>
      <c r="B3360" s="12" t="s">
        <v>14820</v>
      </c>
      <c r="C3360" s="21" t="s">
        <v>14821</v>
      </c>
      <c r="D3360" s="12" t="s">
        <v>71</v>
      </c>
      <c r="E3360" s="12" t="s">
        <v>14822</v>
      </c>
      <c r="F3360" s="12" t="s">
        <v>14820</v>
      </c>
      <c r="G3360" s="12" t="s">
        <v>14823</v>
      </c>
      <c r="H3360" s="12" t="s">
        <v>14824</v>
      </c>
      <c r="I3360" s="12" t="s">
        <v>14827</v>
      </c>
      <c r="J3360" s="12" t="s">
        <v>14830</v>
      </c>
      <c r="K3360" s="12"/>
      <c r="L3360" s="12" t="s">
        <v>14834</v>
      </c>
      <c r="M3360" s="12" t="s">
        <v>14835</v>
      </c>
    </row>
    <row r="3361" spans="1:13" ht="66">
      <c r="A3361" s="12" t="s">
        <v>14825</v>
      </c>
      <c r="B3361" s="12" t="s">
        <v>14820</v>
      </c>
      <c r="C3361" s="21" t="s">
        <v>14821</v>
      </c>
      <c r="D3361" s="12" t="s">
        <v>71</v>
      </c>
      <c r="E3361" s="12" t="s">
        <v>14822</v>
      </c>
      <c r="F3361" s="12" t="s">
        <v>14820</v>
      </c>
      <c r="G3361" s="12" t="s">
        <v>14823</v>
      </c>
      <c r="H3361" s="12" t="s">
        <v>14824</v>
      </c>
      <c r="I3361" s="12" t="s">
        <v>14828</v>
      </c>
      <c r="J3361" s="12" t="s">
        <v>14831</v>
      </c>
      <c r="K3361" s="12"/>
      <c r="L3361" s="12" t="s">
        <v>14836</v>
      </c>
      <c r="M3361" s="12" t="s">
        <v>14837</v>
      </c>
    </row>
    <row r="3362" spans="1:13" ht="52.8">
      <c r="A3362" s="12" t="s">
        <v>15286</v>
      </c>
      <c r="B3362" s="12" t="s">
        <v>15066</v>
      </c>
      <c r="C3362" s="21" t="s">
        <v>15242</v>
      </c>
      <c r="D3362" s="12" t="s">
        <v>71</v>
      </c>
      <c r="E3362" s="12" t="s">
        <v>15243</v>
      </c>
      <c r="F3362" s="12" t="s">
        <v>15066</v>
      </c>
      <c r="G3362" s="12" t="s">
        <v>15244</v>
      </c>
      <c r="H3362" s="12" t="s">
        <v>15245</v>
      </c>
      <c r="I3362" s="12" t="s">
        <v>15246</v>
      </c>
      <c r="J3362" s="12" t="s">
        <v>15256</v>
      </c>
      <c r="K3362" s="12"/>
      <c r="L3362" s="12" t="s">
        <v>15266</v>
      </c>
      <c r="M3362" s="12" t="s">
        <v>15267</v>
      </c>
    </row>
    <row r="3363" spans="1:13" ht="52.8">
      <c r="A3363" s="12" t="s">
        <v>15286</v>
      </c>
      <c r="B3363" s="12" t="s">
        <v>15066</v>
      </c>
      <c r="C3363" s="21" t="s">
        <v>15242</v>
      </c>
      <c r="D3363" s="12" t="s">
        <v>71</v>
      </c>
      <c r="E3363" s="12" t="s">
        <v>15243</v>
      </c>
      <c r="F3363" s="12" t="s">
        <v>15066</v>
      </c>
      <c r="G3363" s="12" t="s">
        <v>15244</v>
      </c>
      <c r="H3363" s="12" t="s">
        <v>15245</v>
      </c>
      <c r="I3363" s="12" t="s">
        <v>15247</v>
      </c>
      <c r="J3363" s="12" t="s">
        <v>15257</v>
      </c>
      <c r="K3363" s="12"/>
      <c r="L3363" s="12" t="s">
        <v>15268</v>
      </c>
      <c r="M3363" s="12" t="s">
        <v>15269</v>
      </c>
    </row>
    <row r="3364" spans="1:13" ht="39.6">
      <c r="A3364" s="12" t="s">
        <v>15286</v>
      </c>
      <c r="B3364" s="12" t="s">
        <v>15066</v>
      </c>
      <c r="C3364" s="21" t="s">
        <v>15242</v>
      </c>
      <c r="D3364" s="12" t="s">
        <v>71</v>
      </c>
      <c r="E3364" s="12" t="s">
        <v>15243</v>
      </c>
      <c r="F3364" s="12" t="s">
        <v>15066</v>
      </c>
      <c r="G3364" s="12" t="s">
        <v>15244</v>
      </c>
      <c r="H3364" s="12" t="s">
        <v>15245</v>
      </c>
      <c r="I3364" s="12" t="s">
        <v>15248</v>
      </c>
      <c r="J3364" s="12" t="s">
        <v>15258</v>
      </c>
      <c r="K3364" s="12"/>
      <c r="L3364" s="12" t="s">
        <v>15270</v>
      </c>
      <c r="M3364" s="12" t="s">
        <v>15271</v>
      </c>
    </row>
    <row r="3365" spans="1:13" ht="39.6">
      <c r="A3365" s="12" t="s">
        <v>15286</v>
      </c>
      <c r="B3365" s="12" t="s">
        <v>15066</v>
      </c>
      <c r="C3365" s="21" t="s">
        <v>15242</v>
      </c>
      <c r="D3365" s="12" t="s">
        <v>71</v>
      </c>
      <c r="E3365" s="12" t="s">
        <v>15243</v>
      </c>
      <c r="F3365" s="12" t="s">
        <v>15066</v>
      </c>
      <c r="G3365" s="12" t="s">
        <v>15244</v>
      </c>
      <c r="H3365" s="12" t="s">
        <v>15245</v>
      </c>
      <c r="I3365" s="12" t="s">
        <v>15249</v>
      </c>
      <c r="J3365" s="12" t="s">
        <v>15259</v>
      </c>
      <c r="K3365" s="12"/>
      <c r="L3365" s="12" t="s">
        <v>15272</v>
      </c>
      <c r="M3365" s="12" t="s">
        <v>15273</v>
      </c>
    </row>
    <row r="3366" spans="1:13" ht="52.8">
      <c r="A3366" s="12" t="s">
        <v>15286</v>
      </c>
      <c r="B3366" s="12" t="s">
        <v>15066</v>
      </c>
      <c r="C3366" s="21" t="s">
        <v>15242</v>
      </c>
      <c r="D3366" s="12" t="s">
        <v>71</v>
      </c>
      <c r="E3366" s="12" t="s">
        <v>15243</v>
      </c>
      <c r="F3366" s="12" t="s">
        <v>15066</v>
      </c>
      <c r="G3366" s="12" t="s">
        <v>15244</v>
      </c>
      <c r="H3366" s="12" t="s">
        <v>15245</v>
      </c>
      <c r="I3366" s="12" t="s">
        <v>15250</v>
      </c>
      <c r="J3366" s="12" t="s">
        <v>15260</v>
      </c>
      <c r="K3366" s="12" t="s">
        <v>15274</v>
      </c>
      <c r="L3366" s="12" t="s">
        <v>15275</v>
      </c>
      <c r="M3366" s="12" t="s">
        <v>15274</v>
      </c>
    </row>
    <row r="3367" spans="1:13" ht="66">
      <c r="A3367" s="12" t="s">
        <v>15286</v>
      </c>
      <c r="B3367" s="12" t="s">
        <v>15066</v>
      </c>
      <c r="C3367" s="21" t="s">
        <v>15242</v>
      </c>
      <c r="D3367" s="12" t="s">
        <v>71</v>
      </c>
      <c r="E3367" s="12" t="s">
        <v>15243</v>
      </c>
      <c r="F3367" s="12" t="s">
        <v>15066</v>
      </c>
      <c r="G3367" s="12" t="s">
        <v>15244</v>
      </c>
      <c r="H3367" s="12" t="s">
        <v>15245</v>
      </c>
      <c r="I3367" s="12" t="s">
        <v>15251</v>
      </c>
      <c r="J3367" s="12" t="s">
        <v>15261</v>
      </c>
      <c r="K3367" s="12"/>
      <c r="L3367" s="12" t="s">
        <v>15276</v>
      </c>
      <c r="M3367" s="12" t="s">
        <v>15277</v>
      </c>
    </row>
    <row r="3368" spans="1:13" ht="52.8">
      <c r="A3368" s="12" t="s">
        <v>15286</v>
      </c>
      <c r="B3368" s="12" t="s">
        <v>15066</v>
      </c>
      <c r="C3368" s="21" t="s">
        <v>15242</v>
      </c>
      <c r="D3368" s="12" t="s">
        <v>71</v>
      </c>
      <c r="E3368" s="12" t="s">
        <v>15243</v>
      </c>
      <c r="F3368" s="12" t="s">
        <v>15066</v>
      </c>
      <c r="G3368" s="12" t="s">
        <v>15244</v>
      </c>
      <c r="H3368" s="12" t="s">
        <v>15245</v>
      </c>
      <c r="I3368" s="12" t="s">
        <v>15252</v>
      </c>
      <c r="J3368" s="12" t="s">
        <v>15262</v>
      </c>
      <c r="K3368" s="12"/>
      <c r="L3368" s="12" t="s">
        <v>15278</v>
      </c>
      <c r="M3368" s="12" t="s">
        <v>15279</v>
      </c>
    </row>
    <row r="3369" spans="1:13" ht="52.8">
      <c r="A3369" s="12" t="s">
        <v>15286</v>
      </c>
      <c r="B3369" s="12" t="s">
        <v>15066</v>
      </c>
      <c r="C3369" s="21" t="s">
        <v>15242</v>
      </c>
      <c r="D3369" s="12" t="s">
        <v>71</v>
      </c>
      <c r="E3369" s="12" t="s">
        <v>15243</v>
      </c>
      <c r="F3369" s="12" t="s">
        <v>15066</v>
      </c>
      <c r="G3369" s="12" t="s">
        <v>15244</v>
      </c>
      <c r="H3369" s="12" t="s">
        <v>15245</v>
      </c>
      <c r="I3369" s="12" t="s">
        <v>15253</v>
      </c>
      <c r="J3369" s="12" t="s">
        <v>15263</v>
      </c>
      <c r="K3369" s="12"/>
      <c r="L3369" s="12" t="s">
        <v>15280</v>
      </c>
      <c r="M3369" s="12" t="s">
        <v>15281</v>
      </c>
    </row>
    <row r="3370" spans="1:13" ht="39.6">
      <c r="A3370" s="12" t="s">
        <v>15286</v>
      </c>
      <c r="B3370" s="12" t="s">
        <v>15066</v>
      </c>
      <c r="C3370" s="21" t="s">
        <v>15242</v>
      </c>
      <c r="D3370" s="12" t="s">
        <v>71</v>
      </c>
      <c r="E3370" s="12" t="s">
        <v>15243</v>
      </c>
      <c r="F3370" s="12" t="s">
        <v>15066</v>
      </c>
      <c r="G3370" s="12" t="s">
        <v>15244</v>
      </c>
      <c r="H3370" s="12" t="s">
        <v>15245</v>
      </c>
      <c r="I3370" s="12" t="s">
        <v>15254</v>
      </c>
      <c r="J3370" s="12" t="s">
        <v>15264</v>
      </c>
      <c r="K3370" s="12"/>
      <c r="L3370" s="12" t="s">
        <v>15282</v>
      </c>
      <c r="M3370" s="12" t="s">
        <v>15283</v>
      </c>
    </row>
    <row r="3371" spans="1:13" ht="39.6">
      <c r="A3371" s="12" t="s">
        <v>15286</v>
      </c>
      <c r="B3371" s="12" t="s">
        <v>15066</v>
      </c>
      <c r="C3371" s="21" t="s">
        <v>15242</v>
      </c>
      <c r="D3371" s="12" t="s">
        <v>71</v>
      </c>
      <c r="E3371" s="12" t="s">
        <v>15243</v>
      </c>
      <c r="F3371" s="12" t="s">
        <v>15066</v>
      </c>
      <c r="G3371" s="12" t="s">
        <v>15244</v>
      </c>
      <c r="H3371" s="12" t="s">
        <v>15245</v>
      </c>
      <c r="I3371" s="12" t="s">
        <v>15255</v>
      </c>
      <c r="J3371" s="12" t="s">
        <v>15265</v>
      </c>
      <c r="K3371" s="12"/>
      <c r="L3371" s="12" t="s">
        <v>15284</v>
      </c>
      <c r="M3371" s="12" t="s">
        <v>15285</v>
      </c>
    </row>
    <row r="3372" spans="1:13" ht="52.8">
      <c r="A3372" s="12" t="s">
        <v>15647</v>
      </c>
      <c r="B3372" s="12" t="s">
        <v>15644</v>
      </c>
      <c r="C3372" s="21" t="s">
        <v>15645</v>
      </c>
      <c r="D3372" s="12" t="s">
        <v>71</v>
      </c>
      <c r="E3372" s="12" t="s">
        <v>15646</v>
      </c>
      <c r="F3372" s="12" t="s">
        <v>15644</v>
      </c>
      <c r="G3372" s="12" t="s">
        <v>15648</v>
      </c>
      <c r="H3372" s="12" t="s">
        <v>15649</v>
      </c>
      <c r="I3372" s="12" t="s">
        <v>15650</v>
      </c>
      <c r="J3372" s="12" t="s">
        <v>15661</v>
      </c>
      <c r="K3372" s="12" t="s">
        <v>15650</v>
      </c>
      <c r="L3372" s="12" t="s">
        <v>15672</v>
      </c>
      <c r="M3372" s="12" t="s">
        <v>15650</v>
      </c>
    </row>
    <row r="3373" spans="1:13" ht="52.8">
      <c r="A3373" s="12" t="s">
        <v>15647</v>
      </c>
      <c r="B3373" s="12" t="s">
        <v>15644</v>
      </c>
      <c r="C3373" s="21" t="s">
        <v>15645</v>
      </c>
      <c r="D3373" s="12" t="s">
        <v>71</v>
      </c>
      <c r="E3373" s="12" t="s">
        <v>15646</v>
      </c>
      <c r="F3373" s="12" t="s">
        <v>15644</v>
      </c>
      <c r="G3373" s="12" t="s">
        <v>15648</v>
      </c>
      <c r="H3373" s="12" t="s">
        <v>15649</v>
      </c>
      <c r="I3373" s="12" t="s">
        <v>15651</v>
      </c>
      <c r="J3373" s="12" t="s">
        <v>15662</v>
      </c>
      <c r="K3373" s="12" t="s">
        <v>15651</v>
      </c>
      <c r="L3373" s="12" t="s">
        <v>15673</v>
      </c>
      <c r="M3373" s="12" t="s">
        <v>15651</v>
      </c>
    </row>
    <row r="3374" spans="1:13" ht="52.8">
      <c r="A3374" s="12" t="s">
        <v>15647</v>
      </c>
      <c r="B3374" s="12" t="s">
        <v>15644</v>
      </c>
      <c r="C3374" s="21" t="s">
        <v>15645</v>
      </c>
      <c r="D3374" s="12" t="s">
        <v>71</v>
      </c>
      <c r="E3374" s="12" t="s">
        <v>15646</v>
      </c>
      <c r="F3374" s="12" t="s">
        <v>15644</v>
      </c>
      <c r="G3374" s="12" t="s">
        <v>15648</v>
      </c>
      <c r="H3374" s="12" t="s">
        <v>15649</v>
      </c>
      <c r="I3374" s="12" t="s">
        <v>15652</v>
      </c>
      <c r="J3374" s="12" t="s">
        <v>15663</v>
      </c>
      <c r="K3374" s="12" t="s">
        <v>15652</v>
      </c>
      <c r="L3374" s="12" t="s">
        <v>15674</v>
      </c>
      <c r="M3374" s="12" t="s">
        <v>15675</v>
      </c>
    </row>
    <row r="3375" spans="1:13" ht="52.8">
      <c r="A3375" s="12" t="s">
        <v>15647</v>
      </c>
      <c r="B3375" s="12" t="s">
        <v>15644</v>
      </c>
      <c r="C3375" s="21" t="s">
        <v>15645</v>
      </c>
      <c r="D3375" s="12" t="s">
        <v>71</v>
      </c>
      <c r="E3375" s="12" t="s">
        <v>15646</v>
      </c>
      <c r="F3375" s="12" t="s">
        <v>15644</v>
      </c>
      <c r="G3375" s="12" t="s">
        <v>15648</v>
      </c>
      <c r="H3375" s="12" t="s">
        <v>15649</v>
      </c>
      <c r="I3375" s="12" t="s">
        <v>15653</v>
      </c>
      <c r="J3375" s="12" t="s">
        <v>15664</v>
      </c>
      <c r="K3375" s="12" t="s">
        <v>15653</v>
      </c>
      <c r="L3375" s="12" t="s">
        <v>15676</v>
      </c>
      <c r="M3375" s="12" t="s">
        <v>15653</v>
      </c>
    </row>
    <row r="3376" spans="1:13" ht="52.8">
      <c r="A3376" s="12" t="s">
        <v>15647</v>
      </c>
      <c r="B3376" s="12" t="s">
        <v>15644</v>
      </c>
      <c r="C3376" s="21" t="s">
        <v>15645</v>
      </c>
      <c r="D3376" s="12" t="s">
        <v>71</v>
      </c>
      <c r="E3376" s="12" t="s">
        <v>15646</v>
      </c>
      <c r="F3376" s="12" t="s">
        <v>15644</v>
      </c>
      <c r="G3376" s="12" t="s">
        <v>15648</v>
      </c>
      <c r="H3376" s="12" t="s">
        <v>15649</v>
      </c>
      <c r="I3376" s="12" t="s">
        <v>15654</v>
      </c>
      <c r="J3376" s="12" t="s">
        <v>15665</v>
      </c>
      <c r="K3376" s="12" t="s">
        <v>15654</v>
      </c>
      <c r="L3376" s="12" t="s">
        <v>15677</v>
      </c>
      <c r="M3376" s="12" t="s">
        <v>15654</v>
      </c>
    </row>
    <row r="3377" spans="1:13" ht="66">
      <c r="A3377" s="12" t="s">
        <v>15647</v>
      </c>
      <c r="B3377" s="12" t="s">
        <v>15644</v>
      </c>
      <c r="C3377" s="21" t="s">
        <v>15645</v>
      </c>
      <c r="D3377" s="12" t="s">
        <v>71</v>
      </c>
      <c r="E3377" s="12" t="s">
        <v>15646</v>
      </c>
      <c r="F3377" s="12" t="s">
        <v>15644</v>
      </c>
      <c r="G3377" s="12" t="s">
        <v>15648</v>
      </c>
      <c r="H3377" s="12" t="s">
        <v>15649</v>
      </c>
      <c r="I3377" s="12" t="s">
        <v>15655</v>
      </c>
      <c r="J3377" s="12" t="s">
        <v>15666</v>
      </c>
      <c r="K3377" s="12" t="s">
        <v>15678</v>
      </c>
      <c r="L3377" s="12" t="s">
        <v>15679</v>
      </c>
      <c r="M3377" s="12" t="s">
        <v>15680</v>
      </c>
    </row>
    <row r="3378" spans="1:13" ht="52.8">
      <c r="A3378" s="12" t="s">
        <v>15647</v>
      </c>
      <c r="B3378" s="12" t="s">
        <v>15644</v>
      </c>
      <c r="C3378" s="21" t="s">
        <v>15645</v>
      </c>
      <c r="D3378" s="12" t="s">
        <v>71</v>
      </c>
      <c r="E3378" s="12" t="s">
        <v>15646</v>
      </c>
      <c r="F3378" s="12" t="s">
        <v>15644</v>
      </c>
      <c r="G3378" s="12" t="s">
        <v>15648</v>
      </c>
      <c r="H3378" s="12" t="s">
        <v>15649</v>
      </c>
      <c r="I3378" s="12" t="s">
        <v>15656</v>
      </c>
      <c r="J3378" s="12" t="s">
        <v>15667</v>
      </c>
      <c r="K3378" s="12" t="s">
        <v>15656</v>
      </c>
      <c r="L3378" s="12" t="s">
        <v>15681</v>
      </c>
      <c r="M3378" s="12" t="s">
        <v>15656</v>
      </c>
    </row>
    <row r="3379" spans="1:13" ht="52.8">
      <c r="A3379" s="12" t="s">
        <v>15647</v>
      </c>
      <c r="B3379" s="12" t="s">
        <v>15644</v>
      </c>
      <c r="C3379" s="21" t="s">
        <v>15645</v>
      </c>
      <c r="D3379" s="12" t="s">
        <v>71</v>
      </c>
      <c r="E3379" s="12" t="s">
        <v>15646</v>
      </c>
      <c r="F3379" s="12" t="s">
        <v>15644</v>
      </c>
      <c r="G3379" s="12" t="s">
        <v>15648</v>
      </c>
      <c r="H3379" s="12" t="s">
        <v>15649</v>
      </c>
      <c r="I3379" s="12" t="s">
        <v>15657</v>
      </c>
      <c r="J3379" s="12" t="s">
        <v>15668</v>
      </c>
      <c r="K3379" s="12" t="s">
        <v>15657</v>
      </c>
      <c r="L3379" s="12" t="s">
        <v>15682</v>
      </c>
      <c r="M3379" s="12" t="s">
        <v>15657</v>
      </c>
    </row>
    <row r="3380" spans="1:13" ht="52.8">
      <c r="A3380" s="12" t="s">
        <v>15647</v>
      </c>
      <c r="B3380" s="12" t="s">
        <v>15644</v>
      </c>
      <c r="C3380" s="21" t="s">
        <v>15645</v>
      </c>
      <c r="D3380" s="12" t="s">
        <v>71</v>
      </c>
      <c r="E3380" s="12" t="s">
        <v>15646</v>
      </c>
      <c r="F3380" s="12" t="s">
        <v>15644</v>
      </c>
      <c r="G3380" s="12" t="s">
        <v>15648</v>
      </c>
      <c r="H3380" s="12" t="s">
        <v>15649</v>
      </c>
      <c r="I3380" s="12" t="s">
        <v>15658</v>
      </c>
      <c r="J3380" s="12" t="s">
        <v>15669</v>
      </c>
      <c r="K3380" s="12" t="s">
        <v>15658</v>
      </c>
      <c r="L3380" s="12" t="s">
        <v>15683</v>
      </c>
      <c r="M3380" s="12" t="s">
        <v>15658</v>
      </c>
    </row>
    <row r="3381" spans="1:13" ht="52.8">
      <c r="A3381" s="12" t="s">
        <v>15647</v>
      </c>
      <c r="B3381" s="12" t="s">
        <v>15644</v>
      </c>
      <c r="C3381" s="21" t="s">
        <v>15645</v>
      </c>
      <c r="D3381" s="12" t="s">
        <v>71</v>
      </c>
      <c r="E3381" s="12" t="s">
        <v>15646</v>
      </c>
      <c r="F3381" s="12" t="s">
        <v>15644</v>
      </c>
      <c r="G3381" s="12" t="s">
        <v>15648</v>
      </c>
      <c r="H3381" s="12" t="s">
        <v>15649</v>
      </c>
      <c r="I3381" s="12" t="s">
        <v>15659</v>
      </c>
      <c r="J3381" s="12" t="s">
        <v>15670</v>
      </c>
      <c r="K3381" s="12" t="s">
        <v>15659</v>
      </c>
      <c r="L3381" s="12" t="s">
        <v>15684</v>
      </c>
      <c r="M3381" s="12" t="s">
        <v>15659</v>
      </c>
    </row>
    <row r="3382" spans="1:13" ht="52.8">
      <c r="A3382" s="12" t="s">
        <v>15647</v>
      </c>
      <c r="B3382" s="12" t="s">
        <v>15644</v>
      </c>
      <c r="C3382" s="21" t="s">
        <v>15645</v>
      </c>
      <c r="D3382" s="12" t="s">
        <v>71</v>
      </c>
      <c r="E3382" s="12" t="s">
        <v>15646</v>
      </c>
      <c r="F3382" s="12" t="s">
        <v>15644</v>
      </c>
      <c r="G3382" s="12" t="s">
        <v>15648</v>
      </c>
      <c r="H3382" s="12" t="s">
        <v>15649</v>
      </c>
      <c r="I3382" s="12" t="s">
        <v>15660</v>
      </c>
      <c r="J3382" s="12" t="s">
        <v>15671</v>
      </c>
      <c r="K3382" s="12" t="s">
        <v>15660</v>
      </c>
      <c r="L3382" s="12" t="s">
        <v>15685</v>
      </c>
      <c r="M3382" s="12" t="s">
        <v>15660</v>
      </c>
    </row>
    <row r="3383" spans="1:13" ht="52.8">
      <c r="A3383" s="12" t="s">
        <v>15701</v>
      </c>
      <c r="B3383" s="12" t="s">
        <v>15687</v>
      </c>
      <c r="C3383" s="21" t="s">
        <v>15688</v>
      </c>
      <c r="D3383" s="12" t="s">
        <v>71</v>
      </c>
      <c r="E3383" s="12" t="s">
        <v>15686</v>
      </c>
      <c r="F3383" s="12" t="s">
        <v>15687</v>
      </c>
      <c r="G3383" s="12" t="s">
        <v>15648</v>
      </c>
      <c r="H3383" s="12" t="s">
        <v>15689</v>
      </c>
      <c r="I3383" s="12" t="s">
        <v>15690</v>
      </c>
      <c r="J3383" s="12" t="s">
        <v>15661</v>
      </c>
      <c r="K3383" s="12" t="s">
        <v>15650</v>
      </c>
      <c r="L3383" s="12" t="s">
        <v>15672</v>
      </c>
      <c r="M3383" s="12" t="s">
        <v>15650</v>
      </c>
    </row>
    <row r="3384" spans="1:13" ht="52.8">
      <c r="A3384" s="12" t="s">
        <v>15701</v>
      </c>
      <c r="B3384" s="12" t="s">
        <v>15687</v>
      </c>
      <c r="C3384" s="21" t="s">
        <v>15688</v>
      </c>
      <c r="D3384" s="12" t="s">
        <v>71</v>
      </c>
      <c r="E3384" s="12" t="s">
        <v>15686</v>
      </c>
      <c r="F3384" s="12" t="s">
        <v>15687</v>
      </c>
      <c r="G3384" s="12" t="s">
        <v>15648</v>
      </c>
      <c r="H3384" s="12" t="s">
        <v>15689</v>
      </c>
      <c r="I3384" s="12" t="s">
        <v>15691</v>
      </c>
      <c r="J3384" s="12" t="s">
        <v>15662</v>
      </c>
      <c r="K3384" s="12" t="s">
        <v>15651</v>
      </c>
      <c r="L3384" s="12" t="s">
        <v>15673</v>
      </c>
      <c r="M3384" s="12" t="s">
        <v>15651</v>
      </c>
    </row>
    <row r="3385" spans="1:13" ht="52.8">
      <c r="A3385" s="12" t="s">
        <v>15701</v>
      </c>
      <c r="B3385" s="12" t="s">
        <v>15687</v>
      </c>
      <c r="C3385" s="21" t="s">
        <v>15688</v>
      </c>
      <c r="D3385" s="12" t="s">
        <v>71</v>
      </c>
      <c r="E3385" s="12" t="s">
        <v>15686</v>
      </c>
      <c r="F3385" s="12" t="s">
        <v>15687</v>
      </c>
      <c r="G3385" s="12" t="s">
        <v>15648</v>
      </c>
      <c r="H3385" s="12" t="s">
        <v>15689</v>
      </c>
      <c r="I3385" s="12" t="s">
        <v>15692</v>
      </c>
      <c r="J3385" s="12" t="s">
        <v>15663</v>
      </c>
      <c r="K3385" s="12" t="s">
        <v>15652</v>
      </c>
      <c r="L3385" s="12" t="s">
        <v>15674</v>
      </c>
      <c r="M3385" s="12" t="s">
        <v>15675</v>
      </c>
    </row>
    <row r="3386" spans="1:13" ht="52.8">
      <c r="A3386" s="12" t="s">
        <v>15701</v>
      </c>
      <c r="B3386" s="12" t="s">
        <v>15687</v>
      </c>
      <c r="C3386" s="21" t="s">
        <v>15688</v>
      </c>
      <c r="D3386" s="12" t="s">
        <v>71</v>
      </c>
      <c r="E3386" s="12" t="s">
        <v>15686</v>
      </c>
      <c r="F3386" s="12" t="s">
        <v>15687</v>
      </c>
      <c r="G3386" s="12" t="s">
        <v>15648</v>
      </c>
      <c r="H3386" s="12" t="s">
        <v>15689</v>
      </c>
      <c r="I3386" s="12" t="s">
        <v>15693</v>
      </c>
      <c r="J3386" s="12" t="s">
        <v>15664</v>
      </c>
      <c r="K3386" s="12" t="s">
        <v>15653</v>
      </c>
      <c r="L3386" s="12" t="s">
        <v>15676</v>
      </c>
      <c r="M3386" s="12" t="s">
        <v>15653</v>
      </c>
    </row>
    <row r="3387" spans="1:13" ht="52.8">
      <c r="A3387" s="12" t="s">
        <v>15701</v>
      </c>
      <c r="B3387" s="12" t="s">
        <v>15687</v>
      </c>
      <c r="C3387" s="21" t="s">
        <v>15688</v>
      </c>
      <c r="D3387" s="12" t="s">
        <v>71</v>
      </c>
      <c r="E3387" s="12" t="s">
        <v>15686</v>
      </c>
      <c r="F3387" s="12" t="s">
        <v>15687</v>
      </c>
      <c r="G3387" s="12" t="s">
        <v>15648</v>
      </c>
      <c r="H3387" s="12" t="s">
        <v>15689</v>
      </c>
      <c r="I3387" s="12" t="s">
        <v>15694</v>
      </c>
      <c r="J3387" s="12" t="s">
        <v>15665</v>
      </c>
      <c r="K3387" s="12" t="s">
        <v>15654</v>
      </c>
      <c r="L3387" s="12" t="s">
        <v>15677</v>
      </c>
      <c r="M3387" s="12" t="s">
        <v>15654</v>
      </c>
    </row>
    <row r="3388" spans="1:13" ht="66">
      <c r="A3388" s="12" t="s">
        <v>15701</v>
      </c>
      <c r="B3388" s="12" t="s">
        <v>15687</v>
      </c>
      <c r="C3388" s="21" t="s">
        <v>15688</v>
      </c>
      <c r="D3388" s="12" t="s">
        <v>71</v>
      </c>
      <c r="E3388" s="12" t="s">
        <v>15686</v>
      </c>
      <c r="F3388" s="12" t="s">
        <v>15687</v>
      </c>
      <c r="G3388" s="12" t="s">
        <v>15648</v>
      </c>
      <c r="H3388" s="12" t="s">
        <v>15689</v>
      </c>
      <c r="I3388" s="12" t="s">
        <v>15695</v>
      </c>
      <c r="J3388" s="12" t="s">
        <v>15666</v>
      </c>
      <c r="K3388" s="12" t="s">
        <v>15678</v>
      </c>
      <c r="L3388" s="12" t="s">
        <v>15679</v>
      </c>
      <c r="M3388" s="12" t="s">
        <v>15680</v>
      </c>
    </row>
    <row r="3389" spans="1:13" ht="52.8">
      <c r="A3389" s="12" t="s">
        <v>15701</v>
      </c>
      <c r="B3389" s="12" t="s">
        <v>15687</v>
      </c>
      <c r="C3389" s="21" t="s">
        <v>15688</v>
      </c>
      <c r="D3389" s="12" t="s">
        <v>71</v>
      </c>
      <c r="E3389" s="12" t="s">
        <v>15686</v>
      </c>
      <c r="F3389" s="12" t="s">
        <v>15687</v>
      </c>
      <c r="G3389" s="12" t="s">
        <v>15648</v>
      </c>
      <c r="H3389" s="12" t="s">
        <v>15689</v>
      </c>
      <c r="I3389" s="12" t="s">
        <v>15696</v>
      </c>
      <c r="J3389" s="12" t="s">
        <v>15667</v>
      </c>
      <c r="K3389" s="12" t="s">
        <v>15656</v>
      </c>
      <c r="L3389" s="12" t="s">
        <v>15681</v>
      </c>
      <c r="M3389" s="12" t="s">
        <v>15656</v>
      </c>
    </row>
    <row r="3390" spans="1:13" ht="52.8">
      <c r="A3390" s="12" t="s">
        <v>15701</v>
      </c>
      <c r="B3390" s="12" t="s">
        <v>15687</v>
      </c>
      <c r="C3390" s="21" t="s">
        <v>15688</v>
      </c>
      <c r="D3390" s="12" t="s">
        <v>71</v>
      </c>
      <c r="E3390" s="12" t="s">
        <v>15686</v>
      </c>
      <c r="F3390" s="12" t="s">
        <v>15687</v>
      </c>
      <c r="G3390" s="12" t="s">
        <v>15648</v>
      </c>
      <c r="H3390" s="12" t="s">
        <v>15689</v>
      </c>
      <c r="I3390" s="12" t="s">
        <v>15697</v>
      </c>
      <c r="J3390" s="12" t="s">
        <v>15668</v>
      </c>
      <c r="K3390" s="12" t="s">
        <v>15657</v>
      </c>
      <c r="L3390" s="12" t="s">
        <v>15682</v>
      </c>
      <c r="M3390" s="12" t="s">
        <v>15657</v>
      </c>
    </row>
    <row r="3391" spans="1:13" ht="52.8">
      <c r="A3391" s="12" t="s">
        <v>15701</v>
      </c>
      <c r="B3391" s="12" t="s">
        <v>15687</v>
      </c>
      <c r="C3391" s="21" t="s">
        <v>15688</v>
      </c>
      <c r="D3391" s="12" t="s">
        <v>71</v>
      </c>
      <c r="E3391" s="12" t="s">
        <v>15686</v>
      </c>
      <c r="F3391" s="12" t="s">
        <v>15687</v>
      </c>
      <c r="G3391" s="12" t="s">
        <v>15648</v>
      </c>
      <c r="H3391" s="12" t="s">
        <v>15689</v>
      </c>
      <c r="I3391" s="12" t="s">
        <v>15698</v>
      </c>
      <c r="J3391" s="12" t="s">
        <v>15669</v>
      </c>
      <c r="K3391" s="12" t="s">
        <v>15658</v>
      </c>
      <c r="L3391" s="12" t="s">
        <v>15683</v>
      </c>
      <c r="M3391" s="12" t="s">
        <v>15658</v>
      </c>
    </row>
    <row r="3392" spans="1:13" ht="52.8">
      <c r="A3392" s="12" t="s">
        <v>15701</v>
      </c>
      <c r="B3392" s="12" t="s">
        <v>15687</v>
      </c>
      <c r="C3392" s="21" t="s">
        <v>15688</v>
      </c>
      <c r="D3392" s="12" t="s">
        <v>71</v>
      </c>
      <c r="E3392" s="12" t="s">
        <v>15686</v>
      </c>
      <c r="F3392" s="12" t="s">
        <v>15687</v>
      </c>
      <c r="G3392" s="12" t="s">
        <v>15648</v>
      </c>
      <c r="H3392" s="12" t="s">
        <v>15689</v>
      </c>
      <c r="I3392" s="12" t="s">
        <v>15699</v>
      </c>
      <c r="J3392" s="12" t="s">
        <v>15671</v>
      </c>
      <c r="K3392" s="12" t="s">
        <v>15660</v>
      </c>
      <c r="L3392" s="12" t="s">
        <v>15685</v>
      </c>
      <c r="M3392" s="12" t="s">
        <v>15660</v>
      </c>
    </row>
    <row r="3393" spans="1:13" ht="52.8">
      <c r="A3393" s="12" t="s">
        <v>15701</v>
      </c>
      <c r="B3393" s="12" t="s">
        <v>15687</v>
      </c>
      <c r="C3393" s="21" t="s">
        <v>15688</v>
      </c>
      <c r="D3393" s="12" t="s">
        <v>71</v>
      </c>
      <c r="E3393" s="12" t="s">
        <v>15686</v>
      </c>
      <c r="F3393" s="12" t="s">
        <v>15687</v>
      </c>
      <c r="G3393" s="12" t="s">
        <v>15648</v>
      </c>
      <c r="H3393" s="12" t="s">
        <v>15689</v>
      </c>
      <c r="I3393" s="12" t="s">
        <v>15700</v>
      </c>
      <c r="J3393" s="12" t="s">
        <v>15670</v>
      </c>
      <c r="K3393" s="12" t="s">
        <v>15659</v>
      </c>
      <c r="L3393" s="12" t="s">
        <v>15684</v>
      </c>
      <c r="M3393" s="12" t="s">
        <v>15659</v>
      </c>
    </row>
    <row r="3394" spans="1:13" ht="66">
      <c r="A3394" s="12" t="s">
        <v>14921</v>
      </c>
      <c r="B3394" s="12" t="s">
        <v>14918</v>
      </c>
      <c r="C3394" s="21" t="s">
        <v>14875</v>
      </c>
      <c r="D3394" s="12" t="s">
        <v>71</v>
      </c>
      <c r="E3394" s="12" t="s">
        <v>14917</v>
      </c>
      <c r="F3394" s="12" t="s">
        <v>14918</v>
      </c>
      <c r="G3394" s="12" t="s">
        <v>14919</v>
      </c>
      <c r="H3394" s="12" t="s">
        <v>14920</v>
      </c>
      <c r="I3394" s="12" t="s">
        <v>14922</v>
      </c>
      <c r="J3394" s="12" t="s">
        <v>14946</v>
      </c>
      <c r="K3394" s="12"/>
      <c r="L3394" s="12" t="s">
        <v>14969</v>
      </c>
      <c r="M3394" s="12" t="s">
        <v>14970</v>
      </c>
    </row>
    <row r="3395" spans="1:13" ht="66">
      <c r="A3395" s="12" t="s">
        <v>14921</v>
      </c>
      <c r="B3395" s="12" t="s">
        <v>14918</v>
      </c>
      <c r="C3395" s="21" t="s">
        <v>14875</v>
      </c>
      <c r="D3395" s="12" t="s">
        <v>71</v>
      </c>
      <c r="E3395" s="12" t="s">
        <v>14917</v>
      </c>
      <c r="F3395" s="12" t="s">
        <v>14918</v>
      </c>
      <c r="G3395" s="12" t="s">
        <v>14919</v>
      </c>
      <c r="H3395" s="12" t="s">
        <v>14920</v>
      </c>
      <c r="I3395" s="12" t="s">
        <v>14923</v>
      </c>
      <c r="J3395" s="12" t="s">
        <v>14947</v>
      </c>
      <c r="K3395" s="12"/>
      <c r="L3395" s="12" t="s">
        <v>14971</v>
      </c>
      <c r="M3395" s="12" t="s">
        <v>14972</v>
      </c>
    </row>
    <row r="3396" spans="1:13" ht="66">
      <c r="A3396" s="12" t="s">
        <v>14921</v>
      </c>
      <c r="B3396" s="12" t="s">
        <v>14918</v>
      </c>
      <c r="C3396" s="21" t="s">
        <v>14875</v>
      </c>
      <c r="D3396" s="12" t="s">
        <v>71</v>
      </c>
      <c r="E3396" s="12" t="s">
        <v>14917</v>
      </c>
      <c r="F3396" s="12" t="s">
        <v>14918</v>
      </c>
      <c r="G3396" s="12" t="s">
        <v>14919</v>
      </c>
      <c r="H3396" s="12" t="s">
        <v>14920</v>
      </c>
      <c r="I3396" s="12" t="s">
        <v>14924</v>
      </c>
      <c r="J3396" s="12" t="s">
        <v>14948</v>
      </c>
      <c r="K3396" s="12"/>
      <c r="L3396" s="12" t="s">
        <v>14973</v>
      </c>
      <c r="M3396" s="12" t="s">
        <v>14974</v>
      </c>
    </row>
    <row r="3397" spans="1:13" ht="66">
      <c r="A3397" s="12" t="s">
        <v>14921</v>
      </c>
      <c r="B3397" s="12" t="s">
        <v>14918</v>
      </c>
      <c r="C3397" s="21" t="s">
        <v>14875</v>
      </c>
      <c r="D3397" s="12" t="s">
        <v>71</v>
      </c>
      <c r="E3397" s="12" t="s">
        <v>14917</v>
      </c>
      <c r="F3397" s="12" t="s">
        <v>14918</v>
      </c>
      <c r="G3397" s="12" t="s">
        <v>14919</v>
      </c>
      <c r="H3397" s="12" t="s">
        <v>14920</v>
      </c>
      <c r="I3397" s="12" t="s">
        <v>14925</v>
      </c>
      <c r="J3397" s="12" t="s">
        <v>14949</v>
      </c>
      <c r="K3397" s="12"/>
      <c r="L3397" s="12" t="s">
        <v>14975</v>
      </c>
      <c r="M3397" s="12" t="s">
        <v>14976</v>
      </c>
    </row>
    <row r="3398" spans="1:13" ht="66">
      <c r="A3398" s="12" t="s">
        <v>14921</v>
      </c>
      <c r="B3398" s="12" t="s">
        <v>14918</v>
      </c>
      <c r="C3398" s="21" t="s">
        <v>14875</v>
      </c>
      <c r="D3398" s="12" t="s">
        <v>71</v>
      </c>
      <c r="E3398" s="12" t="s">
        <v>14917</v>
      </c>
      <c r="F3398" s="12" t="s">
        <v>14918</v>
      </c>
      <c r="G3398" s="12" t="s">
        <v>14919</v>
      </c>
      <c r="H3398" s="12" t="s">
        <v>14920</v>
      </c>
      <c r="I3398" s="12" t="s">
        <v>14926</v>
      </c>
      <c r="J3398" s="12" t="s">
        <v>14950</v>
      </c>
      <c r="K3398" s="12"/>
      <c r="L3398" s="12" t="s">
        <v>14977</v>
      </c>
      <c r="M3398" s="12" t="s">
        <v>14978</v>
      </c>
    </row>
    <row r="3399" spans="1:13" ht="66">
      <c r="A3399" s="12" t="s">
        <v>14921</v>
      </c>
      <c r="B3399" s="12" t="s">
        <v>14918</v>
      </c>
      <c r="C3399" s="21" t="s">
        <v>14875</v>
      </c>
      <c r="D3399" s="12" t="s">
        <v>71</v>
      </c>
      <c r="E3399" s="12" t="s">
        <v>14917</v>
      </c>
      <c r="F3399" s="12" t="s">
        <v>14918</v>
      </c>
      <c r="G3399" s="12" t="s">
        <v>14919</v>
      </c>
      <c r="H3399" s="12" t="s">
        <v>14920</v>
      </c>
      <c r="I3399" s="12" t="s">
        <v>14927</v>
      </c>
      <c r="J3399" s="12" t="s">
        <v>14951</v>
      </c>
      <c r="K3399" s="12"/>
      <c r="L3399" s="12" t="s">
        <v>14979</v>
      </c>
      <c r="M3399" s="12" t="s">
        <v>14980</v>
      </c>
    </row>
    <row r="3400" spans="1:13" ht="66">
      <c r="A3400" s="12" t="s">
        <v>14921</v>
      </c>
      <c r="B3400" s="12" t="s">
        <v>14918</v>
      </c>
      <c r="C3400" s="21" t="s">
        <v>14875</v>
      </c>
      <c r="D3400" s="12" t="s">
        <v>71</v>
      </c>
      <c r="E3400" s="12" t="s">
        <v>14917</v>
      </c>
      <c r="F3400" s="12" t="s">
        <v>14918</v>
      </c>
      <c r="G3400" s="12" t="s">
        <v>14919</v>
      </c>
      <c r="H3400" s="12" t="s">
        <v>14920</v>
      </c>
      <c r="I3400" s="12" t="s">
        <v>14928</v>
      </c>
      <c r="J3400" s="12" t="s">
        <v>14952</v>
      </c>
      <c r="K3400" s="12"/>
      <c r="L3400" s="12" t="s">
        <v>14981</v>
      </c>
      <c r="M3400" s="12" t="s">
        <v>14982</v>
      </c>
    </row>
    <row r="3401" spans="1:13" ht="66">
      <c r="A3401" s="12" t="s">
        <v>14921</v>
      </c>
      <c r="B3401" s="12" t="s">
        <v>14918</v>
      </c>
      <c r="C3401" s="21" t="s">
        <v>14875</v>
      </c>
      <c r="D3401" s="12" t="s">
        <v>71</v>
      </c>
      <c r="E3401" s="12" t="s">
        <v>14917</v>
      </c>
      <c r="F3401" s="12" t="s">
        <v>14918</v>
      </c>
      <c r="G3401" s="12" t="s">
        <v>14919</v>
      </c>
      <c r="H3401" s="12" t="s">
        <v>14920</v>
      </c>
      <c r="I3401" s="12" t="s">
        <v>14929</v>
      </c>
      <c r="J3401" s="12" t="s">
        <v>14953</v>
      </c>
      <c r="K3401" s="12"/>
      <c r="L3401" s="12" t="s">
        <v>14983</v>
      </c>
      <c r="M3401" s="12" t="s">
        <v>14984</v>
      </c>
    </row>
    <row r="3402" spans="1:13" ht="66">
      <c r="A3402" s="12" t="s">
        <v>14921</v>
      </c>
      <c r="B3402" s="12" t="s">
        <v>14918</v>
      </c>
      <c r="C3402" s="21" t="s">
        <v>14875</v>
      </c>
      <c r="D3402" s="12" t="s">
        <v>71</v>
      </c>
      <c r="E3402" s="12" t="s">
        <v>14917</v>
      </c>
      <c r="F3402" s="12" t="s">
        <v>14918</v>
      </c>
      <c r="G3402" s="12" t="s">
        <v>14919</v>
      </c>
      <c r="H3402" s="12" t="s">
        <v>14920</v>
      </c>
      <c r="I3402" s="12" t="s">
        <v>14930</v>
      </c>
      <c r="J3402" s="12" t="s">
        <v>14954</v>
      </c>
      <c r="K3402" s="12"/>
      <c r="L3402" s="12" t="s">
        <v>14985</v>
      </c>
      <c r="M3402" s="12" t="s">
        <v>14986</v>
      </c>
    </row>
    <row r="3403" spans="1:13" ht="66">
      <c r="A3403" s="12" t="s">
        <v>14921</v>
      </c>
      <c r="B3403" s="12" t="s">
        <v>14918</v>
      </c>
      <c r="C3403" s="21" t="s">
        <v>14875</v>
      </c>
      <c r="D3403" s="12" t="s">
        <v>71</v>
      </c>
      <c r="E3403" s="12" t="s">
        <v>14917</v>
      </c>
      <c r="F3403" s="12" t="s">
        <v>14918</v>
      </c>
      <c r="G3403" s="12" t="s">
        <v>14919</v>
      </c>
      <c r="H3403" s="12" t="s">
        <v>14920</v>
      </c>
      <c r="I3403" s="12" t="s">
        <v>14931</v>
      </c>
      <c r="J3403" s="12" t="s">
        <v>14955</v>
      </c>
      <c r="K3403" s="12"/>
      <c r="L3403" s="12" t="s">
        <v>14987</v>
      </c>
      <c r="M3403" s="12" t="s">
        <v>14988</v>
      </c>
    </row>
    <row r="3404" spans="1:13" ht="66">
      <c r="A3404" s="12" t="s">
        <v>14921</v>
      </c>
      <c r="B3404" s="12" t="s">
        <v>14918</v>
      </c>
      <c r="C3404" s="21" t="s">
        <v>14875</v>
      </c>
      <c r="D3404" s="12" t="s">
        <v>71</v>
      </c>
      <c r="E3404" s="12" t="s">
        <v>14917</v>
      </c>
      <c r="F3404" s="12" t="s">
        <v>14918</v>
      </c>
      <c r="G3404" s="12" t="s">
        <v>14919</v>
      </c>
      <c r="H3404" s="12" t="s">
        <v>14920</v>
      </c>
      <c r="I3404" s="12" t="s">
        <v>14932</v>
      </c>
      <c r="J3404" s="12" t="s">
        <v>14956</v>
      </c>
      <c r="K3404" s="12"/>
      <c r="L3404" s="12" t="s">
        <v>14989</v>
      </c>
      <c r="M3404" s="12" t="s">
        <v>14990</v>
      </c>
    </row>
    <row r="3405" spans="1:13" ht="66">
      <c r="A3405" s="12" t="s">
        <v>14921</v>
      </c>
      <c r="B3405" s="12" t="s">
        <v>14918</v>
      </c>
      <c r="C3405" s="21" t="s">
        <v>14875</v>
      </c>
      <c r="D3405" s="12" t="s">
        <v>71</v>
      </c>
      <c r="E3405" s="12" t="s">
        <v>14917</v>
      </c>
      <c r="F3405" s="12" t="s">
        <v>14918</v>
      </c>
      <c r="G3405" s="12" t="s">
        <v>14919</v>
      </c>
      <c r="H3405" s="12" t="s">
        <v>14920</v>
      </c>
      <c r="I3405" s="12" t="s">
        <v>14933</v>
      </c>
      <c r="J3405" s="12" t="s">
        <v>14830</v>
      </c>
      <c r="K3405" s="12"/>
      <c r="L3405" s="12" t="s">
        <v>14834</v>
      </c>
      <c r="M3405" s="12" t="s">
        <v>14835</v>
      </c>
    </row>
    <row r="3406" spans="1:13" ht="66">
      <c r="A3406" s="12" t="s">
        <v>14921</v>
      </c>
      <c r="B3406" s="12" t="s">
        <v>14918</v>
      </c>
      <c r="C3406" s="21" t="s">
        <v>14875</v>
      </c>
      <c r="D3406" s="12" t="s">
        <v>71</v>
      </c>
      <c r="E3406" s="12" t="s">
        <v>14917</v>
      </c>
      <c r="F3406" s="12" t="s">
        <v>14918</v>
      </c>
      <c r="G3406" s="12" t="s">
        <v>14919</v>
      </c>
      <c r="H3406" s="12" t="s">
        <v>14920</v>
      </c>
      <c r="I3406" s="12" t="s">
        <v>14934</v>
      </c>
      <c r="J3406" s="12" t="s">
        <v>14957</v>
      </c>
      <c r="K3406" s="12"/>
      <c r="L3406" s="12" t="s">
        <v>14991</v>
      </c>
      <c r="M3406" s="12" t="s">
        <v>14992</v>
      </c>
    </row>
    <row r="3407" spans="1:13" ht="66">
      <c r="A3407" s="12" t="s">
        <v>14921</v>
      </c>
      <c r="B3407" s="12" t="s">
        <v>14918</v>
      </c>
      <c r="C3407" s="21" t="s">
        <v>14875</v>
      </c>
      <c r="D3407" s="12" t="s">
        <v>71</v>
      </c>
      <c r="E3407" s="12" t="s">
        <v>14917</v>
      </c>
      <c r="F3407" s="12" t="s">
        <v>14918</v>
      </c>
      <c r="G3407" s="12" t="s">
        <v>14919</v>
      </c>
      <c r="H3407" s="12" t="s">
        <v>14920</v>
      </c>
      <c r="I3407" s="12" t="s">
        <v>14935</v>
      </c>
      <c r="J3407" s="12" t="s">
        <v>14958</v>
      </c>
      <c r="K3407" s="12"/>
      <c r="L3407" s="12" t="s">
        <v>14993</v>
      </c>
      <c r="M3407" s="12" t="s">
        <v>14994</v>
      </c>
    </row>
    <row r="3408" spans="1:13" ht="66">
      <c r="A3408" s="12" t="s">
        <v>14921</v>
      </c>
      <c r="B3408" s="12" t="s">
        <v>14918</v>
      </c>
      <c r="C3408" s="21" t="s">
        <v>14875</v>
      </c>
      <c r="D3408" s="12" t="s">
        <v>71</v>
      </c>
      <c r="E3408" s="12" t="s">
        <v>14917</v>
      </c>
      <c r="F3408" s="12" t="s">
        <v>14918</v>
      </c>
      <c r="G3408" s="12" t="s">
        <v>14919</v>
      </c>
      <c r="H3408" s="12" t="s">
        <v>14920</v>
      </c>
      <c r="I3408" s="12" t="s">
        <v>14936</v>
      </c>
      <c r="J3408" s="12" t="s">
        <v>14959</v>
      </c>
      <c r="K3408" s="12"/>
      <c r="L3408" s="12" t="s">
        <v>14995</v>
      </c>
      <c r="M3408" s="12" t="s">
        <v>14996</v>
      </c>
    </row>
    <row r="3409" spans="1:13" ht="66">
      <c r="A3409" s="12" t="s">
        <v>14921</v>
      </c>
      <c r="B3409" s="12" t="s">
        <v>14918</v>
      </c>
      <c r="C3409" s="21" t="s">
        <v>14875</v>
      </c>
      <c r="D3409" s="12" t="s">
        <v>71</v>
      </c>
      <c r="E3409" s="12" t="s">
        <v>14917</v>
      </c>
      <c r="F3409" s="12" t="s">
        <v>14918</v>
      </c>
      <c r="G3409" s="12" t="s">
        <v>14919</v>
      </c>
      <c r="H3409" s="12" t="s">
        <v>14920</v>
      </c>
      <c r="I3409" s="12" t="s">
        <v>14937</v>
      </c>
      <c r="J3409" s="12" t="s">
        <v>14960</v>
      </c>
      <c r="K3409" s="12"/>
      <c r="L3409" s="12" t="s">
        <v>14997</v>
      </c>
      <c r="M3409" s="12" t="s">
        <v>14998</v>
      </c>
    </row>
    <row r="3410" spans="1:13" ht="66">
      <c r="A3410" s="12" t="s">
        <v>14921</v>
      </c>
      <c r="B3410" s="12" t="s">
        <v>14918</v>
      </c>
      <c r="C3410" s="21" t="s">
        <v>14875</v>
      </c>
      <c r="D3410" s="12" t="s">
        <v>71</v>
      </c>
      <c r="E3410" s="12" t="s">
        <v>14917</v>
      </c>
      <c r="F3410" s="12" t="s">
        <v>14918</v>
      </c>
      <c r="G3410" s="12" t="s">
        <v>14919</v>
      </c>
      <c r="H3410" s="12" t="s">
        <v>14920</v>
      </c>
      <c r="I3410" s="12" t="s">
        <v>14938</v>
      </c>
      <c r="J3410" s="12" t="s">
        <v>14961</v>
      </c>
      <c r="K3410" s="12"/>
      <c r="L3410" s="12" t="s">
        <v>14999</v>
      </c>
      <c r="M3410" s="12" t="s">
        <v>15000</v>
      </c>
    </row>
    <row r="3411" spans="1:13" ht="66">
      <c r="A3411" s="12" t="s">
        <v>14921</v>
      </c>
      <c r="B3411" s="12" t="s">
        <v>14918</v>
      </c>
      <c r="C3411" s="21" t="s">
        <v>14875</v>
      </c>
      <c r="D3411" s="12" t="s">
        <v>71</v>
      </c>
      <c r="E3411" s="12" t="s">
        <v>14917</v>
      </c>
      <c r="F3411" s="12" t="s">
        <v>14918</v>
      </c>
      <c r="G3411" s="12" t="s">
        <v>14919</v>
      </c>
      <c r="H3411" s="12" t="s">
        <v>14920</v>
      </c>
      <c r="I3411" s="12" t="s">
        <v>14939</v>
      </c>
      <c r="J3411" s="12" t="s">
        <v>14962</v>
      </c>
      <c r="K3411" s="12"/>
      <c r="L3411" s="12" t="s">
        <v>15001</v>
      </c>
      <c r="M3411" s="12" t="s">
        <v>15002</v>
      </c>
    </row>
    <row r="3412" spans="1:13" ht="66">
      <c r="A3412" s="12" t="s">
        <v>14921</v>
      </c>
      <c r="B3412" s="12" t="s">
        <v>14918</v>
      </c>
      <c r="C3412" s="21" t="s">
        <v>14875</v>
      </c>
      <c r="D3412" s="12" t="s">
        <v>71</v>
      </c>
      <c r="E3412" s="12" t="s">
        <v>14917</v>
      </c>
      <c r="F3412" s="12" t="s">
        <v>14918</v>
      </c>
      <c r="G3412" s="12" t="s">
        <v>14919</v>
      </c>
      <c r="H3412" s="12" t="s">
        <v>14920</v>
      </c>
      <c r="I3412" s="12" t="s">
        <v>14940</v>
      </c>
      <c r="J3412" s="12" t="s">
        <v>14963</v>
      </c>
      <c r="K3412" s="12"/>
      <c r="L3412" s="12" t="s">
        <v>15003</v>
      </c>
      <c r="M3412" s="12" t="s">
        <v>15004</v>
      </c>
    </row>
    <row r="3413" spans="1:13" ht="66">
      <c r="A3413" s="12" t="s">
        <v>14921</v>
      </c>
      <c r="B3413" s="12" t="s">
        <v>14918</v>
      </c>
      <c r="C3413" s="21" t="s">
        <v>14875</v>
      </c>
      <c r="D3413" s="12" t="s">
        <v>71</v>
      </c>
      <c r="E3413" s="12" t="s">
        <v>14917</v>
      </c>
      <c r="F3413" s="12" t="s">
        <v>14918</v>
      </c>
      <c r="G3413" s="12" t="s">
        <v>14919</v>
      </c>
      <c r="H3413" s="12" t="s">
        <v>14920</v>
      </c>
      <c r="I3413" s="12" t="s">
        <v>14941</v>
      </c>
      <c r="J3413" s="12" t="s">
        <v>14964</v>
      </c>
      <c r="K3413" s="12"/>
      <c r="L3413" s="12" t="s">
        <v>15005</v>
      </c>
      <c r="M3413" s="12" t="s">
        <v>15006</v>
      </c>
    </row>
    <row r="3414" spans="1:13" ht="66">
      <c r="A3414" s="12" t="s">
        <v>14921</v>
      </c>
      <c r="B3414" s="12" t="s">
        <v>14918</v>
      </c>
      <c r="C3414" s="21" t="s">
        <v>14875</v>
      </c>
      <c r="D3414" s="12" t="s">
        <v>71</v>
      </c>
      <c r="E3414" s="12" t="s">
        <v>14917</v>
      </c>
      <c r="F3414" s="12" t="s">
        <v>14918</v>
      </c>
      <c r="G3414" s="12" t="s">
        <v>14919</v>
      </c>
      <c r="H3414" s="12" t="s">
        <v>14920</v>
      </c>
      <c r="I3414" s="12" t="s">
        <v>14942</v>
      </c>
      <c r="J3414" s="12" t="s">
        <v>14965</v>
      </c>
      <c r="K3414" s="12"/>
      <c r="L3414" s="12" t="s">
        <v>15007</v>
      </c>
      <c r="M3414" s="12" t="s">
        <v>15008</v>
      </c>
    </row>
    <row r="3415" spans="1:13" ht="66">
      <c r="A3415" s="12" t="s">
        <v>14921</v>
      </c>
      <c r="B3415" s="12" t="s">
        <v>14918</v>
      </c>
      <c r="C3415" s="21" t="s">
        <v>14875</v>
      </c>
      <c r="D3415" s="12" t="s">
        <v>71</v>
      </c>
      <c r="E3415" s="12" t="s">
        <v>14917</v>
      </c>
      <c r="F3415" s="12" t="s">
        <v>14918</v>
      </c>
      <c r="G3415" s="12" t="s">
        <v>14919</v>
      </c>
      <c r="H3415" s="12" t="s">
        <v>14920</v>
      </c>
      <c r="I3415" s="12" t="s">
        <v>14943</v>
      </c>
      <c r="J3415" s="12" t="s">
        <v>14966</v>
      </c>
      <c r="K3415" s="12"/>
      <c r="L3415" s="12" t="s">
        <v>15009</v>
      </c>
      <c r="M3415" s="12" t="s">
        <v>15010</v>
      </c>
    </row>
    <row r="3416" spans="1:13" ht="66">
      <c r="A3416" s="12" t="s">
        <v>14921</v>
      </c>
      <c r="B3416" s="12" t="s">
        <v>14918</v>
      </c>
      <c r="C3416" s="21" t="s">
        <v>14875</v>
      </c>
      <c r="D3416" s="12" t="s">
        <v>71</v>
      </c>
      <c r="E3416" s="12" t="s">
        <v>14917</v>
      </c>
      <c r="F3416" s="12" t="s">
        <v>14918</v>
      </c>
      <c r="G3416" s="12" t="s">
        <v>14919</v>
      </c>
      <c r="H3416" s="12" t="s">
        <v>14920</v>
      </c>
      <c r="I3416" s="12" t="s">
        <v>14944</v>
      </c>
      <c r="J3416" s="12" t="s">
        <v>14967</v>
      </c>
      <c r="K3416" s="12"/>
      <c r="L3416" s="12" t="s">
        <v>15011</v>
      </c>
      <c r="M3416" s="12" t="s">
        <v>15012</v>
      </c>
    </row>
    <row r="3417" spans="1:13" ht="66">
      <c r="A3417" s="12" t="s">
        <v>14921</v>
      </c>
      <c r="B3417" s="12" t="s">
        <v>14918</v>
      </c>
      <c r="C3417" s="21" t="s">
        <v>14875</v>
      </c>
      <c r="D3417" s="12" t="s">
        <v>71</v>
      </c>
      <c r="E3417" s="12" t="s">
        <v>14917</v>
      </c>
      <c r="F3417" s="12" t="s">
        <v>14918</v>
      </c>
      <c r="G3417" s="12" t="s">
        <v>14919</v>
      </c>
      <c r="H3417" s="12" t="s">
        <v>14920</v>
      </c>
      <c r="I3417" s="12" t="s">
        <v>14945</v>
      </c>
      <c r="J3417" s="12" t="s">
        <v>14968</v>
      </c>
      <c r="K3417" s="12"/>
      <c r="L3417" s="12" t="s">
        <v>15013</v>
      </c>
      <c r="M3417" s="12" t="s">
        <v>15014</v>
      </c>
    </row>
    <row r="3418" spans="1:13" ht="66">
      <c r="A3418" s="12" t="s">
        <v>15521</v>
      </c>
      <c r="B3418" s="12" t="s">
        <v>15473</v>
      </c>
      <c r="C3418" s="21" t="s">
        <v>15520</v>
      </c>
      <c r="D3418" s="12" t="s">
        <v>71</v>
      </c>
      <c r="E3418" s="12" t="s">
        <v>15519</v>
      </c>
      <c r="F3418" s="12" t="s">
        <v>15473</v>
      </c>
      <c r="G3418" s="12" t="s">
        <v>15522</v>
      </c>
      <c r="H3418" s="12" t="s">
        <v>15523</v>
      </c>
      <c r="I3418" s="12" t="s">
        <v>15524</v>
      </c>
      <c r="J3418" s="12" t="s">
        <v>15538</v>
      </c>
      <c r="K3418" s="12" t="s">
        <v>15552</v>
      </c>
      <c r="L3418" s="12" t="s">
        <v>15553</v>
      </c>
      <c r="M3418" s="12" t="s">
        <v>15554</v>
      </c>
    </row>
    <row r="3419" spans="1:13" ht="52.8">
      <c r="A3419" s="12" t="s">
        <v>15521</v>
      </c>
      <c r="B3419" s="12" t="s">
        <v>15473</v>
      </c>
      <c r="C3419" s="21" t="s">
        <v>15520</v>
      </c>
      <c r="D3419" s="12" t="s">
        <v>71</v>
      </c>
      <c r="E3419" s="12" t="s">
        <v>15519</v>
      </c>
      <c r="F3419" s="12" t="s">
        <v>15473</v>
      </c>
      <c r="G3419" s="12" t="s">
        <v>15522</v>
      </c>
      <c r="H3419" s="12" t="s">
        <v>15523</v>
      </c>
      <c r="I3419" s="12" t="s">
        <v>15091</v>
      </c>
      <c r="J3419" s="12" t="s">
        <v>15128</v>
      </c>
      <c r="K3419" s="12" t="s">
        <v>15170</v>
      </c>
      <c r="L3419" s="12" t="s">
        <v>15171</v>
      </c>
      <c r="M3419" s="12" t="s">
        <v>15170</v>
      </c>
    </row>
    <row r="3420" spans="1:13" ht="52.8">
      <c r="A3420" s="12" t="s">
        <v>15521</v>
      </c>
      <c r="B3420" s="12" t="s">
        <v>15473</v>
      </c>
      <c r="C3420" s="21" t="s">
        <v>15520</v>
      </c>
      <c r="D3420" s="12" t="s">
        <v>71</v>
      </c>
      <c r="E3420" s="12" t="s">
        <v>15519</v>
      </c>
      <c r="F3420" s="12" t="s">
        <v>15473</v>
      </c>
      <c r="G3420" s="12" t="s">
        <v>15522</v>
      </c>
      <c r="H3420" s="12" t="s">
        <v>15523</v>
      </c>
      <c r="I3420" s="12" t="s">
        <v>15525</v>
      </c>
      <c r="J3420" s="12" t="s">
        <v>15539</v>
      </c>
      <c r="K3420" s="12"/>
      <c r="L3420" s="12" t="s">
        <v>15555</v>
      </c>
      <c r="M3420" s="12" t="s">
        <v>15556</v>
      </c>
    </row>
    <row r="3421" spans="1:13" ht="52.8">
      <c r="A3421" s="12" t="s">
        <v>15521</v>
      </c>
      <c r="B3421" s="12" t="s">
        <v>15473</v>
      </c>
      <c r="C3421" s="21" t="s">
        <v>15520</v>
      </c>
      <c r="D3421" s="12" t="s">
        <v>71</v>
      </c>
      <c r="E3421" s="12" t="s">
        <v>15519</v>
      </c>
      <c r="F3421" s="12" t="s">
        <v>15473</v>
      </c>
      <c r="G3421" s="12" t="s">
        <v>15522</v>
      </c>
      <c r="H3421" s="12" t="s">
        <v>15523</v>
      </c>
      <c r="I3421" s="12" t="s">
        <v>15526</v>
      </c>
      <c r="J3421" s="12" t="s">
        <v>15540</v>
      </c>
      <c r="K3421" s="12"/>
      <c r="L3421" s="12" t="s">
        <v>15557</v>
      </c>
      <c r="M3421" s="12" t="s">
        <v>15558</v>
      </c>
    </row>
    <row r="3422" spans="1:13" ht="52.8">
      <c r="A3422" s="12" t="s">
        <v>15521</v>
      </c>
      <c r="B3422" s="12" t="s">
        <v>15473</v>
      </c>
      <c r="C3422" s="21" t="s">
        <v>15520</v>
      </c>
      <c r="D3422" s="12" t="s">
        <v>71</v>
      </c>
      <c r="E3422" s="12" t="s">
        <v>15519</v>
      </c>
      <c r="F3422" s="12" t="s">
        <v>15473</v>
      </c>
      <c r="G3422" s="12" t="s">
        <v>15522</v>
      </c>
      <c r="H3422" s="12" t="s">
        <v>15523</v>
      </c>
      <c r="I3422" s="12" t="s">
        <v>15527</v>
      </c>
      <c r="J3422" s="12" t="s">
        <v>15541</v>
      </c>
      <c r="K3422" s="12"/>
      <c r="L3422" s="12" t="s">
        <v>15559</v>
      </c>
      <c r="M3422" s="12" t="s">
        <v>15560</v>
      </c>
    </row>
    <row r="3423" spans="1:13" ht="52.8">
      <c r="A3423" s="12" t="s">
        <v>15521</v>
      </c>
      <c r="B3423" s="12" t="s">
        <v>15473</v>
      </c>
      <c r="C3423" s="21" t="s">
        <v>15520</v>
      </c>
      <c r="D3423" s="12" t="s">
        <v>71</v>
      </c>
      <c r="E3423" s="12" t="s">
        <v>15519</v>
      </c>
      <c r="F3423" s="12" t="s">
        <v>15473</v>
      </c>
      <c r="G3423" s="12" t="s">
        <v>15522</v>
      </c>
      <c r="H3423" s="12" t="s">
        <v>15523</v>
      </c>
      <c r="I3423" s="12" t="s">
        <v>15528</v>
      </c>
      <c r="J3423" s="12" t="s">
        <v>15542</v>
      </c>
      <c r="K3423" s="12" t="s">
        <v>15561</v>
      </c>
      <c r="L3423" s="12" t="s">
        <v>15562</v>
      </c>
      <c r="M3423" s="12" t="s">
        <v>15563</v>
      </c>
    </row>
    <row r="3424" spans="1:13" ht="52.8">
      <c r="A3424" s="12" t="s">
        <v>15521</v>
      </c>
      <c r="B3424" s="12" t="s">
        <v>15473</v>
      </c>
      <c r="C3424" s="21" t="s">
        <v>15520</v>
      </c>
      <c r="D3424" s="12" t="s">
        <v>71</v>
      </c>
      <c r="E3424" s="12" t="s">
        <v>15519</v>
      </c>
      <c r="F3424" s="12" t="s">
        <v>15473</v>
      </c>
      <c r="G3424" s="12" t="s">
        <v>15522</v>
      </c>
      <c r="H3424" s="12" t="s">
        <v>15523</v>
      </c>
      <c r="I3424" s="12" t="s">
        <v>15529</v>
      </c>
      <c r="J3424" s="12" t="s">
        <v>15543</v>
      </c>
      <c r="K3424" s="12"/>
      <c r="L3424" s="12" t="s">
        <v>15564</v>
      </c>
      <c r="M3424" s="12" t="s">
        <v>15565</v>
      </c>
    </row>
    <row r="3425" spans="1:13" ht="52.8">
      <c r="A3425" s="12" t="s">
        <v>15521</v>
      </c>
      <c r="B3425" s="12" t="s">
        <v>15473</v>
      </c>
      <c r="C3425" s="21" t="s">
        <v>15520</v>
      </c>
      <c r="D3425" s="12" t="s">
        <v>71</v>
      </c>
      <c r="E3425" s="12" t="s">
        <v>15519</v>
      </c>
      <c r="F3425" s="12" t="s">
        <v>15473</v>
      </c>
      <c r="G3425" s="12" t="s">
        <v>15522</v>
      </c>
      <c r="H3425" s="12" t="s">
        <v>15523</v>
      </c>
      <c r="I3425" s="12" t="s">
        <v>15530</v>
      </c>
      <c r="J3425" s="12" t="s">
        <v>15544</v>
      </c>
      <c r="K3425" s="12" t="s">
        <v>15566</v>
      </c>
      <c r="L3425" s="12" t="s">
        <v>15567</v>
      </c>
      <c r="M3425" s="12" t="s">
        <v>15568</v>
      </c>
    </row>
    <row r="3426" spans="1:13" ht="52.8">
      <c r="A3426" s="12" t="s">
        <v>15521</v>
      </c>
      <c r="B3426" s="12" t="s">
        <v>15473</v>
      </c>
      <c r="C3426" s="21" t="s">
        <v>15520</v>
      </c>
      <c r="D3426" s="12" t="s">
        <v>71</v>
      </c>
      <c r="E3426" s="12" t="s">
        <v>15519</v>
      </c>
      <c r="F3426" s="12" t="s">
        <v>15473</v>
      </c>
      <c r="G3426" s="12" t="s">
        <v>15522</v>
      </c>
      <c r="H3426" s="12" t="s">
        <v>15523</v>
      </c>
      <c r="I3426" s="12" t="s">
        <v>15531</v>
      </c>
      <c r="J3426" s="12" t="s">
        <v>15545</v>
      </c>
      <c r="K3426" s="12" t="s">
        <v>15569</v>
      </c>
      <c r="L3426" s="12" t="s">
        <v>15570</v>
      </c>
      <c r="M3426" s="12" t="s">
        <v>15571</v>
      </c>
    </row>
    <row r="3427" spans="1:13" ht="52.8">
      <c r="A3427" s="12" t="s">
        <v>15521</v>
      </c>
      <c r="B3427" s="12" t="s">
        <v>15473</v>
      </c>
      <c r="C3427" s="21" t="s">
        <v>15520</v>
      </c>
      <c r="D3427" s="12" t="s">
        <v>71</v>
      </c>
      <c r="E3427" s="12" t="s">
        <v>15519</v>
      </c>
      <c r="F3427" s="12" t="s">
        <v>15473</v>
      </c>
      <c r="G3427" s="12" t="s">
        <v>15522</v>
      </c>
      <c r="H3427" s="12" t="s">
        <v>15523</v>
      </c>
      <c r="I3427" s="12" t="s">
        <v>15532</v>
      </c>
      <c r="J3427" s="12" t="s">
        <v>15546</v>
      </c>
      <c r="K3427" s="12"/>
      <c r="L3427" s="12" t="s">
        <v>15572</v>
      </c>
      <c r="M3427" s="12" t="s">
        <v>15573</v>
      </c>
    </row>
    <row r="3428" spans="1:13" ht="52.8">
      <c r="A3428" s="12" t="s">
        <v>15521</v>
      </c>
      <c r="B3428" s="12" t="s">
        <v>15473</v>
      </c>
      <c r="C3428" s="21" t="s">
        <v>15520</v>
      </c>
      <c r="D3428" s="12" t="s">
        <v>71</v>
      </c>
      <c r="E3428" s="12" t="s">
        <v>15519</v>
      </c>
      <c r="F3428" s="12" t="s">
        <v>15473</v>
      </c>
      <c r="G3428" s="12" t="s">
        <v>15522</v>
      </c>
      <c r="H3428" s="12" t="s">
        <v>15523</v>
      </c>
      <c r="I3428" s="12" t="s">
        <v>15533</v>
      </c>
      <c r="J3428" s="12" t="s">
        <v>15547</v>
      </c>
      <c r="K3428" s="12"/>
      <c r="L3428" s="12" t="s">
        <v>15574</v>
      </c>
      <c r="M3428" s="12" t="s">
        <v>15575</v>
      </c>
    </row>
    <row r="3429" spans="1:13" ht="52.8">
      <c r="A3429" s="12" t="s">
        <v>15521</v>
      </c>
      <c r="B3429" s="12" t="s">
        <v>15473</v>
      </c>
      <c r="C3429" s="21" t="s">
        <v>15520</v>
      </c>
      <c r="D3429" s="12" t="s">
        <v>71</v>
      </c>
      <c r="E3429" s="12" t="s">
        <v>15519</v>
      </c>
      <c r="F3429" s="12" t="s">
        <v>15473</v>
      </c>
      <c r="G3429" s="12" t="s">
        <v>15522</v>
      </c>
      <c r="H3429" s="12" t="s">
        <v>15523</v>
      </c>
      <c r="I3429" s="12" t="s">
        <v>15534</v>
      </c>
      <c r="J3429" s="12" t="s">
        <v>15548</v>
      </c>
      <c r="K3429" s="12"/>
      <c r="L3429" s="12" t="s">
        <v>15576</v>
      </c>
      <c r="M3429" s="12" t="s">
        <v>15577</v>
      </c>
    </row>
    <row r="3430" spans="1:13" ht="52.8">
      <c r="A3430" s="12" t="s">
        <v>15521</v>
      </c>
      <c r="B3430" s="12" t="s">
        <v>15473</v>
      </c>
      <c r="C3430" s="21" t="s">
        <v>15520</v>
      </c>
      <c r="D3430" s="12" t="s">
        <v>71</v>
      </c>
      <c r="E3430" s="12" t="s">
        <v>15519</v>
      </c>
      <c r="F3430" s="12" t="s">
        <v>15473</v>
      </c>
      <c r="G3430" s="12" t="s">
        <v>15522</v>
      </c>
      <c r="H3430" s="12" t="s">
        <v>15523</v>
      </c>
      <c r="I3430" s="12" t="s">
        <v>15535</v>
      </c>
      <c r="J3430" s="12" t="s">
        <v>15549</v>
      </c>
      <c r="K3430" s="12"/>
      <c r="L3430" s="12" t="s">
        <v>15578</v>
      </c>
      <c r="M3430" s="12" t="s">
        <v>15579</v>
      </c>
    </row>
    <row r="3431" spans="1:13" ht="52.8">
      <c r="A3431" s="12" t="s">
        <v>15521</v>
      </c>
      <c r="B3431" s="12" t="s">
        <v>15473</v>
      </c>
      <c r="C3431" s="21" t="s">
        <v>15520</v>
      </c>
      <c r="D3431" s="12" t="s">
        <v>71</v>
      </c>
      <c r="E3431" s="12" t="s">
        <v>15519</v>
      </c>
      <c r="F3431" s="12" t="s">
        <v>15473</v>
      </c>
      <c r="G3431" s="12" t="s">
        <v>15522</v>
      </c>
      <c r="H3431" s="12" t="s">
        <v>15523</v>
      </c>
      <c r="I3431" s="12" t="s">
        <v>15536</v>
      </c>
      <c r="J3431" s="12" t="s">
        <v>15550</v>
      </c>
      <c r="K3431" s="12"/>
      <c r="L3431" s="12" t="s">
        <v>15580</v>
      </c>
      <c r="M3431" s="12" t="s">
        <v>15581</v>
      </c>
    </row>
    <row r="3432" spans="1:13" ht="52.8">
      <c r="A3432" s="12" t="s">
        <v>15521</v>
      </c>
      <c r="B3432" s="12" t="s">
        <v>15473</v>
      </c>
      <c r="C3432" s="21" t="s">
        <v>15520</v>
      </c>
      <c r="D3432" s="12" t="s">
        <v>71</v>
      </c>
      <c r="E3432" s="12" t="s">
        <v>15519</v>
      </c>
      <c r="F3432" s="12" t="s">
        <v>15473</v>
      </c>
      <c r="G3432" s="12" t="s">
        <v>15522</v>
      </c>
      <c r="H3432" s="12" t="s">
        <v>15523</v>
      </c>
      <c r="I3432" s="12" t="s">
        <v>15537</v>
      </c>
      <c r="J3432" s="12" t="s">
        <v>15551</v>
      </c>
      <c r="K3432" s="12"/>
      <c r="L3432" s="12" t="s">
        <v>15582</v>
      </c>
      <c r="M3432" s="12" t="s">
        <v>15583</v>
      </c>
    </row>
    <row r="3433" spans="1:13" ht="39.6">
      <c r="A3433" s="12" t="s">
        <v>13878</v>
      </c>
      <c r="B3433" s="12" t="s">
        <v>13866</v>
      </c>
      <c r="C3433" s="21" t="s">
        <v>13867</v>
      </c>
      <c r="D3433" s="12" t="s">
        <v>71</v>
      </c>
      <c r="E3433" s="12" t="s">
        <v>13865</v>
      </c>
      <c r="F3433" s="12" t="s">
        <v>13866</v>
      </c>
      <c r="G3433" s="12" t="s">
        <v>13868</v>
      </c>
      <c r="H3433" s="12" t="s">
        <v>13869</v>
      </c>
      <c r="I3433" s="12" t="s">
        <v>13870</v>
      </c>
      <c r="J3433" s="12" t="s">
        <v>13872</v>
      </c>
      <c r="K3433" s="12"/>
      <c r="L3433" s="12" t="s">
        <v>13874</v>
      </c>
      <c r="M3433" s="12" t="s">
        <v>13875</v>
      </c>
    </row>
    <row r="3434" spans="1:13" ht="39.6">
      <c r="A3434" s="12" t="s">
        <v>13878</v>
      </c>
      <c r="B3434" s="12" t="s">
        <v>13866</v>
      </c>
      <c r="C3434" s="21" t="s">
        <v>13867</v>
      </c>
      <c r="D3434" s="12" t="s">
        <v>71</v>
      </c>
      <c r="E3434" s="12" t="s">
        <v>13865</v>
      </c>
      <c r="F3434" s="12" t="s">
        <v>13866</v>
      </c>
      <c r="G3434" s="12" t="s">
        <v>13868</v>
      </c>
      <c r="H3434" s="12" t="s">
        <v>13869</v>
      </c>
      <c r="I3434" s="12" t="s">
        <v>13871</v>
      </c>
      <c r="J3434" s="12" t="s">
        <v>13873</v>
      </c>
      <c r="K3434" s="12"/>
      <c r="L3434" s="12" t="s">
        <v>13876</v>
      </c>
      <c r="M3434" s="12" t="s">
        <v>13877</v>
      </c>
    </row>
    <row r="3435" spans="1:13" ht="52.8">
      <c r="A3435" s="21" t="s">
        <v>2112</v>
      </c>
      <c r="B3435" s="21" t="s">
        <v>2115</v>
      </c>
      <c r="C3435" s="21" t="s">
        <v>2113</v>
      </c>
      <c r="D3435" s="21" t="s">
        <v>71</v>
      </c>
      <c r="E3435" s="22" t="s">
        <v>2114</v>
      </c>
      <c r="F3435" s="22" t="s">
        <v>2115</v>
      </c>
      <c r="G3435" s="21" t="s">
        <v>2116</v>
      </c>
      <c r="H3435" s="21" t="s">
        <v>2117</v>
      </c>
      <c r="I3435" s="12" t="s">
        <v>2122</v>
      </c>
      <c r="J3435" s="12" t="s">
        <v>2118</v>
      </c>
      <c r="K3435" s="12"/>
      <c r="L3435" s="12" t="s">
        <v>2126</v>
      </c>
      <c r="M3435" s="12" t="s">
        <v>2127</v>
      </c>
    </row>
    <row r="3436" spans="1:13" ht="52.8">
      <c r="A3436" s="21" t="s">
        <v>2112</v>
      </c>
      <c r="B3436" s="21" t="s">
        <v>2115</v>
      </c>
      <c r="C3436" s="21" t="s">
        <v>2113</v>
      </c>
      <c r="D3436" s="21" t="s">
        <v>71</v>
      </c>
      <c r="E3436" s="22" t="s">
        <v>2114</v>
      </c>
      <c r="F3436" s="22" t="s">
        <v>2115</v>
      </c>
      <c r="G3436" s="21" t="s">
        <v>2116</v>
      </c>
      <c r="H3436" s="21" t="s">
        <v>2117</v>
      </c>
      <c r="I3436" s="12" t="s">
        <v>2123</v>
      </c>
      <c r="J3436" s="12" t="s">
        <v>2119</v>
      </c>
      <c r="K3436" s="12"/>
      <c r="L3436" s="12" t="s">
        <v>2128</v>
      </c>
      <c r="M3436" s="12" t="s">
        <v>2129</v>
      </c>
    </row>
    <row r="3437" spans="1:13" ht="52.8">
      <c r="A3437" s="21" t="s">
        <v>2112</v>
      </c>
      <c r="B3437" s="21" t="s">
        <v>2115</v>
      </c>
      <c r="C3437" s="21" t="s">
        <v>2113</v>
      </c>
      <c r="D3437" s="21" t="s">
        <v>71</v>
      </c>
      <c r="E3437" s="22" t="s">
        <v>2114</v>
      </c>
      <c r="F3437" s="22" t="s">
        <v>2115</v>
      </c>
      <c r="G3437" s="21" t="s">
        <v>2116</v>
      </c>
      <c r="H3437" s="21" t="s">
        <v>2117</v>
      </c>
      <c r="I3437" s="12" t="s">
        <v>2124</v>
      </c>
      <c r="J3437" s="12" t="s">
        <v>2120</v>
      </c>
      <c r="K3437" s="12"/>
      <c r="L3437" s="12" t="s">
        <v>2130</v>
      </c>
      <c r="M3437" s="12" t="s">
        <v>2131</v>
      </c>
    </row>
    <row r="3438" spans="1:13" ht="52.8">
      <c r="A3438" s="21" t="s">
        <v>2112</v>
      </c>
      <c r="B3438" s="21" t="s">
        <v>2115</v>
      </c>
      <c r="C3438" s="21" t="s">
        <v>2113</v>
      </c>
      <c r="D3438" s="21" t="s">
        <v>71</v>
      </c>
      <c r="E3438" s="22" t="s">
        <v>2114</v>
      </c>
      <c r="F3438" s="22" t="s">
        <v>2115</v>
      </c>
      <c r="G3438" s="21" t="s">
        <v>2116</v>
      </c>
      <c r="H3438" s="21" t="s">
        <v>2117</v>
      </c>
      <c r="I3438" s="12" t="s">
        <v>2125</v>
      </c>
      <c r="J3438" s="12" t="s">
        <v>2121</v>
      </c>
      <c r="K3438" s="12"/>
      <c r="L3438" s="12" t="s">
        <v>2132</v>
      </c>
      <c r="M3438" s="12" t="s">
        <v>2133</v>
      </c>
    </row>
    <row r="3439" spans="1:13" ht="52.8">
      <c r="A3439" s="21" t="s">
        <v>15287</v>
      </c>
      <c r="B3439" s="21" t="s">
        <v>15290</v>
      </c>
      <c r="C3439" s="21" t="s">
        <v>15289</v>
      </c>
      <c r="D3439" s="21" t="s">
        <v>71</v>
      </c>
      <c r="E3439" s="22" t="s">
        <v>15288</v>
      </c>
      <c r="F3439" s="22" t="s">
        <v>15290</v>
      </c>
      <c r="G3439" s="21" t="s">
        <v>15291</v>
      </c>
      <c r="H3439" s="21" t="s">
        <v>15292</v>
      </c>
      <c r="I3439" s="12" t="s">
        <v>15293</v>
      </c>
      <c r="J3439" s="12" t="s">
        <v>15296</v>
      </c>
      <c r="K3439" s="12"/>
      <c r="L3439" s="12" t="s">
        <v>15299</v>
      </c>
      <c r="M3439" s="12" t="s">
        <v>15300</v>
      </c>
    </row>
    <row r="3440" spans="1:13" ht="52.8">
      <c r="A3440" s="21" t="s">
        <v>15287</v>
      </c>
      <c r="B3440" s="21" t="s">
        <v>15290</v>
      </c>
      <c r="C3440" s="21" t="s">
        <v>15289</v>
      </c>
      <c r="D3440" s="21" t="s">
        <v>71</v>
      </c>
      <c r="E3440" s="22" t="s">
        <v>15288</v>
      </c>
      <c r="F3440" s="22" t="s">
        <v>15290</v>
      </c>
      <c r="G3440" s="21" t="s">
        <v>15291</v>
      </c>
      <c r="H3440" s="21" t="s">
        <v>15292</v>
      </c>
      <c r="I3440" s="12" t="s">
        <v>15294</v>
      </c>
      <c r="J3440" s="12" t="s">
        <v>15297</v>
      </c>
      <c r="K3440" s="12"/>
      <c r="L3440" s="12" t="s">
        <v>15301</v>
      </c>
      <c r="M3440" s="12" t="s">
        <v>15302</v>
      </c>
    </row>
    <row r="3441" spans="1:13" ht="66">
      <c r="A3441" s="21" t="s">
        <v>15287</v>
      </c>
      <c r="B3441" s="21" t="s">
        <v>15290</v>
      </c>
      <c r="C3441" s="21" t="s">
        <v>15289</v>
      </c>
      <c r="D3441" s="21" t="s">
        <v>71</v>
      </c>
      <c r="E3441" s="22" t="s">
        <v>15288</v>
      </c>
      <c r="F3441" s="22" t="s">
        <v>15290</v>
      </c>
      <c r="G3441" s="21" t="s">
        <v>15291</v>
      </c>
      <c r="H3441" s="21" t="s">
        <v>15292</v>
      </c>
      <c r="I3441" s="12" t="s">
        <v>15295</v>
      </c>
      <c r="J3441" s="12" t="s">
        <v>15298</v>
      </c>
      <c r="K3441" s="12"/>
      <c r="L3441" s="12" t="s">
        <v>15303</v>
      </c>
      <c r="M3441" s="12" t="s">
        <v>15304</v>
      </c>
    </row>
    <row r="3442" spans="1:13" ht="52.8">
      <c r="A3442" s="12" t="s">
        <v>15068</v>
      </c>
      <c r="B3442" s="12" t="s">
        <v>15032</v>
      </c>
      <c r="C3442" s="21" t="s">
        <v>15031</v>
      </c>
      <c r="D3442" s="12" t="s">
        <v>71</v>
      </c>
      <c r="E3442" s="12" t="s">
        <v>15069</v>
      </c>
      <c r="F3442" s="12" t="s">
        <v>15032</v>
      </c>
      <c r="G3442" s="12" t="s">
        <v>15070</v>
      </c>
      <c r="H3442" s="12" t="s">
        <v>15071</v>
      </c>
      <c r="I3442" s="12" t="s">
        <v>15072</v>
      </c>
      <c r="J3442" s="12" t="s">
        <v>15074</v>
      </c>
      <c r="K3442" s="12"/>
      <c r="L3442" s="12" t="s">
        <v>15076</v>
      </c>
      <c r="M3442" s="12" t="s">
        <v>15077</v>
      </c>
    </row>
    <row r="3443" spans="1:13" ht="52.8">
      <c r="A3443" s="12" t="s">
        <v>15068</v>
      </c>
      <c r="B3443" s="12" t="s">
        <v>15032</v>
      </c>
      <c r="C3443" s="21" t="s">
        <v>15031</v>
      </c>
      <c r="D3443" s="12" t="s">
        <v>71</v>
      </c>
      <c r="E3443" s="12" t="s">
        <v>15069</v>
      </c>
      <c r="F3443" s="12" t="s">
        <v>15032</v>
      </c>
      <c r="G3443" s="12" t="s">
        <v>15070</v>
      </c>
      <c r="H3443" s="12" t="s">
        <v>15071</v>
      </c>
      <c r="I3443" s="12" t="s">
        <v>15073</v>
      </c>
      <c r="J3443" s="12" t="s">
        <v>15075</v>
      </c>
      <c r="K3443" s="12"/>
      <c r="L3443" s="12" t="s">
        <v>15078</v>
      </c>
      <c r="M3443" s="12" t="s">
        <v>15079</v>
      </c>
    </row>
    <row r="3444" spans="1:13" ht="66">
      <c r="A3444" s="12" t="s">
        <v>15368</v>
      </c>
      <c r="B3444" s="12" t="s">
        <v>15369</v>
      </c>
      <c r="C3444" s="21" t="s">
        <v>15316</v>
      </c>
      <c r="D3444" s="12" t="s">
        <v>71</v>
      </c>
      <c r="E3444" s="12" t="s">
        <v>15392</v>
      </c>
      <c r="F3444" s="12" t="s">
        <v>15369</v>
      </c>
      <c r="G3444" s="12" t="s">
        <v>15370</v>
      </c>
      <c r="H3444" s="12" t="s">
        <v>15371</v>
      </c>
      <c r="I3444" s="12" t="s">
        <v>15372</v>
      </c>
      <c r="J3444" s="12" t="s">
        <v>15393</v>
      </c>
      <c r="K3444" s="12"/>
      <c r="L3444" s="12" t="s">
        <v>15413</v>
      </c>
      <c r="M3444" s="12" t="s">
        <v>15414</v>
      </c>
    </row>
    <row r="3445" spans="1:13" ht="66">
      <c r="A3445" s="12" t="s">
        <v>15368</v>
      </c>
      <c r="B3445" s="12" t="s">
        <v>15369</v>
      </c>
      <c r="C3445" s="21" t="s">
        <v>15316</v>
      </c>
      <c r="D3445" s="12" t="s">
        <v>71</v>
      </c>
      <c r="E3445" s="12" t="s">
        <v>15392</v>
      </c>
      <c r="F3445" s="12" t="s">
        <v>15369</v>
      </c>
      <c r="G3445" s="12" t="s">
        <v>15370</v>
      </c>
      <c r="H3445" s="12" t="s">
        <v>15371</v>
      </c>
      <c r="I3445" s="12" t="s">
        <v>15373</v>
      </c>
      <c r="J3445" s="12" t="s">
        <v>15394</v>
      </c>
      <c r="K3445" s="12" t="s">
        <v>15415</v>
      </c>
      <c r="L3445" s="12" t="s">
        <v>15416</v>
      </c>
      <c r="M3445" s="12" t="s">
        <v>15417</v>
      </c>
    </row>
    <row r="3446" spans="1:13" ht="66">
      <c r="A3446" s="12" t="s">
        <v>15368</v>
      </c>
      <c r="B3446" s="12" t="s">
        <v>15369</v>
      </c>
      <c r="C3446" s="21" t="s">
        <v>15316</v>
      </c>
      <c r="D3446" s="12" t="s">
        <v>71</v>
      </c>
      <c r="E3446" s="12" t="s">
        <v>15392</v>
      </c>
      <c r="F3446" s="12" t="s">
        <v>15369</v>
      </c>
      <c r="G3446" s="12" t="s">
        <v>15370</v>
      </c>
      <c r="H3446" s="12" t="s">
        <v>15371</v>
      </c>
      <c r="I3446" s="12" t="s">
        <v>15374</v>
      </c>
      <c r="J3446" s="12" t="s">
        <v>15395</v>
      </c>
      <c r="K3446" s="12"/>
      <c r="L3446" s="12" t="s">
        <v>15418</v>
      </c>
      <c r="M3446" s="12" t="s">
        <v>15419</v>
      </c>
    </row>
    <row r="3447" spans="1:13" ht="66">
      <c r="A3447" s="12" t="s">
        <v>15368</v>
      </c>
      <c r="B3447" s="12" t="s">
        <v>15369</v>
      </c>
      <c r="C3447" s="21" t="s">
        <v>15316</v>
      </c>
      <c r="D3447" s="12" t="s">
        <v>71</v>
      </c>
      <c r="E3447" s="12" t="s">
        <v>15392</v>
      </c>
      <c r="F3447" s="12" t="s">
        <v>15369</v>
      </c>
      <c r="G3447" s="12" t="s">
        <v>15370</v>
      </c>
      <c r="H3447" s="12" t="s">
        <v>15371</v>
      </c>
      <c r="I3447" s="12" t="s">
        <v>15375</v>
      </c>
      <c r="J3447" s="12" t="s">
        <v>15396</v>
      </c>
      <c r="K3447" s="12"/>
      <c r="L3447" s="12" t="s">
        <v>15420</v>
      </c>
      <c r="M3447" s="12" t="s">
        <v>15421</v>
      </c>
    </row>
    <row r="3448" spans="1:13" ht="66">
      <c r="A3448" s="12" t="s">
        <v>15368</v>
      </c>
      <c r="B3448" s="12" t="s">
        <v>15369</v>
      </c>
      <c r="C3448" s="21" t="s">
        <v>15316</v>
      </c>
      <c r="D3448" s="12" t="s">
        <v>71</v>
      </c>
      <c r="E3448" s="12" t="s">
        <v>15392</v>
      </c>
      <c r="F3448" s="12" t="s">
        <v>15369</v>
      </c>
      <c r="G3448" s="12" t="s">
        <v>15370</v>
      </c>
      <c r="H3448" s="12" t="s">
        <v>15371</v>
      </c>
      <c r="I3448" s="12" t="s">
        <v>15376</v>
      </c>
      <c r="J3448" s="12" t="s">
        <v>15397</v>
      </c>
      <c r="K3448" s="12"/>
      <c r="L3448" s="12" t="s">
        <v>15422</v>
      </c>
      <c r="M3448" s="12" t="s">
        <v>15423</v>
      </c>
    </row>
    <row r="3449" spans="1:13" ht="66">
      <c r="A3449" s="12" t="s">
        <v>15368</v>
      </c>
      <c r="B3449" s="12" t="s">
        <v>15369</v>
      </c>
      <c r="C3449" s="21" t="s">
        <v>15316</v>
      </c>
      <c r="D3449" s="12" t="s">
        <v>71</v>
      </c>
      <c r="E3449" s="12" t="s">
        <v>15392</v>
      </c>
      <c r="F3449" s="12" t="s">
        <v>15369</v>
      </c>
      <c r="G3449" s="12" t="s">
        <v>15370</v>
      </c>
      <c r="H3449" s="12" t="s">
        <v>15371</v>
      </c>
      <c r="I3449" s="12" t="s">
        <v>15377</v>
      </c>
      <c r="J3449" s="12" t="s">
        <v>15398</v>
      </c>
      <c r="K3449" s="12" t="s">
        <v>15424</v>
      </c>
      <c r="L3449" s="12" t="s">
        <v>15425</v>
      </c>
      <c r="M3449" s="12" t="s">
        <v>15426</v>
      </c>
    </row>
    <row r="3450" spans="1:13" ht="66">
      <c r="A3450" s="12" t="s">
        <v>15368</v>
      </c>
      <c r="B3450" s="12" t="s">
        <v>15369</v>
      </c>
      <c r="C3450" s="21" t="s">
        <v>15316</v>
      </c>
      <c r="D3450" s="12" t="s">
        <v>71</v>
      </c>
      <c r="E3450" s="12" t="s">
        <v>15392</v>
      </c>
      <c r="F3450" s="12" t="s">
        <v>15369</v>
      </c>
      <c r="G3450" s="12" t="s">
        <v>15370</v>
      </c>
      <c r="H3450" s="12" t="s">
        <v>15371</v>
      </c>
      <c r="I3450" s="12" t="s">
        <v>15378</v>
      </c>
      <c r="J3450" s="12" t="s">
        <v>15399</v>
      </c>
      <c r="K3450" s="12"/>
      <c r="L3450" s="12" t="s">
        <v>15427</v>
      </c>
      <c r="M3450" s="12" t="s">
        <v>15428</v>
      </c>
    </row>
    <row r="3451" spans="1:13" ht="66">
      <c r="A3451" s="12" t="s">
        <v>15368</v>
      </c>
      <c r="B3451" s="12" t="s">
        <v>15369</v>
      </c>
      <c r="C3451" s="21" t="s">
        <v>15316</v>
      </c>
      <c r="D3451" s="12" t="s">
        <v>71</v>
      </c>
      <c r="E3451" s="12" t="s">
        <v>15392</v>
      </c>
      <c r="F3451" s="12" t="s">
        <v>15369</v>
      </c>
      <c r="G3451" s="12" t="s">
        <v>15370</v>
      </c>
      <c r="H3451" s="12" t="s">
        <v>15371</v>
      </c>
      <c r="I3451" s="12" t="s">
        <v>15379</v>
      </c>
      <c r="J3451" s="12" t="s">
        <v>15400</v>
      </c>
      <c r="K3451" s="12"/>
      <c r="L3451" s="12" t="s">
        <v>15429</v>
      </c>
      <c r="M3451" s="12" t="s">
        <v>15430</v>
      </c>
    </row>
    <row r="3452" spans="1:13" ht="66">
      <c r="A3452" s="12" t="s">
        <v>15368</v>
      </c>
      <c r="B3452" s="12" t="s">
        <v>15369</v>
      </c>
      <c r="C3452" s="21" t="s">
        <v>15316</v>
      </c>
      <c r="D3452" s="12" t="s">
        <v>71</v>
      </c>
      <c r="E3452" s="12" t="s">
        <v>15392</v>
      </c>
      <c r="F3452" s="12" t="s">
        <v>15369</v>
      </c>
      <c r="G3452" s="12" t="s">
        <v>15370</v>
      </c>
      <c r="H3452" s="12" t="s">
        <v>15371</v>
      </c>
      <c r="I3452" s="12" t="s">
        <v>15380</v>
      </c>
      <c r="J3452" s="12" t="s">
        <v>15401</v>
      </c>
      <c r="K3452" s="12" t="s">
        <v>15431</v>
      </c>
      <c r="L3452" s="12" t="s">
        <v>15432</v>
      </c>
      <c r="M3452" s="12" t="s">
        <v>15433</v>
      </c>
    </row>
    <row r="3453" spans="1:13" ht="66">
      <c r="A3453" s="12" t="s">
        <v>15368</v>
      </c>
      <c r="B3453" s="12" t="s">
        <v>15369</v>
      </c>
      <c r="C3453" s="21" t="s">
        <v>15316</v>
      </c>
      <c r="D3453" s="12" t="s">
        <v>71</v>
      </c>
      <c r="E3453" s="12" t="s">
        <v>15392</v>
      </c>
      <c r="F3453" s="12" t="s">
        <v>15369</v>
      </c>
      <c r="G3453" s="12" t="s">
        <v>15370</v>
      </c>
      <c r="H3453" s="12" t="s">
        <v>15371</v>
      </c>
      <c r="I3453" s="12" t="s">
        <v>15381</v>
      </c>
      <c r="J3453" s="12" t="s">
        <v>15402</v>
      </c>
      <c r="K3453" s="12" t="s">
        <v>15434</v>
      </c>
      <c r="L3453" s="12" t="s">
        <v>15435</v>
      </c>
      <c r="M3453" s="12" t="s">
        <v>15436</v>
      </c>
    </row>
    <row r="3454" spans="1:13" ht="66">
      <c r="A3454" s="12" t="s">
        <v>15368</v>
      </c>
      <c r="B3454" s="12" t="s">
        <v>15369</v>
      </c>
      <c r="C3454" s="21" t="s">
        <v>15316</v>
      </c>
      <c r="D3454" s="12" t="s">
        <v>71</v>
      </c>
      <c r="E3454" s="12" t="s">
        <v>15392</v>
      </c>
      <c r="F3454" s="12" t="s">
        <v>15369</v>
      </c>
      <c r="G3454" s="12" t="s">
        <v>15370</v>
      </c>
      <c r="H3454" s="12" t="s">
        <v>15371</v>
      </c>
      <c r="I3454" s="12" t="s">
        <v>15382</v>
      </c>
      <c r="J3454" s="12" t="s">
        <v>15403</v>
      </c>
      <c r="K3454" s="12"/>
      <c r="L3454" s="12" t="s">
        <v>15437</v>
      </c>
      <c r="M3454" s="12" t="s">
        <v>15438</v>
      </c>
    </row>
    <row r="3455" spans="1:13" ht="66">
      <c r="A3455" s="12" t="s">
        <v>15368</v>
      </c>
      <c r="B3455" s="12" t="s">
        <v>15369</v>
      </c>
      <c r="C3455" s="21" t="s">
        <v>15316</v>
      </c>
      <c r="D3455" s="12" t="s">
        <v>71</v>
      </c>
      <c r="E3455" s="12" t="s">
        <v>15392</v>
      </c>
      <c r="F3455" s="12" t="s">
        <v>15369</v>
      </c>
      <c r="G3455" s="12" t="s">
        <v>15370</v>
      </c>
      <c r="H3455" s="12" t="s">
        <v>15371</v>
      </c>
      <c r="I3455" s="12" t="s">
        <v>15383</v>
      </c>
      <c r="J3455" s="12" t="s">
        <v>15404</v>
      </c>
      <c r="K3455" s="12" t="s">
        <v>15439</v>
      </c>
      <c r="L3455" s="12" t="s">
        <v>15440</v>
      </c>
      <c r="M3455" s="12" t="s">
        <v>15441</v>
      </c>
    </row>
    <row r="3456" spans="1:13" ht="66">
      <c r="A3456" s="12" t="s">
        <v>15368</v>
      </c>
      <c r="B3456" s="12" t="s">
        <v>15369</v>
      </c>
      <c r="C3456" s="21" t="s">
        <v>15316</v>
      </c>
      <c r="D3456" s="12" t="s">
        <v>71</v>
      </c>
      <c r="E3456" s="12" t="s">
        <v>15392</v>
      </c>
      <c r="F3456" s="12" t="s">
        <v>15369</v>
      </c>
      <c r="G3456" s="12" t="s">
        <v>15370</v>
      </c>
      <c r="H3456" s="12" t="s">
        <v>15371</v>
      </c>
      <c r="I3456" s="12" t="s">
        <v>15384</v>
      </c>
      <c r="J3456" s="12" t="s">
        <v>15405</v>
      </c>
      <c r="K3456" s="12"/>
      <c r="L3456" s="12" t="s">
        <v>15442</v>
      </c>
      <c r="M3456" s="12" t="s">
        <v>15443</v>
      </c>
    </row>
    <row r="3457" spans="1:13" ht="66">
      <c r="A3457" s="12" t="s">
        <v>15368</v>
      </c>
      <c r="B3457" s="12" t="s">
        <v>15369</v>
      </c>
      <c r="C3457" s="21" t="s">
        <v>15316</v>
      </c>
      <c r="D3457" s="12" t="s">
        <v>71</v>
      </c>
      <c r="E3457" s="12" t="s">
        <v>15392</v>
      </c>
      <c r="F3457" s="12" t="s">
        <v>15369</v>
      </c>
      <c r="G3457" s="12" t="s">
        <v>15370</v>
      </c>
      <c r="H3457" s="12" t="s">
        <v>15371</v>
      </c>
      <c r="I3457" s="12" t="s">
        <v>15385</v>
      </c>
      <c r="J3457" s="12" t="s">
        <v>15406</v>
      </c>
      <c r="K3457" s="12"/>
      <c r="L3457" s="12" t="s">
        <v>15444</v>
      </c>
      <c r="M3457" s="12" t="s">
        <v>15445</v>
      </c>
    </row>
    <row r="3458" spans="1:13" ht="66">
      <c r="A3458" s="12" t="s">
        <v>15368</v>
      </c>
      <c r="B3458" s="12" t="s">
        <v>15369</v>
      </c>
      <c r="C3458" s="21" t="s">
        <v>15316</v>
      </c>
      <c r="D3458" s="12" t="s">
        <v>71</v>
      </c>
      <c r="E3458" s="12" t="s">
        <v>15392</v>
      </c>
      <c r="F3458" s="12" t="s">
        <v>15369</v>
      </c>
      <c r="G3458" s="12" t="s">
        <v>15370</v>
      </c>
      <c r="H3458" s="12" t="s">
        <v>15371</v>
      </c>
      <c r="I3458" s="12" t="s">
        <v>15386</v>
      </c>
      <c r="J3458" s="12" t="s">
        <v>15407</v>
      </c>
      <c r="K3458" s="12"/>
      <c r="L3458" s="12" t="s">
        <v>15446</v>
      </c>
      <c r="M3458" s="12" t="s">
        <v>15447</v>
      </c>
    </row>
    <row r="3459" spans="1:13" ht="66">
      <c r="A3459" s="12" t="s">
        <v>15368</v>
      </c>
      <c r="B3459" s="12" t="s">
        <v>15369</v>
      </c>
      <c r="C3459" s="21" t="s">
        <v>15316</v>
      </c>
      <c r="D3459" s="12" t="s">
        <v>71</v>
      </c>
      <c r="E3459" s="12" t="s">
        <v>15392</v>
      </c>
      <c r="F3459" s="12" t="s">
        <v>15369</v>
      </c>
      <c r="G3459" s="12" t="s">
        <v>15370</v>
      </c>
      <c r="H3459" s="12" t="s">
        <v>15371</v>
      </c>
      <c r="I3459" s="12" t="s">
        <v>15387</v>
      </c>
      <c r="J3459" s="12" t="s">
        <v>15408</v>
      </c>
      <c r="K3459" s="12"/>
      <c r="L3459" s="12" t="s">
        <v>15448</v>
      </c>
      <c r="M3459" s="12" t="s">
        <v>15449</v>
      </c>
    </row>
    <row r="3460" spans="1:13" ht="66">
      <c r="A3460" s="12" t="s">
        <v>15368</v>
      </c>
      <c r="B3460" s="12" t="s">
        <v>15369</v>
      </c>
      <c r="C3460" s="21" t="s">
        <v>15316</v>
      </c>
      <c r="D3460" s="12" t="s">
        <v>71</v>
      </c>
      <c r="E3460" s="12" t="s">
        <v>15392</v>
      </c>
      <c r="F3460" s="12" t="s">
        <v>15369</v>
      </c>
      <c r="G3460" s="12" t="s">
        <v>15370</v>
      </c>
      <c r="H3460" s="12" t="s">
        <v>15371</v>
      </c>
      <c r="I3460" s="12" t="s">
        <v>15388</v>
      </c>
      <c r="J3460" s="12" t="s">
        <v>15409</v>
      </c>
      <c r="K3460" s="12"/>
      <c r="L3460" s="12" t="s">
        <v>15450</v>
      </c>
      <c r="M3460" s="12" t="s">
        <v>15451</v>
      </c>
    </row>
    <row r="3461" spans="1:13" ht="66">
      <c r="A3461" s="12" t="s">
        <v>15368</v>
      </c>
      <c r="B3461" s="12" t="s">
        <v>15369</v>
      </c>
      <c r="C3461" s="21" t="s">
        <v>15316</v>
      </c>
      <c r="D3461" s="12" t="s">
        <v>71</v>
      </c>
      <c r="E3461" s="12" t="s">
        <v>15392</v>
      </c>
      <c r="F3461" s="12" t="s">
        <v>15369</v>
      </c>
      <c r="G3461" s="12" t="s">
        <v>15370</v>
      </c>
      <c r="H3461" s="12" t="s">
        <v>15371</v>
      </c>
      <c r="I3461" s="12" t="s">
        <v>15389</v>
      </c>
      <c r="J3461" s="12" t="s">
        <v>15410</v>
      </c>
      <c r="K3461" s="12"/>
      <c r="L3461" s="12" t="s">
        <v>15452</v>
      </c>
      <c r="M3461" s="12" t="s">
        <v>15453</v>
      </c>
    </row>
    <row r="3462" spans="1:13" ht="66">
      <c r="A3462" s="12" t="s">
        <v>15368</v>
      </c>
      <c r="B3462" s="12" t="s">
        <v>15369</v>
      </c>
      <c r="C3462" s="21" t="s">
        <v>15316</v>
      </c>
      <c r="D3462" s="12" t="s">
        <v>71</v>
      </c>
      <c r="E3462" s="12" t="s">
        <v>15392</v>
      </c>
      <c r="F3462" s="12" t="s">
        <v>15369</v>
      </c>
      <c r="G3462" s="12" t="s">
        <v>15370</v>
      </c>
      <c r="H3462" s="12" t="s">
        <v>15371</v>
      </c>
      <c r="I3462" s="12" t="s">
        <v>15390</v>
      </c>
      <c r="J3462" s="12" t="s">
        <v>15411</v>
      </c>
      <c r="K3462" s="12"/>
      <c r="L3462" s="12" t="s">
        <v>15454</v>
      </c>
      <c r="M3462" s="12" t="s">
        <v>15455</v>
      </c>
    </row>
    <row r="3463" spans="1:13" ht="66">
      <c r="A3463" s="12" t="s">
        <v>15368</v>
      </c>
      <c r="B3463" s="12" t="s">
        <v>15369</v>
      </c>
      <c r="C3463" s="21" t="s">
        <v>15316</v>
      </c>
      <c r="D3463" s="12" t="s">
        <v>71</v>
      </c>
      <c r="E3463" s="12" t="s">
        <v>15392</v>
      </c>
      <c r="F3463" s="12" t="s">
        <v>15369</v>
      </c>
      <c r="G3463" s="12" t="s">
        <v>15370</v>
      </c>
      <c r="H3463" s="12" t="s">
        <v>15371</v>
      </c>
      <c r="I3463" s="12" t="s">
        <v>15391</v>
      </c>
      <c r="J3463" s="12" t="s">
        <v>15412</v>
      </c>
      <c r="K3463" s="12" t="s">
        <v>15456</v>
      </c>
      <c r="L3463" s="12" t="s">
        <v>15457</v>
      </c>
      <c r="M3463" s="12" t="s">
        <v>15458</v>
      </c>
    </row>
    <row r="3464" spans="1:13" ht="52.8">
      <c r="A3464" s="12" t="s">
        <v>2223</v>
      </c>
      <c r="B3464" s="12" t="s">
        <v>2226</v>
      </c>
      <c r="C3464" s="21" t="s">
        <v>2224</v>
      </c>
      <c r="D3464" s="12" t="s">
        <v>71</v>
      </c>
      <c r="E3464" s="12" t="s">
        <v>2225</v>
      </c>
      <c r="F3464" s="12" t="s">
        <v>2226</v>
      </c>
      <c r="G3464" s="12" t="s">
        <v>2227</v>
      </c>
      <c r="H3464" s="12" t="s">
        <v>2228</v>
      </c>
      <c r="I3464" s="12" t="s">
        <v>2235</v>
      </c>
      <c r="J3464" s="12" t="s">
        <v>2229</v>
      </c>
      <c r="K3464" s="12" t="s">
        <v>2241</v>
      </c>
      <c r="L3464" s="12" t="s">
        <v>2242</v>
      </c>
      <c r="M3464" s="12" t="s">
        <v>2243</v>
      </c>
    </row>
    <row r="3465" spans="1:13" ht="52.8">
      <c r="A3465" s="12" t="s">
        <v>2223</v>
      </c>
      <c r="B3465" s="12" t="s">
        <v>2226</v>
      </c>
      <c r="C3465" s="21" t="s">
        <v>2224</v>
      </c>
      <c r="D3465" s="12" t="s">
        <v>71</v>
      </c>
      <c r="E3465" s="12" t="s">
        <v>2225</v>
      </c>
      <c r="F3465" s="12" t="s">
        <v>2226</v>
      </c>
      <c r="G3465" s="12" t="s">
        <v>2227</v>
      </c>
      <c r="H3465" s="12" t="s">
        <v>2228</v>
      </c>
      <c r="I3465" s="12" t="s">
        <v>2236</v>
      </c>
      <c r="J3465" s="12" t="s">
        <v>2230</v>
      </c>
      <c r="K3465" s="12" t="s">
        <v>2244</v>
      </c>
      <c r="L3465" s="12" t="s">
        <v>2245</v>
      </c>
      <c r="M3465" s="12" t="s">
        <v>2244</v>
      </c>
    </row>
    <row r="3466" spans="1:13" ht="52.8">
      <c r="A3466" s="12" t="s">
        <v>2223</v>
      </c>
      <c r="B3466" s="12" t="s">
        <v>2226</v>
      </c>
      <c r="C3466" s="21" t="s">
        <v>2224</v>
      </c>
      <c r="D3466" s="12" t="s">
        <v>71</v>
      </c>
      <c r="E3466" s="12" t="s">
        <v>2225</v>
      </c>
      <c r="F3466" s="12" t="s">
        <v>2226</v>
      </c>
      <c r="G3466" s="12" t="s">
        <v>2227</v>
      </c>
      <c r="H3466" s="12" t="s">
        <v>2228</v>
      </c>
      <c r="I3466" s="12" t="s">
        <v>2237</v>
      </c>
      <c r="J3466" s="12" t="s">
        <v>2231</v>
      </c>
      <c r="K3466" s="12"/>
      <c r="L3466" s="12" t="s">
        <v>2246</v>
      </c>
      <c r="M3466" s="12" t="s">
        <v>2247</v>
      </c>
    </row>
    <row r="3467" spans="1:13" ht="52.8">
      <c r="A3467" s="12" t="s">
        <v>2223</v>
      </c>
      <c r="B3467" s="12" t="s">
        <v>2226</v>
      </c>
      <c r="C3467" s="21" t="s">
        <v>2224</v>
      </c>
      <c r="D3467" s="12" t="s">
        <v>71</v>
      </c>
      <c r="E3467" s="12" t="s">
        <v>2225</v>
      </c>
      <c r="F3467" s="12" t="s">
        <v>2226</v>
      </c>
      <c r="G3467" s="12" t="s">
        <v>2227</v>
      </c>
      <c r="H3467" s="12" t="s">
        <v>2228</v>
      </c>
      <c r="I3467" s="12" t="s">
        <v>2238</v>
      </c>
      <c r="J3467" s="12" t="s">
        <v>2232</v>
      </c>
      <c r="K3467" s="12"/>
      <c r="L3467" s="12" t="s">
        <v>2248</v>
      </c>
      <c r="M3467" s="12" t="s">
        <v>2249</v>
      </c>
    </row>
    <row r="3468" spans="1:13" ht="52.8">
      <c r="A3468" s="12" t="s">
        <v>2223</v>
      </c>
      <c r="B3468" s="12" t="s">
        <v>2226</v>
      </c>
      <c r="C3468" s="21" t="s">
        <v>2224</v>
      </c>
      <c r="D3468" s="12" t="s">
        <v>71</v>
      </c>
      <c r="E3468" s="12" t="s">
        <v>2225</v>
      </c>
      <c r="F3468" s="12" t="s">
        <v>2226</v>
      </c>
      <c r="G3468" s="12" t="s">
        <v>2227</v>
      </c>
      <c r="H3468" s="12" t="s">
        <v>2228</v>
      </c>
      <c r="I3468" s="12" t="s">
        <v>2239</v>
      </c>
      <c r="J3468" s="12" t="s">
        <v>2233</v>
      </c>
      <c r="K3468" s="12"/>
      <c r="L3468" s="12" t="s">
        <v>2250</v>
      </c>
      <c r="M3468" s="12" t="s">
        <v>2251</v>
      </c>
    </row>
    <row r="3469" spans="1:13" ht="52.8">
      <c r="A3469" s="12" t="s">
        <v>2223</v>
      </c>
      <c r="B3469" s="12" t="s">
        <v>2226</v>
      </c>
      <c r="C3469" s="21" t="s">
        <v>2224</v>
      </c>
      <c r="D3469" s="12" t="s">
        <v>71</v>
      </c>
      <c r="E3469" s="12" t="s">
        <v>2225</v>
      </c>
      <c r="F3469" s="12" t="s">
        <v>2226</v>
      </c>
      <c r="G3469" s="12" t="s">
        <v>2227</v>
      </c>
      <c r="H3469" s="12" t="s">
        <v>2228</v>
      </c>
      <c r="I3469" s="12" t="s">
        <v>2240</v>
      </c>
      <c r="J3469" s="12" t="s">
        <v>2234</v>
      </c>
      <c r="K3469" s="12"/>
      <c r="L3469" s="12" t="s">
        <v>2252</v>
      </c>
      <c r="M3469" s="12" t="s">
        <v>2253</v>
      </c>
    </row>
  </sheetData>
  <autoFilter ref="A2:M3469" xr:uid="{30026A67-EC33-4B60-8C93-4DE7C27A55AF}"/>
  <mergeCells count="2">
    <mergeCell ref="I1:M1"/>
    <mergeCell ref="A1:H1"/>
  </mergeCells>
  <conditionalFormatting sqref="A3:M3469">
    <cfRule type="expression" dxfId="0" priority="1">
      <formula>OR(CELL("col")=COLUMN(),CELL("row")=ROW())</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F3FBB-81D3-47B1-9E5F-ABF8EB1EA531}">
  <sheetPr codeName="Sheet8"/>
  <dimension ref="A1:B5"/>
  <sheetViews>
    <sheetView workbookViewId="0">
      <pane ySplit="1" topLeftCell="A2" activePane="bottomLeft" state="frozen"/>
      <selection pane="bottomLeft" activeCell="A2" sqref="A2"/>
    </sheetView>
  </sheetViews>
  <sheetFormatPr defaultRowHeight="13.2"/>
  <cols>
    <col min="1" max="1" width="22.21875" style="19" customWidth="1"/>
    <col min="2" max="2" width="89.109375" style="19" customWidth="1"/>
    <col min="3" max="16384" width="8.88671875" style="19"/>
  </cols>
  <sheetData>
    <row r="1" spans="1:2">
      <c r="A1" s="11" t="s">
        <v>241</v>
      </c>
      <c r="B1" s="11" t="s">
        <v>242</v>
      </c>
    </row>
    <row r="2" spans="1:2" ht="39.6">
      <c r="A2" s="20" t="s">
        <v>204</v>
      </c>
      <c r="B2" s="20" t="s">
        <v>243</v>
      </c>
    </row>
    <row r="3" spans="1:2" ht="39.6">
      <c r="A3" s="20" t="s">
        <v>2020</v>
      </c>
      <c r="B3" s="20" t="s">
        <v>1933</v>
      </c>
    </row>
    <row r="4" spans="1:2">
      <c r="A4" s="20" t="s">
        <v>2137</v>
      </c>
      <c r="B4" s="20" t="s">
        <v>2138</v>
      </c>
    </row>
    <row r="5" spans="1:2">
      <c r="A5" s="20" t="s">
        <v>1032</v>
      </c>
      <c r="B5" s="20" t="s">
        <v>14770</v>
      </c>
    </row>
  </sheetData>
  <autoFilter ref="A1:B2" xr:uid="{758F3FBB-81D3-47B1-9E5F-ABF8EB1EA53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6BDF-748C-41FF-8411-4EB62BE4D9FB}">
  <sheetPr codeName="Sheet4">
    <tabColor rgb="FFC00000"/>
  </sheetPr>
  <dimension ref="A1:M23"/>
  <sheetViews>
    <sheetView showGridLines="0" topLeftCell="A17"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26</v>
      </c>
      <c r="C1" s="37"/>
      <c r="D1" s="37"/>
      <c r="E1" s="37"/>
      <c r="F1" s="37"/>
      <c r="G1" s="37"/>
      <c r="H1" s="37"/>
      <c r="I1" s="37"/>
      <c r="J1" s="37"/>
      <c r="K1" s="37"/>
      <c r="L1" s="37"/>
      <c r="M1" s="37"/>
    </row>
    <row r="2" spans="1:13">
      <c r="A2" s="13" t="str">
        <f>DatasetsName!$C$1</f>
        <v>Dataset Description</v>
      </c>
      <c r="B2" s="37" t="str">
        <f>INDEX(DatasetsName!A1:J118,MATCH(B1,DatasetsName!B:B, 0),3)</f>
        <v>Trial Arms</v>
      </c>
      <c r="C2" s="37"/>
      <c r="D2" s="37"/>
      <c r="E2" s="37"/>
      <c r="F2" s="37"/>
      <c r="G2" s="37"/>
      <c r="H2" s="37"/>
      <c r="I2" s="37"/>
      <c r="J2" s="37"/>
      <c r="K2" s="37"/>
      <c r="L2" s="37"/>
      <c r="M2" s="37"/>
    </row>
    <row r="3" spans="1:13">
      <c r="A3" s="13" t="str">
        <f>DatasetsName!$D$1</f>
        <v>Dataset Class</v>
      </c>
      <c r="B3" s="37" t="str">
        <f>INDEX(DatasetsName!A1:J118,MATCH(B1,DatasetsName!B:B, 0),4)</f>
        <v>Trial Design</v>
      </c>
      <c r="C3" s="37"/>
      <c r="D3" s="37"/>
      <c r="E3" s="37"/>
      <c r="F3" s="37"/>
      <c r="G3" s="37"/>
      <c r="H3" s="37"/>
      <c r="I3" s="37"/>
      <c r="J3" s="37"/>
      <c r="K3" s="37"/>
      <c r="L3" s="37"/>
      <c r="M3" s="37"/>
    </row>
    <row r="4" spans="1:13">
      <c r="A4" s="13" t="str">
        <f>DatasetsName!$E$1</f>
        <v>Dataset Structure</v>
      </c>
      <c r="B4" s="37" t="str">
        <f>INDEX(DatasetsName!A1:J118,MATCH(B1,DatasetsName!B:B, 0),5)</f>
        <v>One record per planned Element per Arm</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ARMCD, TAETORD</v>
      </c>
      <c r="C6" s="37"/>
      <c r="D6" s="37"/>
      <c r="E6" s="37"/>
      <c r="F6" s="37"/>
      <c r="G6" s="37"/>
      <c r="H6" s="37"/>
      <c r="I6" s="37"/>
      <c r="J6" s="37"/>
      <c r="K6" s="37"/>
      <c r="L6" s="37"/>
      <c r="M6" s="37"/>
    </row>
    <row r="7" spans="1:13">
      <c r="A7" s="13" t="str">
        <f>DatasetsName!$H$1</f>
        <v>Dataset Location</v>
      </c>
      <c r="B7" s="37" t="str">
        <f>INDEX(DatasetsName!A1:J118,MATCH(B1,DatasetsName!B:B, 0),8)</f>
        <v>ta.xpt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39" t="s">
        <v>191</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TA</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TA</v>
      </c>
      <c r="B15" s="12" t="s">
        <v>63</v>
      </c>
      <c r="C15" s="12" t="s">
        <v>64</v>
      </c>
      <c r="D15" s="12" t="s">
        <v>57</v>
      </c>
      <c r="E15" s="14" t="str" cm="1">
        <f t="array" aca="1" ref="E15" ca="1">HYPERLINK("#"&amp;CELL("address", INDEX(ControlledTerms!I:I,MATCH(B1,ControlledTerms!I:I,0))),B1)</f>
        <v>TA</v>
      </c>
      <c r="F15" s="12">
        <v>2</v>
      </c>
      <c r="G15" s="12" t="s">
        <v>58</v>
      </c>
      <c r="H15" s="12" t="s">
        <v>82</v>
      </c>
      <c r="I15" s="12">
        <v>2</v>
      </c>
      <c r="J15" s="12" t="s">
        <v>83</v>
      </c>
      <c r="K15" s="12"/>
      <c r="L15" s="12" t="s">
        <v>84</v>
      </c>
      <c r="M15" s="12" t="s">
        <v>62</v>
      </c>
    </row>
    <row r="16" spans="1:13" ht="171.6">
      <c r="A16" s="12" t="str">
        <f t="shared" ref="A16:A23" si="0">A15</f>
        <v>TA</v>
      </c>
      <c r="B16" s="12" t="s">
        <v>85</v>
      </c>
      <c r="C16" s="12" t="s">
        <v>86</v>
      </c>
      <c r="D16" s="12" t="s">
        <v>57</v>
      </c>
      <c r="E16" s="12" t="s">
        <v>87</v>
      </c>
      <c r="F16" s="12">
        <v>3</v>
      </c>
      <c r="G16" s="12" t="s">
        <v>88</v>
      </c>
      <c r="H16" s="12" t="s">
        <v>82</v>
      </c>
      <c r="I16" s="6" t="s">
        <v>94</v>
      </c>
      <c r="J16" s="6" t="s">
        <v>96</v>
      </c>
      <c r="K16" s="12"/>
      <c r="L16" s="12" t="s">
        <v>89</v>
      </c>
      <c r="M16" s="12" t="s">
        <v>62</v>
      </c>
    </row>
    <row r="17" spans="1:13" ht="158.4">
      <c r="A17" s="12" t="str">
        <f t="shared" si="0"/>
        <v>TA</v>
      </c>
      <c r="B17" s="12" t="s">
        <v>90</v>
      </c>
      <c r="C17" s="12" t="s">
        <v>91</v>
      </c>
      <c r="D17" s="12" t="s">
        <v>57</v>
      </c>
      <c r="E17" s="12" t="s">
        <v>87</v>
      </c>
      <c r="F17" s="12">
        <v>4</v>
      </c>
      <c r="G17" s="12" t="s">
        <v>92</v>
      </c>
      <c r="H17" s="12" t="s">
        <v>59</v>
      </c>
      <c r="I17" s="6" t="s">
        <v>95</v>
      </c>
      <c r="J17" s="6" t="s">
        <v>97</v>
      </c>
      <c r="K17" s="12"/>
      <c r="L17" s="12" t="s">
        <v>98</v>
      </c>
      <c r="M17" s="12" t="s">
        <v>62</v>
      </c>
    </row>
    <row r="18" spans="1:13" ht="26.4">
      <c r="A18" s="12" t="str">
        <f t="shared" si="0"/>
        <v>TA</v>
      </c>
      <c r="B18" s="12" t="s">
        <v>99</v>
      </c>
      <c r="C18" s="12" t="s">
        <v>100</v>
      </c>
      <c r="D18" s="12" t="s">
        <v>101</v>
      </c>
      <c r="E18" s="12"/>
      <c r="F18" s="12">
        <v>5</v>
      </c>
      <c r="G18" s="12" t="s">
        <v>102</v>
      </c>
      <c r="H18" s="12" t="s">
        <v>82</v>
      </c>
      <c r="I18" s="12">
        <v>8</v>
      </c>
      <c r="J18" s="6" t="s">
        <v>104</v>
      </c>
      <c r="K18" s="12"/>
      <c r="L18" s="12" t="s">
        <v>103</v>
      </c>
      <c r="M18" s="12" t="s">
        <v>62</v>
      </c>
    </row>
    <row r="19" spans="1:13" ht="132">
      <c r="A19" s="12" t="str">
        <f t="shared" si="0"/>
        <v>TA</v>
      </c>
      <c r="B19" s="12" t="s">
        <v>105</v>
      </c>
      <c r="C19" s="12" t="s">
        <v>106</v>
      </c>
      <c r="D19" s="12" t="s">
        <v>57</v>
      </c>
      <c r="E19" s="12" t="s">
        <v>87</v>
      </c>
      <c r="F19" s="12">
        <v>6</v>
      </c>
      <c r="G19" s="12" t="s">
        <v>107</v>
      </c>
      <c r="H19" s="12" t="s">
        <v>82</v>
      </c>
      <c r="I19" s="6" t="s">
        <v>108</v>
      </c>
      <c r="J19" s="6" t="s">
        <v>110</v>
      </c>
      <c r="K19" s="12"/>
      <c r="L19" s="12" t="s">
        <v>109</v>
      </c>
      <c r="M19" s="12" t="s">
        <v>62</v>
      </c>
    </row>
    <row r="20" spans="1:13" ht="118.8">
      <c r="A20" s="12" t="str">
        <f t="shared" si="0"/>
        <v>TA</v>
      </c>
      <c r="B20" s="12" t="s">
        <v>111</v>
      </c>
      <c r="C20" s="12" t="s">
        <v>112</v>
      </c>
      <c r="D20" s="12" t="s">
        <v>57</v>
      </c>
      <c r="E20" s="12" t="s">
        <v>87</v>
      </c>
      <c r="F20" s="12">
        <v>7</v>
      </c>
      <c r="G20" s="12" t="s">
        <v>92</v>
      </c>
      <c r="H20" s="12" t="s">
        <v>59</v>
      </c>
      <c r="I20" s="6" t="s">
        <v>115</v>
      </c>
      <c r="J20" s="6" t="s">
        <v>116</v>
      </c>
      <c r="K20" s="12"/>
      <c r="L20" s="12" t="s">
        <v>113</v>
      </c>
      <c r="M20" s="12" t="s">
        <v>114</v>
      </c>
    </row>
    <row r="21" spans="1:13" ht="118.8">
      <c r="A21" s="12" t="str">
        <f t="shared" si="0"/>
        <v>TA</v>
      </c>
      <c r="B21" s="12" t="s">
        <v>117</v>
      </c>
      <c r="C21" s="12" t="s">
        <v>120</v>
      </c>
      <c r="D21" s="12" t="s">
        <v>57</v>
      </c>
      <c r="E21" s="12" t="s">
        <v>87</v>
      </c>
      <c r="F21" s="12">
        <v>8</v>
      </c>
      <c r="G21" s="12" t="s">
        <v>123</v>
      </c>
      <c r="H21" s="12" t="s">
        <v>59</v>
      </c>
      <c r="I21" s="6" t="s">
        <v>182</v>
      </c>
      <c r="J21" s="6" t="s">
        <v>185</v>
      </c>
      <c r="K21" s="12"/>
      <c r="L21" s="12" t="s">
        <v>124</v>
      </c>
      <c r="M21" s="12" t="s">
        <v>126</v>
      </c>
    </row>
    <row r="22" spans="1:13" ht="132">
      <c r="A22" s="12" t="str">
        <f t="shared" si="0"/>
        <v>TA</v>
      </c>
      <c r="B22" s="12" t="s">
        <v>118</v>
      </c>
      <c r="C22" s="12" t="s">
        <v>121</v>
      </c>
      <c r="D22" s="12" t="s">
        <v>57</v>
      </c>
      <c r="E22" s="12" t="s">
        <v>87</v>
      </c>
      <c r="F22" s="12">
        <v>9</v>
      </c>
      <c r="G22" s="12" t="s">
        <v>123</v>
      </c>
      <c r="H22" s="12" t="s">
        <v>59</v>
      </c>
      <c r="I22" s="6" t="s">
        <v>183</v>
      </c>
      <c r="J22" s="6" t="s">
        <v>186</v>
      </c>
      <c r="K22" s="12"/>
      <c r="L22" s="12" t="s">
        <v>125</v>
      </c>
      <c r="M22" s="12" t="s">
        <v>126</v>
      </c>
    </row>
    <row r="23" spans="1:13" ht="118.8">
      <c r="A23" s="12" t="str">
        <f t="shared" si="0"/>
        <v>TA</v>
      </c>
      <c r="B23" s="12" t="s">
        <v>119</v>
      </c>
      <c r="C23" s="12" t="s">
        <v>122</v>
      </c>
      <c r="D23" s="12" t="s">
        <v>57</v>
      </c>
      <c r="E23" s="14" t="str" cm="1">
        <f t="array" aca="1" ref="E23" ca="1">HYPERLINK("#"&amp;CELL("address", INDEX(ControlledTerms!E:E,MATCH("C99079",ControlledTerms!E:E,0))),"(EPOCH)")</f>
        <v>(EPOCH)</v>
      </c>
      <c r="F23" s="12">
        <v>10</v>
      </c>
      <c r="G23" s="12" t="s">
        <v>102</v>
      </c>
      <c r="H23" s="12" t="s">
        <v>59</v>
      </c>
      <c r="I23" s="6" t="s">
        <v>184</v>
      </c>
      <c r="J23" s="6" t="s">
        <v>187</v>
      </c>
      <c r="K23" s="12"/>
      <c r="L23" s="12" t="s">
        <v>127</v>
      </c>
      <c r="M23" s="12" t="s">
        <v>62</v>
      </c>
    </row>
  </sheetData>
  <autoFilter ref="A13:M23"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384" xr:uid="{8F788DDF-A837-4656-A8D0-48DE62DABBCB}"/>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E6E17-46B8-4BDF-90D3-E2EE49D43A0E}">
  <sheetPr codeName="Sheet6">
    <tabColor rgb="FFC00000"/>
  </sheetPr>
  <dimension ref="A1:M20"/>
  <sheetViews>
    <sheetView showGridLines="0" workbookViewId="0">
      <selection activeCell="E20" sqref="E20"/>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192</v>
      </c>
      <c r="C1" s="37"/>
      <c r="D1" s="37"/>
      <c r="E1" s="37"/>
      <c r="F1" s="37"/>
      <c r="G1" s="37"/>
      <c r="H1" s="37"/>
      <c r="I1" s="37"/>
      <c r="J1" s="37"/>
      <c r="K1" s="37"/>
      <c r="L1" s="37"/>
      <c r="M1" s="37"/>
    </row>
    <row r="2" spans="1:13">
      <c r="A2" s="13" t="str">
        <f>DatasetsName!$C$1</f>
        <v>Dataset Description</v>
      </c>
      <c r="B2" s="37" t="str">
        <f>INDEX(DatasetsName!A1:J118,MATCH(B1,DatasetsName!B:B, 0),3)</f>
        <v>Trial Elements</v>
      </c>
      <c r="C2" s="37"/>
      <c r="D2" s="37"/>
      <c r="E2" s="37"/>
      <c r="F2" s="37"/>
      <c r="G2" s="37"/>
      <c r="H2" s="37"/>
      <c r="I2" s="37"/>
      <c r="J2" s="37"/>
      <c r="K2" s="37"/>
      <c r="L2" s="37"/>
      <c r="M2" s="37"/>
    </row>
    <row r="3" spans="1:13">
      <c r="A3" s="13" t="str">
        <f>DatasetsName!$D$1</f>
        <v>Dataset Class</v>
      </c>
      <c r="B3" s="37" t="str">
        <f>INDEX(DatasetsName!A1:J118,MATCH(B1,DatasetsName!B:B, 0),4)</f>
        <v>Trial Design</v>
      </c>
      <c r="C3" s="37"/>
      <c r="D3" s="37"/>
      <c r="E3" s="37"/>
      <c r="F3" s="37"/>
      <c r="G3" s="37"/>
      <c r="H3" s="37"/>
      <c r="I3" s="37"/>
      <c r="J3" s="37"/>
      <c r="K3" s="37"/>
      <c r="L3" s="37"/>
      <c r="M3" s="37"/>
    </row>
    <row r="4" spans="1:13">
      <c r="A4" s="13" t="str">
        <f>DatasetsName!$E$1</f>
        <v>Dataset Structure</v>
      </c>
      <c r="B4" s="37" t="str">
        <f>INDEX(DatasetsName!A1:J118,MATCH(B1,DatasetsName!B:B, 0),5)</f>
        <v>One record per planned Element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ETCD</v>
      </c>
      <c r="C6" s="37"/>
      <c r="D6" s="37"/>
      <c r="E6" s="37"/>
      <c r="F6" s="37"/>
      <c r="G6" s="37"/>
      <c r="H6" s="37"/>
      <c r="I6" s="37"/>
      <c r="J6" s="37"/>
      <c r="K6" s="37"/>
      <c r="L6" s="37"/>
      <c r="M6" s="37"/>
    </row>
    <row r="7" spans="1:13">
      <c r="A7" s="13" t="str">
        <f>DatasetsName!$H$1</f>
        <v>Dataset Location</v>
      </c>
      <c r="B7" s="37" t="str">
        <f>INDEX(DatasetsName!A1:J118,MATCH(B1,DatasetsName!B:B, 0),8)</f>
        <v>te.xpt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197</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TE</v>
      </c>
      <c r="B15" s="12" t="s">
        <v>63</v>
      </c>
      <c r="C15" s="12" t="s">
        <v>64</v>
      </c>
      <c r="D15" s="12" t="s">
        <v>57</v>
      </c>
      <c r="E15" s="14" t="str" cm="1">
        <f t="array" aca="1" ref="E15" ca="1">HYPERLINK("#"&amp;CELL("address", INDEX(ControlledTerms!I:I,MATCH(B1,ControlledTerms!I:I,0))),B1)</f>
        <v>TE</v>
      </c>
      <c r="F15" s="12">
        <v>2</v>
      </c>
      <c r="G15" s="12" t="s">
        <v>58</v>
      </c>
      <c r="H15" s="12" t="s">
        <v>82</v>
      </c>
      <c r="I15" s="12">
        <v>2</v>
      </c>
      <c r="J15" s="12" t="s">
        <v>237</v>
      </c>
      <c r="K15" s="12"/>
      <c r="L15" s="12" t="s">
        <v>84</v>
      </c>
      <c r="M15" s="12" t="s">
        <v>62</v>
      </c>
    </row>
    <row r="16" spans="1:13" ht="132">
      <c r="A16" s="12" t="str">
        <f t="shared" ref="A16:A20" si="0">A15</f>
        <v>TE</v>
      </c>
      <c r="B16" s="12" t="s">
        <v>105</v>
      </c>
      <c r="C16" s="12" t="s">
        <v>106</v>
      </c>
      <c r="D16" s="12" t="s">
        <v>57</v>
      </c>
      <c r="E16" s="12"/>
      <c r="F16" s="12">
        <v>3</v>
      </c>
      <c r="G16" s="12" t="s">
        <v>88</v>
      </c>
      <c r="H16" s="12" t="s">
        <v>82</v>
      </c>
      <c r="I16" s="6" t="s">
        <v>108</v>
      </c>
      <c r="J16" s="6" t="s">
        <v>110</v>
      </c>
      <c r="K16" s="12"/>
      <c r="L16" s="12" t="s">
        <v>205</v>
      </c>
      <c r="M16" s="12" t="s">
        <v>62</v>
      </c>
    </row>
    <row r="17" spans="1:13" ht="118.8">
      <c r="A17" s="12" t="str">
        <f t="shared" si="0"/>
        <v>TE</v>
      </c>
      <c r="B17" s="12" t="s">
        <v>111</v>
      </c>
      <c r="C17" s="12" t="s">
        <v>112</v>
      </c>
      <c r="D17" s="12" t="s">
        <v>57</v>
      </c>
      <c r="E17" s="12"/>
      <c r="F17" s="12">
        <v>4</v>
      </c>
      <c r="G17" s="12" t="s">
        <v>92</v>
      </c>
      <c r="H17" s="12" t="s">
        <v>59</v>
      </c>
      <c r="I17" s="6" t="s">
        <v>115</v>
      </c>
      <c r="J17" s="6" t="s">
        <v>116</v>
      </c>
      <c r="K17" s="12"/>
      <c r="L17" s="12" t="s">
        <v>206</v>
      </c>
      <c r="M17" s="12" t="s">
        <v>62</v>
      </c>
    </row>
    <row r="18" spans="1:13" ht="118.8">
      <c r="A18" s="12" t="str">
        <f t="shared" si="0"/>
        <v>TE</v>
      </c>
      <c r="B18" s="12" t="s">
        <v>198</v>
      </c>
      <c r="C18" s="12" t="s">
        <v>201</v>
      </c>
      <c r="D18" s="12" t="s">
        <v>57</v>
      </c>
      <c r="E18" s="12"/>
      <c r="F18" s="12">
        <v>5</v>
      </c>
      <c r="G18" s="12" t="s">
        <v>123</v>
      </c>
      <c r="H18" s="12" t="s">
        <v>59</v>
      </c>
      <c r="I18" s="6" t="s">
        <v>244</v>
      </c>
      <c r="J18" s="6" t="s">
        <v>239</v>
      </c>
      <c r="K18" s="12"/>
      <c r="L18" s="12" t="s">
        <v>207</v>
      </c>
      <c r="M18" s="12" t="s">
        <v>62</v>
      </c>
    </row>
    <row r="19" spans="1:13" ht="118.8">
      <c r="A19" s="12" t="str">
        <f t="shared" si="0"/>
        <v>TE</v>
      </c>
      <c r="B19" s="12" t="s">
        <v>199</v>
      </c>
      <c r="C19" s="12" t="s">
        <v>202</v>
      </c>
      <c r="D19" s="12" t="s">
        <v>57</v>
      </c>
      <c r="E19" s="12"/>
      <c r="F19" s="12">
        <v>6</v>
      </c>
      <c r="G19" s="12" t="s">
        <v>123</v>
      </c>
      <c r="H19" s="12" t="s">
        <v>59</v>
      </c>
      <c r="I19" s="6" t="s">
        <v>244</v>
      </c>
      <c r="J19" s="6" t="s">
        <v>238</v>
      </c>
      <c r="K19" s="12"/>
      <c r="L19" s="12" t="s">
        <v>208</v>
      </c>
      <c r="M19" s="12" t="s">
        <v>114</v>
      </c>
    </row>
    <row r="20" spans="1:13" ht="118.8">
      <c r="A20" s="12" t="str">
        <f t="shared" si="0"/>
        <v>TE</v>
      </c>
      <c r="B20" s="12" t="s">
        <v>200</v>
      </c>
      <c r="C20" s="12" t="s">
        <v>203</v>
      </c>
      <c r="D20" s="12" t="s">
        <v>57</v>
      </c>
      <c r="E20" s="14" t="str" cm="1">
        <f t="array" aca="1" ref="E20" ca="1">HYPERLINK("#"&amp;CELL("address", INDEX(Format!A:A,MATCH("ISO 8601 duration",Format!A:A,0))),"ISO 8601 duration")</f>
        <v>ISO 8601 duration</v>
      </c>
      <c r="F20" s="12">
        <v>7</v>
      </c>
      <c r="G20" s="12" t="s">
        <v>102</v>
      </c>
      <c r="H20" s="12" t="s">
        <v>59</v>
      </c>
      <c r="I20" s="6" t="s">
        <v>244</v>
      </c>
      <c r="J20" s="6" t="s">
        <v>240</v>
      </c>
      <c r="K20" s="12"/>
      <c r="L20" s="12" t="s">
        <v>209</v>
      </c>
      <c r="M20" s="12" t="s">
        <v>114</v>
      </c>
    </row>
  </sheetData>
  <autoFilter ref="A13:M20"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402" xr:uid="{D4B06BF9-CA2F-438D-B722-A9BDB48B344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AE86C-6904-4245-985F-0E0DA595F2F9}">
  <sheetPr codeName="Sheet9">
    <tabColor rgb="FFC00000"/>
  </sheetPr>
  <dimension ref="A1:M22"/>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248</v>
      </c>
      <c r="C1" s="37"/>
      <c r="D1" s="37"/>
      <c r="E1" s="37"/>
      <c r="F1" s="37"/>
      <c r="G1" s="37"/>
      <c r="H1" s="37"/>
      <c r="I1" s="37"/>
      <c r="J1" s="37"/>
      <c r="K1" s="37"/>
      <c r="L1" s="37"/>
      <c r="M1" s="37"/>
    </row>
    <row r="2" spans="1:13">
      <c r="A2" s="13" t="str">
        <f>DatasetsName!$C$1</f>
        <v>Dataset Description</v>
      </c>
      <c r="B2" s="37" t="str">
        <f>INDEX(DatasetsName!A1:J118,MATCH(B1,DatasetsName!B:B, 0),3)</f>
        <v>Trial Visits</v>
      </c>
      <c r="C2" s="37"/>
      <c r="D2" s="37"/>
      <c r="E2" s="37"/>
      <c r="F2" s="37"/>
      <c r="G2" s="37"/>
      <c r="H2" s="37"/>
      <c r="I2" s="37"/>
      <c r="J2" s="37"/>
      <c r="K2" s="37"/>
      <c r="L2" s="37"/>
      <c r="M2" s="37"/>
    </row>
    <row r="3" spans="1:13">
      <c r="A3" s="13" t="str">
        <f>DatasetsName!$D$1</f>
        <v>Dataset Class</v>
      </c>
      <c r="B3" s="37" t="str">
        <f>INDEX(DatasetsName!A1:J118,MATCH(B1,DatasetsName!B:B, 0),4)</f>
        <v>Trial Design</v>
      </c>
      <c r="C3" s="37"/>
      <c r="D3" s="37"/>
      <c r="E3" s="37"/>
      <c r="F3" s="37"/>
      <c r="G3" s="37"/>
      <c r="H3" s="37"/>
      <c r="I3" s="37"/>
      <c r="J3" s="37"/>
      <c r="K3" s="37"/>
      <c r="L3" s="37"/>
      <c r="M3" s="37"/>
    </row>
    <row r="4" spans="1:13">
      <c r="A4" s="13" t="str">
        <f>DatasetsName!$E$1</f>
        <v>Dataset Structure</v>
      </c>
      <c r="B4" s="37" t="str">
        <f>INDEX(DatasetsName!A1:J118,MATCH(B1,DatasetsName!B:B, 0),5)</f>
        <v>One record per planned Visit per Arm</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ARM, VISIT</v>
      </c>
      <c r="C6" s="37"/>
      <c r="D6" s="37"/>
      <c r="E6" s="37"/>
      <c r="F6" s="37"/>
      <c r="G6" s="37"/>
      <c r="H6" s="37"/>
      <c r="I6" s="37"/>
      <c r="J6" s="37"/>
      <c r="K6" s="37"/>
      <c r="L6" s="37"/>
      <c r="M6" s="37"/>
    </row>
    <row r="7" spans="1:13">
      <c r="A7" s="13" t="str">
        <f>DatasetsName!$H$1</f>
        <v>Dataset Location</v>
      </c>
      <c r="B7" s="37" t="str">
        <f>INDEX(DatasetsName!A1:J118,MATCH(B1,DatasetsName!B:B, 0),8)</f>
        <v>tv.xpt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252</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TV</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TV</v>
      </c>
      <c r="B15" s="12" t="s">
        <v>63</v>
      </c>
      <c r="C15" s="12" t="s">
        <v>64</v>
      </c>
      <c r="D15" s="12" t="s">
        <v>57</v>
      </c>
      <c r="E15" s="14" t="str" cm="1">
        <f t="array" aca="1" ref="E15" ca="1">HYPERLINK("#"&amp;CELL("address", INDEX(ControlledTerms!I:I,MATCH(B1,ControlledTerms!I:I,0))),B1)</f>
        <v>TV</v>
      </c>
      <c r="F15" s="12">
        <v>2</v>
      </c>
      <c r="G15" s="12" t="s">
        <v>58</v>
      </c>
      <c r="H15" s="12" t="s">
        <v>82</v>
      </c>
      <c r="I15" s="12">
        <v>2</v>
      </c>
      <c r="J15" s="21" t="s">
        <v>274</v>
      </c>
      <c r="K15" s="12"/>
      <c r="L15" s="12" t="s">
        <v>84</v>
      </c>
      <c r="M15" s="12" t="s">
        <v>62</v>
      </c>
    </row>
    <row r="16" spans="1:13" ht="26.4">
      <c r="A16" s="12" t="str">
        <f>A15</f>
        <v>TV</v>
      </c>
      <c r="B16" s="21" t="s">
        <v>257</v>
      </c>
      <c r="C16" s="21" t="s">
        <v>262</v>
      </c>
      <c r="D16" s="21" t="s">
        <v>101</v>
      </c>
      <c r="E16" s="12"/>
      <c r="F16" s="12">
        <v>3</v>
      </c>
      <c r="G16" s="21" t="s">
        <v>88</v>
      </c>
      <c r="H16" s="21" t="s">
        <v>82</v>
      </c>
      <c r="I16" s="12">
        <v>8</v>
      </c>
      <c r="J16" s="6" t="s">
        <v>275</v>
      </c>
      <c r="K16" s="12"/>
      <c r="L16" s="21" t="s">
        <v>267</v>
      </c>
      <c r="M16" s="21" t="s">
        <v>62</v>
      </c>
    </row>
    <row r="17" spans="1:13" ht="118.8">
      <c r="A17" s="12" t="str">
        <f t="shared" ref="A17:A21" si="0">A16</f>
        <v>TV</v>
      </c>
      <c r="B17" s="21" t="s">
        <v>258</v>
      </c>
      <c r="C17" s="21" t="s">
        <v>263</v>
      </c>
      <c r="D17" s="21" t="s">
        <v>57</v>
      </c>
      <c r="E17" s="12"/>
      <c r="F17" s="12">
        <v>4</v>
      </c>
      <c r="G17" s="21" t="s">
        <v>92</v>
      </c>
      <c r="H17" s="21" t="s">
        <v>59</v>
      </c>
      <c r="I17" s="6" t="s">
        <v>244</v>
      </c>
      <c r="J17" s="6" t="s">
        <v>276</v>
      </c>
      <c r="K17" s="12"/>
      <c r="L17" s="21" t="s">
        <v>268</v>
      </c>
      <c r="M17" s="21" t="s">
        <v>62</v>
      </c>
    </row>
    <row r="18" spans="1:13" ht="39.6">
      <c r="A18" s="12" t="str">
        <f t="shared" si="0"/>
        <v>TV</v>
      </c>
      <c r="B18" s="21" t="s">
        <v>259</v>
      </c>
      <c r="C18" s="21" t="s">
        <v>264</v>
      </c>
      <c r="D18" s="21" t="s">
        <v>101</v>
      </c>
      <c r="E18" s="12"/>
      <c r="F18" s="12">
        <v>5</v>
      </c>
      <c r="G18" s="21" t="s">
        <v>102</v>
      </c>
      <c r="H18" s="21" t="s">
        <v>59</v>
      </c>
      <c r="I18" s="12">
        <v>8</v>
      </c>
      <c r="J18" s="21" t="s">
        <v>277</v>
      </c>
      <c r="K18" s="12"/>
      <c r="L18" s="21" t="s">
        <v>269</v>
      </c>
      <c r="M18" s="21" t="s">
        <v>114</v>
      </c>
    </row>
    <row r="19" spans="1:13" ht="198">
      <c r="A19" s="12" t="str">
        <f t="shared" si="0"/>
        <v>TV</v>
      </c>
      <c r="B19" s="21" t="s">
        <v>85</v>
      </c>
      <c r="C19" s="21" t="s">
        <v>86</v>
      </c>
      <c r="D19" s="21" t="s">
        <v>57</v>
      </c>
      <c r="E19" s="12" t="s">
        <v>87</v>
      </c>
      <c r="F19" s="12">
        <v>6</v>
      </c>
      <c r="G19" s="21" t="s">
        <v>107</v>
      </c>
      <c r="H19" s="21" t="s">
        <v>82</v>
      </c>
      <c r="I19" s="6" t="s">
        <v>244</v>
      </c>
      <c r="J19" s="21" t="s">
        <v>278</v>
      </c>
      <c r="K19" s="12"/>
      <c r="L19" s="21" t="s">
        <v>270</v>
      </c>
      <c r="M19" s="21" t="s">
        <v>126</v>
      </c>
    </row>
    <row r="20" spans="1:13" ht="118.8">
      <c r="A20" s="12" t="str">
        <f t="shared" si="0"/>
        <v>TV</v>
      </c>
      <c r="B20" s="21" t="s">
        <v>90</v>
      </c>
      <c r="C20" s="21" t="s">
        <v>91</v>
      </c>
      <c r="D20" s="21" t="s">
        <v>57</v>
      </c>
      <c r="E20" s="12" t="s">
        <v>87</v>
      </c>
      <c r="F20" s="12">
        <v>7</v>
      </c>
      <c r="G20" s="21" t="s">
        <v>92</v>
      </c>
      <c r="H20" s="21" t="s">
        <v>59</v>
      </c>
      <c r="I20" s="6" t="s">
        <v>244</v>
      </c>
      <c r="J20" s="21" t="s">
        <v>279</v>
      </c>
      <c r="K20" s="12"/>
      <c r="L20" s="21" t="s">
        <v>271</v>
      </c>
      <c r="M20" s="21" t="s">
        <v>114</v>
      </c>
    </row>
    <row r="21" spans="1:13" ht="118.8">
      <c r="A21" s="12" t="str">
        <f t="shared" si="0"/>
        <v>TV</v>
      </c>
      <c r="B21" s="21" t="s">
        <v>260</v>
      </c>
      <c r="C21" s="21" t="s">
        <v>265</v>
      </c>
      <c r="D21" s="21" t="s">
        <v>57</v>
      </c>
      <c r="E21" s="12"/>
      <c r="F21" s="12">
        <v>8</v>
      </c>
      <c r="G21" s="21" t="s">
        <v>123</v>
      </c>
      <c r="H21" s="21" t="s">
        <v>82</v>
      </c>
      <c r="I21" s="6" t="s">
        <v>244</v>
      </c>
      <c r="J21" s="21" t="s">
        <v>280</v>
      </c>
      <c r="K21" s="12"/>
      <c r="L21" s="21" t="s">
        <v>272</v>
      </c>
      <c r="M21" s="21" t="s">
        <v>62</v>
      </c>
    </row>
    <row r="22" spans="1:13" ht="118.8">
      <c r="A22" s="12" t="str">
        <f t="shared" ref="A22" si="1">A21</f>
        <v>TV</v>
      </c>
      <c r="B22" s="21" t="s">
        <v>261</v>
      </c>
      <c r="C22" s="21" t="s">
        <v>266</v>
      </c>
      <c r="D22" s="21" t="s">
        <v>57</v>
      </c>
      <c r="E22" s="12"/>
      <c r="F22" s="12">
        <v>9</v>
      </c>
      <c r="G22" s="21" t="s">
        <v>123</v>
      </c>
      <c r="H22" s="21" t="s">
        <v>82</v>
      </c>
      <c r="I22" s="6" t="s">
        <v>244</v>
      </c>
      <c r="J22" s="21" t="s">
        <v>281</v>
      </c>
      <c r="K22" s="12"/>
      <c r="L22" s="21" t="s">
        <v>273</v>
      </c>
      <c r="M22" s="21" t="s">
        <v>114</v>
      </c>
    </row>
  </sheetData>
  <autoFilter ref="A13:M1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407" xr:uid="{252CC4C2-229D-4BD8-B7CE-964367CD02A3}"/>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D589E-C54A-48A5-8DD0-6D546BDC90EE}">
  <sheetPr codeName="Sheet10">
    <tabColor rgb="FFC00000"/>
  </sheetPr>
  <dimension ref="A1:M22"/>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282</v>
      </c>
      <c r="C1" s="37"/>
      <c r="D1" s="37"/>
      <c r="E1" s="37"/>
      <c r="F1" s="37"/>
      <c r="G1" s="37"/>
      <c r="H1" s="37"/>
      <c r="I1" s="37"/>
      <c r="J1" s="37"/>
      <c r="K1" s="37"/>
      <c r="L1" s="37"/>
      <c r="M1" s="37"/>
    </row>
    <row r="2" spans="1:13">
      <c r="A2" s="13" t="str">
        <f>DatasetsName!$C$1</f>
        <v>Dataset Description</v>
      </c>
      <c r="B2" s="37" t="str">
        <f>INDEX(DatasetsName!A1:J118,MATCH(B1,DatasetsName!B:B, 0),3)</f>
        <v>Trial Disease Assessments</v>
      </c>
      <c r="C2" s="37"/>
      <c r="D2" s="37"/>
      <c r="E2" s="37"/>
      <c r="F2" s="37"/>
      <c r="G2" s="37"/>
      <c r="H2" s="37"/>
      <c r="I2" s="37"/>
      <c r="J2" s="37"/>
      <c r="K2" s="37"/>
      <c r="L2" s="37"/>
      <c r="M2" s="37"/>
    </row>
    <row r="3" spans="1:13">
      <c r="A3" s="13" t="str">
        <f>DatasetsName!$D$1</f>
        <v>Dataset Class</v>
      </c>
      <c r="B3" s="37" t="str">
        <f>INDEX(DatasetsName!A1:J118,MATCH(B1,DatasetsName!B:B, 0),4)</f>
        <v>Trial Design</v>
      </c>
      <c r="C3" s="37"/>
      <c r="D3" s="37"/>
      <c r="E3" s="37"/>
      <c r="F3" s="37"/>
      <c r="G3" s="37"/>
      <c r="H3" s="37"/>
      <c r="I3" s="37"/>
      <c r="J3" s="37"/>
      <c r="K3" s="37"/>
      <c r="L3" s="37"/>
      <c r="M3" s="37"/>
    </row>
    <row r="4" spans="1:13">
      <c r="A4" s="13" t="str">
        <f>DatasetsName!$E$1</f>
        <v>Dataset Structure</v>
      </c>
      <c r="B4" s="37" t="str">
        <f>INDEX(DatasetsName!A1:J118,MATCH(B1,DatasetsName!B:B, 0),5)</f>
        <v>One record per planned constant assessment period</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TDORDER</v>
      </c>
      <c r="C6" s="37"/>
      <c r="D6" s="37"/>
      <c r="E6" s="37"/>
      <c r="F6" s="37"/>
      <c r="G6" s="37"/>
      <c r="H6" s="37"/>
      <c r="I6" s="37"/>
      <c r="J6" s="37"/>
      <c r="K6" s="37"/>
      <c r="L6" s="37"/>
      <c r="M6" s="37"/>
    </row>
    <row r="7" spans="1:13">
      <c r="A7" s="13" t="str">
        <f>DatasetsName!$H$1</f>
        <v>Dataset Location</v>
      </c>
      <c r="B7" s="37" t="str">
        <f>INDEX(DatasetsName!A1:J118,MATCH(B1,DatasetsName!B:B, 0),8)</f>
        <v>td.xpt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291</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TD</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TD</v>
      </c>
      <c r="B15" s="12" t="s">
        <v>63</v>
      </c>
      <c r="C15" s="12" t="s">
        <v>64</v>
      </c>
      <c r="D15" s="12" t="s">
        <v>57</v>
      </c>
      <c r="E15" s="14" t="str" cm="1">
        <f t="array" aca="1" ref="E15" ca="1">HYPERLINK("#"&amp;CELL("address", INDEX(ControlledTerms!I:I,MATCH(B1,ControlledTerms!I:I,0))),B1)</f>
        <v>TD</v>
      </c>
      <c r="F15" s="12">
        <v>2</v>
      </c>
      <c r="G15" s="12" t="s">
        <v>58</v>
      </c>
      <c r="H15" s="12" t="s">
        <v>82</v>
      </c>
      <c r="I15" s="12">
        <v>2</v>
      </c>
      <c r="J15" s="21" t="s">
        <v>290</v>
      </c>
      <c r="K15" s="12"/>
      <c r="L15" s="12" t="s">
        <v>84</v>
      </c>
      <c r="M15" s="12" t="s">
        <v>62</v>
      </c>
    </row>
    <row r="16" spans="1:13" ht="39.6">
      <c r="A16" s="12" t="str">
        <f>A15</f>
        <v>TD</v>
      </c>
      <c r="B16" s="21" t="s">
        <v>292</v>
      </c>
      <c r="C16" s="21" t="s">
        <v>299</v>
      </c>
      <c r="D16" s="21" t="s">
        <v>101</v>
      </c>
      <c r="E16" s="12"/>
      <c r="F16" s="12">
        <v>3</v>
      </c>
      <c r="G16" s="21" t="s">
        <v>102</v>
      </c>
      <c r="H16" s="21" t="s">
        <v>82</v>
      </c>
      <c r="I16" s="12">
        <v>8</v>
      </c>
      <c r="J16" s="6"/>
      <c r="K16" s="12"/>
      <c r="L16" s="21" t="s">
        <v>306</v>
      </c>
      <c r="M16" s="21" t="s">
        <v>62</v>
      </c>
    </row>
    <row r="17" spans="1:13" ht="118.8">
      <c r="A17" s="12" t="str">
        <f t="shared" ref="A17:A22" si="0">A16</f>
        <v>TD</v>
      </c>
      <c r="B17" s="21" t="s">
        <v>293</v>
      </c>
      <c r="C17" s="21" t="s">
        <v>300</v>
      </c>
      <c r="D17" s="21" t="s">
        <v>57</v>
      </c>
      <c r="E17" s="12"/>
      <c r="F17" s="12">
        <v>4</v>
      </c>
      <c r="G17" s="21" t="s">
        <v>102</v>
      </c>
      <c r="H17" s="21" t="s">
        <v>59</v>
      </c>
      <c r="I17" s="6" t="s">
        <v>244</v>
      </c>
      <c r="J17" s="6"/>
      <c r="K17" s="12"/>
      <c r="L17" s="21" t="s">
        <v>307</v>
      </c>
      <c r="M17" s="21" t="s">
        <v>62</v>
      </c>
    </row>
    <row r="18" spans="1:13" ht="118.8">
      <c r="A18" s="12" t="str">
        <f t="shared" si="0"/>
        <v>TD</v>
      </c>
      <c r="B18" s="21" t="s">
        <v>294</v>
      </c>
      <c r="C18" s="21" t="s">
        <v>301</v>
      </c>
      <c r="D18" s="21" t="s">
        <v>57</v>
      </c>
      <c r="E18" s="14" t="str" cm="1">
        <f t="array" aca="1" ref="E18" ca="1">HYPERLINK("#"&amp;CELL("address", INDEX(Format!A:A,MATCH("ISO 8601 duration",Format!A:A,0))),"ISO 8601 duration")</f>
        <v>ISO 8601 duration</v>
      </c>
      <c r="F18" s="12">
        <v>5</v>
      </c>
      <c r="G18" s="21" t="s">
        <v>102</v>
      </c>
      <c r="H18" s="21" t="s">
        <v>59</v>
      </c>
      <c r="I18" s="6" t="s">
        <v>244</v>
      </c>
      <c r="J18" s="21"/>
      <c r="K18" s="12"/>
      <c r="L18" s="21" t="s">
        <v>308</v>
      </c>
      <c r="M18" s="21" t="s">
        <v>62</v>
      </c>
    </row>
    <row r="19" spans="1:13" ht="118.8">
      <c r="A19" s="12" t="str">
        <f t="shared" si="0"/>
        <v>TD</v>
      </c>
      <c r="B19" s="21" t="s">
        <v>295</v>
      </c>
      <c r="C19" s="21" t="s">
        <v>302</v>
      </c>
      <c r="D19" s="21" t="s">
        <v>57</v>
      </c>
      <c r="E19" s="14" t="str" cm="1">
        <f t="array" aca="1" ref="E19" ca="1">HYPERLINK("#"&amp;CELL("address", INDEX(Format!A:A,MATCH("ISO 8601 duration",Format!A:A,0))),"ISO 8601 duration")</f>
        <v>ISO 8601 duration</v>
      </c>
      <c r="F19" s="12">
        <v>6</v>
      </c>
      <c r="G19" s="21" t="s">
        <v>102</v>
      </c>
      <c r="H19" s="21" t="s">
        <v>59</v>
      </c>
      <c r="I19" s="6" t="s">
        <v>244</v>
      </c>
      <c r="J19" s="21"/>
      <c r="K19" s="12"/>
      <c r="L19" s="21" t="s">
        <v>309</v>
      </c>
      <c r="M19" s="21" t="s">
        <v>62</v>
      </c>
    </row>
    <row r="20" spans="1:13" ht="118.8">
      <c r="A20" s="12" t="str">
        <f t="shared" si="0"/>
        <v>TD</v>
      </c>
      <c r="B20" s="21" t="s">
        <v>296</v>
      </c>
      <c r="C20" s="21" t="s">
        <v>303</v>
      </c>
      <c r="D20" s="21" t="s">
        <v>57</v>
      </c>
      <c r="E20" s="14" t="str" cm="1">
        <f t="array" aca="1" ref="E20" ca="1">HYPERLINK("#"&amp;CELL("address", INDEX(Format!A:A,MATCH("ISO 8601 duration",Format!A:A,0))),"ISO 8601 duration")</f>
        <v>ISO 8601 duration</v>
      </c>
      <c r="F20" s="12">
        <v>7</v>
      </c>
      <c r="G20" s="21" t="s">
        <v>102</v>
      </c>
      <c r="H20" s="21" t="s">
        <v>59</v>
      </c>
      <c r="I20" s="6" t="s">
        <v>244</v>
      </c>
      <c r="J20" s="21"/>
      <c r="K20" s="12"/>
      <c r="L20" s="21" t="s">
        <v>310</v>
      </c>
      <c r="M20" s="21" t="s">
        <v>62</v>
      </c>
    </row>
    <row r="21" spans="1:13" ht="118.8">
      <c r="A21" s="12" t="str">
        <f t="shared" si="0"/>
        <v>TD</v>
      </c>
      <c r="B21" s="21" t="s">
        <v>297</v>
      </c>
      <c r="C21" s="21" t="s">
        <v>304</v>
      </c>
      <c r="D21" s="21" t="s">
        <v>57</v>
      </c>
      <c r="E21" s="14" t="str" cm="1">
        <f t="array" aca="1" ref="E21" ca="1">HYPERLINK("#"&amp;CELL("address", INDEX(Format!A:A,MATCH("ISO 8601 duration",Format!A:A,0))),"ISO 8601 duration")</f>
        <v>ISO 8601 duration</v>
      </c>
      <c r="F21" s="12">
        <v>8</v>
      </c>
      <c r="G21" s="21" t="s">
        <v>102</v>
      </c>
      <c r="H21" s="21" t="s">
        <v>59</v>
      </c>
      <c r="I21" s="6" t="s">
        <v>244</v>
      </c>
      <c r="J21" s="21"/>
      <c r="K21" s="12"/>
      <c r="L21" s="21" t="s">
        <v>311</v>
      </c>
      <c r="M21" s="21" t="s">
        <v>62</v>
      </c>
    </row>
    <row r="22" spans="1:13" ht="171.6">
      <c r="A22" s="12" t="str">
        <f t="shared" si="0"/>
        <v>TD</v>
      </c>
      <c r="B22" s="21" t="s">
        <v>298</v>
      </c>
      <c r="C22" s="21" t="s">
        <v>305</v>
      </c>
      <c r="D22" s="21" t="s">
        <v>101</v>
      </c>
      <c r="E22" s="12"/>
      <c r="F22" s="12">
        <v>9</v>
      </c>
      <c r="G22" s="21" t="s">
        <v>107</v>
      </c>
      <c r="H22" s="21" t="s">
        <v>59</v>
      </c>
      <c r="I22" s="6">
        <v>8</v>
      </c>
      <c r="J22" s="21"/>
      <c r="K22" s="12"/>
      <c r="L22" s="21" t="s">
        <v>312</v>
      </c>
      <c r="M22" s="21" t="s">
        <v>62</v>
      </c>
    </row>
  </sheetData>
  <autoFilter ref="A13:M1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410" xr:uid="{1A7822EF-7CB4-46FF-B455-174CB5AF9909}"/>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A7820-6D31-4C99-AB6C-0E163E82ADDA}">
  <sheetPr codeName="Sheet11">
    <tabColor rgb="FFC00000"/>
  </sheetPr>
  <dimension ref="A1:M18"/>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313</v>
      </c>
      <c r="C1" s="37"/>
      <c r="D1" s="37"/>
      <c r="E1" s="37"/>
      <c r="F1" s="37"/>
      <c r="G1" s="37"/>
      <c r="H1" s="37"/>
      <c r="I1" s="37"/>
      <c r="J1" s="37"/>
      <c r="K1" s="37"/>
      <c r="L1" s="37"/>
      <c r="M1" s="37"/>
    </row>
    <row r="2" spans="1:13">
      <c r="A2" s="13" t="str">
        <f>DatasetsName!$C$1</f>
        <v>Dataset Description</v>
      </c>
      <c r="B2" s="37" t="str">
        <f>INDEX(DatasetsName!A1:J118,MATCH(B1,DatasetsName!B:B, 0),3)</f>
        <v>Trial Disease Milestones</v>
      </c>
      <c r="C2" s="37"/>
      <c r="D2" s="37"/>
      <c r="E2" s="37"/>
      <c r="F2" s="37"/>
      <c r="G2" s="37"/>
      <c r="H2" s="37"/>
      <c r="I2" s="37"/>
      <c r="J2" s="37"/>
      <c r="K2" s="37"/>
      <c r="L2" s="37"/>
      <c r="M2" s="37"/>
    </row>
    <row r="3" spans="1:13">
      <c r="A3" s="13" t="str">
        <f>DatasetsName!$D$1</f>
        <v>Dataset Class</v>
      </c>
      <c r="B3" s="37" t="str">
        <f>INDEX(DatasetsName!A1:J118,MATCH(B1,DatasetsName!B:B, 0),4)</f>
        <v>Trial Design</v>
      </c>
      <c r="C3" s="37"/>
      <c r="D3" s="37"/>
      <c r="E3" s="37"/>
      <c r="F3" s="37"/>
      <c r="G3" s="37"/>
      <c r="H3" s="37"/>
      <c r="I3" s="37"/>
      <c r="J3" s="37"/>
      <c r="K3" s="37"/>
      <c r="L3" s="37"/>
      <c r="M3" s="37"/>
    </row>
    <row r="4" spans="1:13">
      <c r="A4" s="13" t="str">
        <f>DatasetsName!$E$1</f>
        <v>Dataset Structure</v>
      </c>
      <c r="B4" s="37" t="str">
        <f>INDEX(DatasetsName!A1:J118,MATCH(B1,DatasetsName!B:B, 0),5)</f>
        <v>One record per Disease Milestone type</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MIDSTYPE</v>
      </c>
      <c r="C6" s="37"/>
      <c r="D6" s="37"/>
      <c r="E6" s="37"/>
      <c r="F6" s="37"/>
      <c r="G6" s="37"/>
      <c r="H6" s="37"/>
      <c r="I6" s="37"/>
      <c r="J6" s="37"/>
      <c r="K6" s="37"/>
      <c r="L6" s="37"/>
      <c r="M6" s="37"/>
    </row>
    <row r="7" spans="1:13">
      <c r="A7" s="13" t="str">
        <f>DatasetsName!$H$1</f>
        <v>Dataset Location</v>
      </c>
      <c r="B7" s="37" t="str">
        <f>INDEX(DatasetsName!A1:J118,MATCH(B1,DatasetsName!B:B, 0),8)</f>
        <v>tm.xpt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321</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TM</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TM</v>
      </c>
      <c r="B15" s="12" t="s">
        <v>63</v>
      </c>
      <c r="C15" s="12" t="s">
        <v>64</v>
      </c>
      <c r="D15" s="12" t="s">
        <v>57</v>
      </c>
      <c r="E15" s="14" t="str" cm="1">
        <f t="array" aca="1" ref="E15" ca="1">HYPERLINK("#"&amp;CELL("address", INDEX(ControlledTerms!I:I,MATCH(B1,ControlledTerms!I:I,0))),B1)</f>
        <v>TM</v>
      </c>
      <c r="F15" s="12">
        <v>2</v>
      </c>
      <c r="G15" s="12" t="s">
        <v>58</v>
      </c>
      <c r="H15" s="12" t="s">
        <v>82</v>
      </c>
      <c r="I15" s="12">
        <v>2</v>
      </c>
      <c r="J15" s="21" t="s">
        <v>322</v>
      </c>
      <c r="K15" s="12"/>
      <c r="L15" s="12" t="s">
        <v>84</v>
      </c>
      <c r="M15" s="12" t="s">
        <v>62</v>
      </c>
    </row>
    <row r="16" spans="1:13" ht="118.8">
      <c r="A16" s="12" t="str">
        <f>A15</f>
        <v>TM</v>
      </c>
      <c r="B16" s="21" t="s">
        <v>323</v>
      </c>
      <c r="C16" s="21" t="s">
        <v>324</v>
      </c>
      <c r="D16" s="21" t="s">
        <v>57</v>
      </c>
      <c r="E16" s="12"/>
      <c r="F16" s="12">
        <v>3</v>
      </c>
      <c r="G16" s="21" t="s">
        <v>88</v>
      </c>
      <c r="H16" s="21"/>
      <c r="I16" s="6" t="s">
        <v>244</v>
      </c>
      <c r="J16" s="6"/>
      <c r="K16" s="12"/>
      <c r="L16" s="21" t="s">
        <v>353</v>
      </c>
      <c r="M16" s="21" t="s">
        <v>62</v>
      </c>
    </row>
    <row r="17" spans="1:13" ht="118.8">
      <c r="A17" s="12" t="str">
        <f t="shared" ref="A17:A18" si="0">A16</f>
        <v>TM</v>
      </c>
      <c r="B17" s="21" t="s">
        <v>325</v>
      </c>
      <c r="C17" s="21" t="s">
        <v>328</v>
      </c>
      <c r="D17" s="21" t="s">
        <v>57</v>
      </c>
      <c r="E17" s="12"/>
      <c r="F17" s="12">
        <v>4</v>
      </c>
      <c r="G17" s="21" t="s">
        <v>329</v>
      </c>
      <c r="H17" s="21"/>
      <c r="I17" s="6" t="s">
        <v>244</v>
      </c>
      <c r="J17" s="6"/>
      <c r="K17" s="12"/>
      <c r="L17" s="21" t="s">
        <v>354</v>
      </c>
      <c r="M17" s="21" t="s">
        <v>62</v>
      </c>
    </row>
    <row r="18" spans="1:13" ht="52.8">
      <c r="A18" s="12" t="str">
        <f t="shared" si="0"/>
        <v>TM</v>
      </c>
      <c r="B18" s="21" t="s">
        <v>326</v>
      </c>
      <c r="C18" s="21" t="s">
        <v>327</v>
      </c>
      <c r="D18" s="21" t="s">
        <v>57</v>
      </c>
      <c r="E18" s="14" t="str" cm="1">
        <f t="array" aca="1" ref="E18" ca="1">HYPERLINK("#"&amp;CELL("address", INDEX(ControlledTerms!E:E,MATCH("C66742",ControlledTerms!E:E,0))),"(NY)")</f>
        <v>(NY)</v>
      </c>
      <c r="F18" s="12">
        <v>5</v>
      </c>
      <c r="G18" s="21" t="s">
        <v>107</v>
      </c>
      <c r="H18" s="21"/>
      <c r="I18" s="12">
        <v>1</v>
      </c>
      <c r="J18" s="21"/>
      <c r="K18" s="12"/>
      <c r="L18" s="21" t="s">
        <v>355</v>
      </c>
      <c r="M18" s="21" t="s">
        <v>62</v>
      </c>
    </row>
  </sheetData>
  <autoFilter ref="A13:M1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415" xr:uid="{A9BEE661-A776-47B9-969F-84D41E158A5C}"/>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FD607-F4BB-4E36-8882-692463F778BE}">
  <sheetPr codeName="Sheet12">
    <tabColor rgb="FFC00000"/>
  </sheetPr>
  <dimension ref="A1:M21"/>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246</v>
      </c>
      <c r="C1" s="37"/>
      <c r="D1" s="37"/>
      <c r="E1" s="37"/>
      <c r="F1" s="37"/>
      <c r="G1" s="37"/>
      <c r="H1" s="37"/>
      <c r="I1" s="37"/>
      <c r="J1" s="37"/>
      <c r="K1" s="37"/>
      <c r="L1" s="37"/>
      <c r="M1" s="37"/>
    </row>
    <row r="2" spans="1:13">
      <c r="A2" s="13" t="str">
        <f>DatasetsName!$C$1</f>
        <v>Dataset Description</v>
      </c>
      <c r="B2" s="37" t="str">
        <f>INDEX(DatasetsName!A1:J118,MATCH(B1,DatasetsName!B:B, 0),3)</f>
        <v>Trial Inclusion/Exclusion Criteria</v>
      </c>
      <c r="C2" s="37"/>
      <c r="D2" s="37"/>
      <c r="E2" s="37"/>
      <c r="F2" s="37"/>
      <c r="G2" s="37"/>
      <c r="H2" s="37"/>
      <c r="I2" s="37"/>
      <c r="J2" s="37"/>
      <c r="K2" s="37"/>
      <c r="L2" s="37"/>
      <c r="M2" s="37"/>
    </row>
    <row r="3" spans="1:13">
      <c r="A3" s="13" t="str">
        <f>DatasetsName!$D$1</f>
        <v>Dataset Class</v>
      </c>
      <c r="B3" s="37" t="str">
        <f>INDEX(DatasetsName!A1:J118,MATCH(B1,DatasetsName!B:B, 0),4)</f>
        <v>Trial Design</v>
      </c>
      <c r="C3" s="37"/>
      <c r="D3" s="37"/>
      <c r="E3" s="37"/>
      <c r="F3" s="37"/>
      <c r="G3" s="37"/>
      <c r="H3" s="37"/>
      <c r="I3" s="37"/>
      <c r="J3" s="37"/>
      <c r="K3" s="37"/>
      <c r="L3" s="37"/>
      <c r="M3" s="37"/>
    </row>
    <row r="4" spans="1:13">
      <c r="A4" s="13" t="str">
        <f>DatasetsName!$E$1</f>
        <v>Dataset Structure</v>
      </c>
      <c r="B4" s="37" t="str">
        <f>INDEX(DatasetsName!A1:J118,MATCH(B1,DatasetsName!B:B, 0),5)</f>
        <v>One record per I/E criterion</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IETESTCD</v>
      </c>
      <c r="C6" s="37"/>
      <c r="D6" s="37"/>
      <c r="E6" s="37"/>
      <c r="F6" s="37"/>
      <c r="G6" s="37"/>
      <c r="H6" s="37"/>
      <c r="I6" s="37"/>
      <c r="J6" s="37"/>
      <c r="K6" s="37"/>
      <c r="L6" s="37"/>
      <c r="M6" s="37"/>
    </row>
    <row r="7" spans="1:13">
      <c r="A7" s="13" t="str">
        <f>DatasetsName!$H$1</f>
        <v>Dataset Location</v>
      </c>
      <c r="B7" s="37" t="str">
        <f>INDEX(DatasetsName!A1:J118,MATCH(B1,DatasetsName!B:B, 0),8)</f>
        <v>ti.xpt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369</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TI</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TI</v>
      </c>
      <c r="B15" s="12" t="s">
        <v>63</v>
      </c>
      <c r="C15" s="12" t="s">
        <v>64</v>
      </c>
      <c r="D15" s="12" t="s">
        <v>57</v>
      </c>
      <c r="E15" s="14" t="str" cm="1">
        <f t="array" aca="1" ref="E15" ca="1">HYPERLINK("#"&amp;CELL("address", INDEX(ControlledTerms!I:I,MATCH(B1,ControlledTerms!I:I,0))),B1)</f>
        <v>TI</v>
      </c>
      <c r="F15" s="12">
        <v>2</v>
      </c>
      <c r="G15" s="12" t="s">
        <v>58</v>
      </c>
      <c r="H15" s="12" t="s">
        <v>82</v>
      </c>
      <c r="I15" s="12">
        <v>2</v>
      </c>
      <c r="J15" s="21" t="s">
        <v>377</v>
      </c>
      <c r="K15" s="12"/>
      <c r="L15" s="12" t="s">
        <v>84</v>
      </c>
      <c r="M15" s="12" t="s">
        <v>62</v>
      </c>
    </row>
    <row r="16" spans="1:13" ht="145.19999999999999">
      <c r="A16" s="12" t="str">
        <f>A15</f>
        <v>TI</v>
      </c>
      <c r="B16" s="21" t="s">
        <v>370</v>
      </c>
      <c r="C16" s="21" t="s">
        <v>376</v>
      </c>
      <c r="D16" s="21" t="s">
        <v>57</v>
      </c>
      <c r="E16" s="21" t="s">
        <v>87</v>
      </c>
      <c r="F16" s="12">
        <v>3</v>
      </c>
      <c r="G16" s="21" t="s">
        <v>88</v>
      </c>
      <c r="H16" s="21"/>
      <c r="I16" s="12"/>
      <c r="J16" s="6"/>
      <c r="K16" s="12"/>
      <c r="L16" s="21" t="s">
        <v>378</v>
      </c>
      <c r="M16" s="21" t="s">
        <v>62</v>
      </c>
    </row>
    <row r="17" spans="1:13" ht="39.6">
      <c r="A17" s="12" t="str">
        <f t="shared" ref="A17:A18" si="0">A16</f>
        <v>TI</v>
      </c>
      <c r="B17" s="21" t="s">
        <v>371</v>
      </c>
      <c r="C17" s="21" t="s">
        <v>379</v>
      </c>
      <c r="D17" s="21" t="s">
        <v>57</v>
      </c>
      <c r="E17" s="21" t="s">
        <v>87</v>
      </c>
      <c r="F17" s="12">
        <v>4</v>
      </c>
      <c r="G17" s="21" t="s">
        <v>92</v>
      </c>
      <c r="H17" s="21"/>
      <c r="I17" s="6"/>
      <c r="J17" s="6"/>
      <c r="K17" s="12"/>
      <c r="L17" s="21" t="s">
        <v>384</v>
      </c>
      <c r="M17" s="21" t="s">
        <v>62</v>
      </c>
    </row>
    <row r="18" spans="1:13" ht="26.4">
      <c r="A18" s="12" t="str">
        <f t="shared" si="0"/>
        <v>TI</v>
      </c>
      <c r="B18" s="21" t="s">
        <v>372</v>
      </c>
      <c r="C18" s="21" t="s">
        <v>380</v>
      </c>
      <c r="D18" s="21" t="s">
        <v>57</v>
      </c>
      <c r="E18" s="14" t="str" cm="1">
        <f t="array" aca="1" ref="E18" ca="1">HYPERLINK("#"&amp;CELL("address", INDEX(ControlledTerms!E:E,MATCH("C66797",ControlledTerms!E:E,0))),"(IECAT)")</f>
        <v>(IECAT)</v>
      </c>
      <c r="F18" s="12">
        <v>5</v>
      </c>
      <c r="G18" s="21" t="s">
        <v>387</v>
      </c>
      <c r="H18" s="21"/>
      <c r="I18" s="6"/>
      <c r="J18" s="21"/>
      <c r="K18" s="12"/>
      <c r="L18" s="21" t="s">
        <v>385</v>
      </c>
      <c r="M18" s="21" t="s">
        <v>62</v>
      </c>
    </row>
    <row r="19" spans="1:13" ht="79.2">
      <c r="A19" s="12" t="str">
        <f t="shared" ref="A19:A21" si="1">A18</f>
        <v>TI</v>
      </c>
      <c r="B19" s="21" t="s">
        <v>373</v>
      </c>
      <c r="C19" s="21" t="s">
        <v>381</v>
      </c>
      <c r="D19" s="21" t="s">
        <v>57</v>
      </c>
      <c r="E19" s="14"/>
      <c r="F19" s="12">
        <v>6</v>
      </c>
      <c r="G19" s="21" t="s">
        <v>387</v>
      </c>
      <c r="H19" s="21"/>
      <c r="I19" s="6"/>
      <c r="J19" s="21"/>
      <c r="K19" s="12"/>
      <c r="L19" s="21" t="s">
        <v>386</v>
      </c>
      <c r="M19" s="21" t="s">
        <v>114</v>
      </c>
    </row>
    <row r="20" spans="1:13" ht="39.6">
      <c r="A20" s="12" t="str">
        <f t="shared" si="1"/>
        <v>TI</v>
      </c>
      <c r="B20" s="21" t="s">
        <v>374</v>
      </c>
      <c r="C20" s="21" t="s">
        <v>382</v>
      </c>
      <c r="D20" s="21" t="s">
        <v>57</v>
      </c>
      <c r="E20" s="14"/>
      <c r="F20" s="12">
        <v>7</v>
      </c>
      <c r="G20" s="21" t="s">
        <v>123</v>
      </c>
      <c r="H20" s="21"/>
      <c r="I20" s="6"/>
      <c r="J20" s="21"/>
      <c r="K20" s="12"/>
      <c r="L20" s="21" t="s">
        <v>388</v>
      </c>
      <c r="M20" s="21" t="s">
        <v>114</v>
      </c>
    </row>
    <row r="21" spans="1:13" ht="39.6">
      <c r="A21" s="12" t="str">
        <f t="shared" si="1"/>
        <v>TI</v>
      </c>
      <c r="B21" s="21" t="s">
        <v>375</v>
      </c>
      <c r="C21" s="21" t="s">
        <v>383</v>
      </c>
      <c r="D21" s="21" t="s">
        <v>57</v>
      </c>
      <c r="E21" s="14"/>
      <c r="F21" s="12">
        <v>8</v>
      </c>
      <c r="G21" s="21" t="s">
        <v>107</v>
      </c>
      <c r="H21" s="21"/>
      <c r="I21" s="6"/>
      <c r="J21" s="21"/>
      <c r="K21" s="12"/>
      <c r="L21" s="21" t="s">
        <v>389</v>
      </c>
      <c r="M21" s="21" t="s">
        <v>114</v>
      </c>
    </row>
  </sheetData>
  <autoFilter ref="A13:M1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416" xr:uid="{C7BDC353-ECD4-40BE-B240-D5D0038AB54F}"/>
  </hyperlink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5883F-4225-45E0-8252-ABA2E9A5ED23}">
  <sheetPr codeName="Sheet13">
    <tabColor rgb="FFC00000"/>
  </sheetPr>
  <dimension ref="A1:M24"/>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356</v>
      </c>
      <c r="C1" s="37"/>
      <c r="D1" s="37"/>
      <c r="E1" s="37"/>
      <c r="F1" s="37"/>
      <c r="G1" s="37"/>
      <c r="H1" s="37"/>
      <c r="I1" s="37"/>
      <c r="J1" s="37"/>
      <c r="K1" s="37"/>
      <c r="L1" s="37"/>
      <c r="M1" s="37"/>
    </row>
    <row r="2" spans="1:13">
      <c r="A2" s="13" t="str">
        <f>DatasetsName!$C$1</f>
        <v>Dataset Description</v>
      </c>
      <c r="B2" s="37" t="str">
        <f>INDEX(DatasetsName!A1:J118,MATCH(B1,DatasetsName!B:B, 0),3)</f>
        <v>Trial Summary</v>
      </c>
      <c r="C2" s="37"/>
      <c r="D2" s="37"/>
      <c r="E2" s="37"/>
      <c r="F2" s="37"/>
      <c r="G2" s="37"/>
      <c r="H2" s="37"/>
      <c r="I2" s="37"/>
      <c r="J2" s="37"/>
      <c r="K2" s="37"/>
      <c r="L2" s="37"/>
      <c r="M2" s="37"/>
    </row>
    <row r="3" spans="1:13">
      <c r="A3" s="13" t="str">
        <f>DatasetsName!$D$1</f>
        <v>Dataset Class</v>
      </c>
      <c r="B3" s="37" t="str">
        <f>INDEX(DatasetsName!A1:J118,MATCH(B1,DatasetsName!B:B, 0),4)</f>
        <v>Trial Design</v>
      </c>
      <c r="C3" s="37"/>
      <c r="D3" s="37"/>
      <c r="E3" s="37"/>
      <c r="F3" s="37"/>
      <c r="G3" s="37"/>
      <c r="H3" s="37"/>
      <c r="I3" s="37"/>
      <c r="J3" s="37"/>
      <c r="K3" s="37"/>
      <c r="L3" s="37"/>
      <c r="M3" s="37"/>
    </row>
    <row r="4" spans="1:13">
      <c r="A4" s="13" t="str">
        <f>DatasetsName!$E$1</f>
        <v>Dataset Structure</v>
      </c>
      <c r="B4" s="37" t="str">
        <f>INDEX(DatasetsName!A1:J118,MATCH(B1,DatasetsName!B:B, 0),5)</f>
        <v>One record per trial summary parameter value</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TSPARMCD, TSSEQ</v>
      </c>
      <c r="C6" s="37"/>
      <c r="D6" s="37"/>
      <c r="E6" s="37"/>
      <c r="F6" s="37"/>
      <c r="G6" s="37"/>
      <c r="H6" s="37"/>
      <c r="I6" s="37"/>
      <c r="J6" s="37"/>
      <c r="K6" s="37"/>
      <c r="L6" s="37"/>
      <c r="M6" s="37"/>
    </row>
    <row r="7" spans="1:13">
      <c r="A7" s="13" t="str">
        <f>DatasetsName!$H$1</f>
        <v>Dataset Location</v>
      </c>
      <c r="B7" s="37" t="str">
        <f>INDEX(DatasetsName!A1:J118,MATCH(B1,DatasetsName!B:B, 0),8)</f>
        <v>ts.xpt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1089</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TS</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TS</v>
      </c>
      <c r="B15" s="12" t="s">
        <v>63</v>
      </c>
      <c r="C15" s="12" t="s">
        <v>64</v>
      </c>
      <c r="D15" s="12" t="s">
        <v>57</v>
      </c>
      <c r="E15" s="14" t="str" cm="1">
        <f t="array" aca="1" ref="E15" ca="1">HYPERLINK("#"&amp;CELL("address", INDEX(ControlledTerms!I:I,MATCH(B1,ControlledTerms!I:I,0))),B1)</f>
        <v>TS</v>
      </c>
      <c r="F15" s="12">
        <v>2</v>
      </c>
      <c r="G15" s="12" t="s">
        <v>58</v>
      </c>
      <c r="H15" s="12" t="s">
        <v>82</v>
      </c>
      <c r="I15" s="12">
        <v>2</v>
      </c>
      <c r="J15" s="21" t="s">
        <v>403</v>
      </c>
      <c r="K15" s="12"/>
      <c r="L15" s="12" t="s">
        <v>84</v>
      </c>
      <c r="M15" s="12" t="s">
        <v>62</v>
      </c>
    </row>
    <row r="16" spans="1:13" ht="52.8">
      <c r="A16" s="12" t="str">
        <f>A15</f>
        <v>TS</v>
      </c>
      <c r="B16" s="21" t="s">
        <v>404</v>
      </c>
      <c r="C16" s="21" t="s">
        <v>413</v>
      </c>
      <c r="D16" s="21" t="s">
        <v>101</v>
      </c>
      <c r="E16" s="21"/>
      <c r="F16" s="12">
        <v>3</v>
      </c>
      <c r="G16" s="21" t="s">
        <v>58</v>
      </c>
      <c r="H16" s="21"/>
      <c r="I16" s="12">
        <v>8</v>
      </c>
      <c r="J16" s="6"/>
      <c r="K16" s="12"/>
      <c r="L16" s="21" t="s">
        <v>423</v>
      </c>
      <c r="M16" s="21" t="s">
        <v>62</v>
      </c>
    </row>
    <row r="17" spans="1:13" ht="26.4">
      <c r="A17" s="12" t="str">
        <f t="shared" ref="A17:A24" si="0">A16</f>
        <v>TS</v>
      </c>
      <c r="B17" s="21" t="s">
        <v>405</v>
      </c>
      <c r="C17" s="21" t="s">
        <v>414</v>
      </c>
      <c r="D17" s="21" t="s">
        <v>57</v>
      </c>
      <c r="E17" s="21"/>
      <c r="F17" s="12">
        <v>4</v>
      </c>
      <c r="G17" s="21" t="s">
        <v>58</v>
      </c>
      <c r="H17" s="21"/>
      <c r="I17" s="6"/>
      <c r="J17" s="6"/>
      <c r="K17" s="12"/>
      <c r="L17" s="21" t="s">
        <v>424</v>
      </c>
      <c r="M17" s="21" t="s">
        <v>114</v>
      </c>
    </row>
    <row r="18" spans="1:13" ht="105.6">
      <c r="A18" s="12" t="str">
        <f t="shared" si="0"/>
        <v>TS</v>
      </c>
      <c r="B18" s="21" t="s">
        <v>406</v>
      </c>
      <c r="C18" s="21" t="s">
        <v>415</v>
      </c>
      <c r="D18" s="21" t="s">
        <v>57</v>
      </c>
      <c r="E18" s="14" t="str" cm="1">
        <f t="array" aca="1" ref="E18" ca="1">HYPERLINK("#"&amp;CELL("address", INDEX(ControlledTerms!E:E,MATCH("C66738",ControlledTerms!E:E,0))),"(TSPARMCD)")</f>
        <v>(TSPARMCD)</v>
      </c>
      <c r="F18" s="12">
        <v>5</v>
      </c>
      <c r="G18" s="21" t="s">
        <v>88</v>
      </c>
      <c r="H18" s="21"/>
      <c r="I18" s="6"/>
      <c r="J18" s="21"/>
      <c r="K18" s="12"/>
      <c r="L18" s="21" t="s">
        <v>425</v>
      </c>
      <c r="M18" s="21" t="s">
        <v>62</v>
      </c>
    </row>
    <row r="19" spans="1:13" ht="66">
      <c r="A19" s="12" t="str">
        <f t="shared" si="0"/>
        <v>TS</v>
      </c>
      <c r="B19" s="21" t="s">
        <v>407</v>
      </c>
      <c r="C19" s="21" t="s">
        <v>416</v>
      </c>
      <c r="D19" s="21" t="s">
        <v>57</v>
      </c>
      <c r="E19" s="14" t="str" cm="1">
        <f t="array" aca="1" ref="E19" ca="1">HYPERLINK("#"&amp;CELL("address", INDEX(ControlledTerms!E:E,MATCH("C67152",ControlledTerms!E:E,0))),"(TSPARM)")</f>
        <v>(TSPARM)</v>
      </c>
      <c r="F19" s="12">
        <v>6</v>
      </c>
      <c r="G19" s="21" t="s">
        <v>92</v>
      </c>
      <c r="H19" s="21"/>
      <c r="I19" s="6"/>
      <c r="J19" s="21"/>
      <c r="K19" s="12"/>
      <c r="L19" s="21" t="s">
        <v>426</v>
      </c>
      <c r="M19" s="21" t="s">
        <v>62</v>
      </c>
    </row>
    <row r="20" spans="1:13" ht="92.4">
      <c r="A20" s="12" t="str">
        <f t="shared" si="0"/>
        <v>TS</v>
      </c>
      <c r="B20" s="21" t="s">
        <v>408</v>
      </c>
      <c r="C20" s="21" t="s">
        <v>417</v>
      </c>
      <c r="D20" s="21" t="s">
        <v>57</v>
      </c>
      <c r="E20" s="14"/>
      <c r="F20" s="12">
        <v>7</v>
      </c>
      <c r="G20" s="21" t="s">
        <v>422</v>
      </c>
      <c r="H20" s="21"/>
      <c r="I20" s="6"/>
      <c r="J20" s="21"/>
      <c r="K20" s="12"/>
      <c r="L20" s="21" t="s">
        <v>427</v>
      </c>
      <c r="M20" s="21" t="s">
        <v>126</v>
      </c>
    </row>
    <row r="21" spans="1:13" ht="26.4">
      <c r="A21" s="12" t="str">
        <f t="shared" si="0"/>
        <v>TS</v>
      </c>
      <c r="B21" s="21" t="s">
        <v>409</v>
      </c>
      <c r="C21" s="21" t="s">
        <v>418</v>
      </c>
      <c r="D21" s="21" t="s">
        <v>57</v>
      </c>
      <c r="E21" s="14"/>
      <c r="F21" s="12">
        <v>8</v>
      </c>
      <c r="G21" s="21" t="s">
        <v>422</v>
      </c>
      <c r="H21" s="21"/>
      <c r="I21" s="6"/>
      <c r="J21" s="21"/>
      <c r="K21" s="12"/>
      <c r="L21" s="21" t="s">
        <v>428</v>
      </c>
      <c r="M21" s="21" t="s">
        <v>114</v>
      </c>
    </row>
    <row r="22" spans="1:13" ht="79.2">
      <c r="A22" s="12" t="str">
        <f t="shared" si="0"/>
        <v>TS</v>
      </c>
      <c r="B22" s="12" t="s">
        <v>410</v>
      </c>
      <c r="C22" s="12" t="s">
        <v>419</v>
      </c>
      <c r="D22" s="12" t="s">
        <v>57</v>
      </c>
      <c r="E22" s="12"/>
      <c r="F22" s="12">
        <v>9</v>
      </c>
      <c r="G22" s="12" t="s">
        <v>422</v>
      </c>
      <c r="H22" s="12"/>
      <c r="I22" s="12"/>
      <c r="J22" s="12"/>
      <c r="K22" s="12"/>
      <c r="L22" s="12" t="s">
        <v>429</v>
      </c>
      <c r="M22" s="12" t="s">
        <v>126</v>
      </c>
    </row>
    <row r="23" spans="1:13" ht="52.8">
      <c r="A23" s="12" t="str">
        <f t="shared" si="0"/>
        <v>TS</v>
      </c>
      <c r="B23" s="12" t="s">
        <v>411</v>
      </c>
      <c r="C23" s="12" t="s">
        <v>420</v>
      </c>
      <c r="D23" s="12" t="s">
        <v>57</v>
      </c>
      <c r="E23" s="14" t="str" cm="1">
        <f t="array" aca="1" ref="E23" ca="1">HYPERLINK("#"&amp;CELL("address", INDEX(ControlledTerms!E:E,MATCH("C66788",ControlledTerms!E:E,0))),"(DICTNAM)")</f>
        <v>(DICTNAM)</v>
      </c>
      <c r="F23" s="12">
        <v>10</v>
      </c>
      <c r="G23" s="12" t="s">
        <v>422</v>
      </c>
      <c r="H23" s="12"/>
      <c r="I23" s="12"/>
      <c r="J23" s="12"/>
      <c r="K23" s="12"/>
      <c r="L23" s="12" t="s">
        <v>430</v>
      </c>
      <c r="M23" s="12" t="s">
        <v>126</v>
      </c>
    </row>
    <row r="24" spans="1:13" ht="26.4">
      <c r="A24" s="12" t="str">
        <f t="shared" si="0"/>
        <v>TS</v>
      </c>
      <c r="B24" s="12" t="s">
        <v>412</v>
      </c>
      <c r="C24" s="12" t="s">
        <v>421</v>
      </c>
      <c r="D24" s="12" t="s">
        <v>57</v>
      </c>
      <c r="E24" s="12"/>
      <c r="F24" s="12">
        <v>11</v>
      </c>
      <c r="G24" s="12" t="s">
        <v>422</v>
      </c>
      <c r="H24" s="12"/>
      <c r="I24" s="12"/>
      <c r="J24" s="12"/>
      <c r="K24" s="12"/>
      <c r="L24" s="12" t="s">
        <v>431</v>
      </c>
      <c r="M24" s="12" t="s">
        <v>126</v>
      </c>
    </row>
  </sheetData>
  <autoFilter ref="A13:M15"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417" xr:uid="{88D5F73F-8EFA-4D28-A280-5D39ECA3C0E4}"/>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D09C9-B136-4E12-B8CA-373F77489351}">
  <sheetPr codeName="Sheet14">
    <tabColor rgb="FFFFFF00"/>
  </sheetPr>
  <dimension ref="A1:M26"/>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1095</v>
      </c>
      <c r="C1" s="37"/>
      <c r="D1" s="37"/>
      <c r="E1" s="37"/>
      <c r="F1" s="37"/>
      <c r="G1" s="37"/>
      <c r="H1" s="37"/>
      <c r="I1" s="37"/>
      <c r="J1" s="37"/>
      <c r="K1" s="37"/>
      <c r="L1" s="37"/>
      <c r="M1" s="37"/>
    </row>
    <row r="2" spans="1:13">
      <c r="A2" s="13" t="str">
        <f>DatasetsName!$C$1</f>
        <v>Dataset Description</v>
      </c>
      <c r="B2" s="37" t="str">
        <f>INDEX(DatasetsName!A1:J118,MATCH(B1,DatasetsName!B:B, 0),3)</f>
        <v>Comments</v>
      </c>
      <c r="C2" s="37"/>
      <c r="D2" s="37"/>
      <c r="E2" s="37"/>
      <c r="F2" s="37"/>
      <c r="G2" s="37"/>
      <c r="H2" s="37"/>
      <c r="I2" s="37"/>
      <c r="J2" s="37"/>
      <c r="K2" s="37"/>
      <c r="L2" s="37"/>
      <c r="M2" s="37"/>
    </row>
    <row r="3" spans="1:13">
      <c r="A3" s="13" t="str">
        <f>DatasetsName!$D$1</f>
        <v>Dataset Class</v>
      </c>
      <c r="B3" s="37" t="str">
        <f>INDEX(DatasetsName!A1:J118,MATCH(B1,DatasetsName!B:B, 0),4)</f>
        <v>Special Purpose</v>
      </c>
      <c r="C3" s="37"/>
      <c r="D3" s="37"/>
      <c r="E3" s="37"/>
      <c r="F3" s="37"/>
      <c r="G3" s="37"/>
      <c r="H3" s="37"/>
      <c r="I3" s="37"/>
      <c r="J3" s="37"/>
      <c r="K3" s="37"/>
      <c r="L3" s="37"/>
      <c r="M3" s="37"/>
    </row>
    <row r="4" spans="1:13">
      <c r="A4" s="13" t="str">
        <f>DatasetsName!$E$1</f>
        <v>Dataset Structure</v>
      </c>
      <c r="B4" s="37" t="str">
        <f>INDEX(DatasetsName!A1:J118,MATCH(B1,DatasetsName!B:B, 0),5)</f>
        <v>One record per comment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IDVAR, COREF, CODTC</v>
      </c>
      <c r="C6" s="37"/>
      <c r="D6" s="37"/>
      <c r="E6" s="37"/>
      <c r="F6" s="37"/>
      <c r="G6" s="37"/>
      <c r="H6" s="37"/>
      <c r="I6" s="37"/>
      <c r="J6" s="37"/>
      <c r="K6" s="37"/>
      <c r="L6" s="37"/>
      <c r="M6" s="37"/>
    </row>
    <row r="7" spans="1:13">
      <c r="A7" s="13" t="str">
        <f>DatasetsName!$H$1</f>
        <v>Dataset Location</v>
      </c>
      <c r="B7" s="37" t="str">
        <f>INDEX(DatasetsName!A1:J118,MATCH(B1,DatasetsName!B:B, 0),8)</f>
        <v>co.xpt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1096</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CO</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CO</v>
      </c>
      <c r="B15" s="12" t="s">
        <v>63</v>
      </c>
      <c r="C15" s="12" t="s">
        <v>64</v>
      </c>
      <c r="D15" s="12" t="s">
        <v>57</v>
      </c>
      <c r="E15" s="14" t="str" cm="1">
        <f t="array" aca="1" ref="E15" ca="1">HYPERLINK("#"&amp;CELL("address", INDEX(ControlledTerms!I:I,MATCH(B1,ControlledTerms!I:I,0))),B1)</f>
        <v>CO</v>
      </c>
      <c r="F15" s="12">
        <v>2</v>
      </c>
      <c r="G15" s="12" t="s">
        <v>58</v>
      </c>
      <c r="H15" s="12" t="s">
        <v>82</v>
      </c>
      <c r="I15" s="12">
        <v>2</v>
      </c>
      <c r="J15" s="21" t="s">
        <v>1435</v>
      </c>
      <c r="K15" s="12"/>
      <c r="L15" s="12" t="s">
        <v>84</v>
      </c>
      <c r="M15" s="12" t="s">
        <v>62</v>
      </c>
    </row>
    <row r="16" spans="1:13" ht="66">
      <c r="A16" s="12" t="str">
        <f t="shared" ref="A16:A26" si="0">A15</f>
        <v>CO</v>
      </c>
      <c r="B16" s="21" t="s">
        <v>1436</v>
      </c>
      <c r="C16" s="21" t="s">
        <v>1447</v>
      </c>
      <c r="D16" s="21" t="s">
        <v>57</v>
      </c>
      <c r="E16" s="14" t="str" cm="1">
        <f t="array" aca="1" ref="E16" ca="1">HYPERLINK("#"&amp;CELL("address", INDEX(ControlledTerms!E:E,MATCH("C66734",ControlledTerms!E:E,0))),"(DOMAIN)")</f>
        <v>(DOMAIN)</v>
      </c>
      <c r="F16" s="12">
        <v>3</v>
      </c>
      <c r="G16" s="21" t="s">
        <v>107</v>
      </c>
      <c r="H16" s="21"/>
      <c r="I16" s="12"/>
      <c r="J16" s="6"/>
      <c r="K16" s="12"/>
      <c r="L16" s="21" t="s">
        <v>1457</v>
      </c>
      <c r="M16" s="21" t="s">
        <v>114</v>
      </c>
    </row>
    <row r="17" spans="1:13" ht="52.8">
      <c r="A17" s="12" t="str">
        <f t="shared" si="0"/>
        <v>CO</v>
      </c>
      <c r="B17" s="21" t="s">
        <v>1437</v>
      </c>
      <c r="C17" s="21" t="s">
        <v>1448</v>
      </c>
      <c r="D17" s="21" t="s">
        <v>57</v>
      </c>
      <c r="E17" s="12"/>
      <c r="F17" s="12">
        <v>4</v>
      </c>
      <c r="G17" s="21" t="s">
        <v>58</v>
      </c>
      <c r="H17" s="21"/>
      <c r="I17" s="12"/>
      <c r="J17" s="6"/>
      <c r="K17" s="12"/>
      <c r="L17" s="21" t="s">
        <v>1458</v>
      </c>
      <c r="M17" s="21" t="s">
        <v>62</v>
      </c>
    </row>
    <row r="18" spans="1:13" ht="39.6">
      <c r="A18" s="12" t="str">
        <f t="shared" si="0"/>
        <v>CO</v>
      </c>
      <c r="B18" s="21" t="s">
        <v>1438</v>
      </c>
      <c r="C18" s="21" t="s">
        <v>413</v>
      </c>
      <c r="D18" s="21" t="s">
        <v>101</v>
      </c>
      <c r="E18" s="12"/>
      <c r="F18" s="12">
        <v>5</v>
      </c>
      <c r="G18" s="21" t="s">
        <v>58</v>
      </c>
      <c r="H18" s="21"/>
      <c r="I18" s="12">
        <v>8</v>
      </c>
      <c r="J18" s="21"/>
      <c r="K18" s="12"/>
      <c r="L18" s="21" t="s">
        <v>1459</v>
      </c>
      <c r="M18" s="21" t="s">
        <v>62</v>
      </c>
    </row>
    <row r="19" spans="1:13" ht="92.4">
      <c r="A19" s="12" t="str">
        <f t="shared" si="0"/>
        <v>CO</v>
      </c>
      <c r="B19" s="21" t="s">
        <v>1439</v>
      </c>
      <c r="C19" s="21" t="s">
        <v>1449</v>
      </c>
      <c r="D19" s="21" t="s">
        <v>57</v>
      </c>
      <c r="E19" s="12" t="s">
        <v>87</v>
      </c>
      <c r="F19" s="12">
        <v>6</v>
      </c>
      <c r="G19" s="21" t="s">
        <v>107</v>
      </c>
      <c r="H19" s="21"/>
      <c r="I19" s="12"/>
      <c r="J19" s="21"/>
      <c r="K19" s="12"/>
      <c r="L19" s="21" t="s">
        <v>1460</v>
      </c>
      <c r="M19" s="21" t="s">
        <v>114</v>
      </c>
    </row>
    <row r="20" spans="1:13" ht="66">
      <c r="A20" s="12" t="str">
        <f t="shared" si="0"/>
        <v>CO</v>
      </c>
      <c r="B20" s="21" t="s">
        <v>1440</v>
      </c>
      <c r="C20" s="21" t="s">
        <v>1450</v>
      </c>
      <c r="D20" s="21" t="s">
        <v>57</v>
      </c>
      <c r="E20" s="12"/>
      <c r="F20" s="12">
        <v>7</v>
      </c>
      <c r="G20" s="21" t="s">
        <v>107</v>
      </c>
      <c r="H20" s="21"/>
      <c r="I20" s="12"/>
      <c r="J20" s="21"/>
      <c r="K20" s="12"/>
      <c r="L20" s="21" t="s">
        <v>1461</v>
      </c>
      <c r="M20" s="21" t="s">
        <v>114</v>
      </c>
    </row>
    <row r="21" spans="1:13" ht="92.4">
      <c r="A21" s="12" t="str">
        <f t="shared" si="0"/>
        <v>CO</v>
      </c>
      <c r="B21" s="21" t="s">
        <v>1441</v>
      </c>
      <c r="C21" s="21" t="s">
        <v>1451</v>
      </c>
      <c r="D21" s="21" t="s">
        <v>57</v>
      </c>
      <c r="E21" s="12"/>
      <c r="F21" s="12">
        <v>8</v>
      </c>
      <c r="G21" s="21" t="s">
        <v>107</v>
      </c>
      <c r="H21" s="21"/>
      <c r="I21" s="12"/>
      <c r="J21" s="21"/>
      <c r="K21" s="12"/>
      <c r="L21" s="21" t="s">
        <v>1462</v>
      </c>
      <c r="M21" s="21" t="s">
        <v>114</v>
      </c>
    </row>
    <row r="22" spans="1:13" ht="52.8">
      <c r="A22" s="12" t="str">
        <f t="shared" si="0"/>
        <v>CO</v>
      </c>
      <c r="B22" s="12" t="s">
        <v>1442</v>
      </c>
      <c r="C22" s="12" t="s">
        <v>1452</v>
      </c>
      <c r="D22" s="12" t="s">
        <v>57</v>
      </c>
      <c r="E22" s="12"/>
      <c r="F22" s="12">
        <v>9</v>
      </c>
      <c r="G22" s="12" t="s">
        <v>88</v>
      </c>
      <c r="H22" s="12"/>
      <c r="I22" s="12"/>
      <c r="J22" s="12"/>
      <c r="K22" s="12"/>
      <c r="L22" s="12" t="s">
        <v>1463</v>
      </c>
      <c r="M22" s="12" t="s">
        <v>62</v>
      </c>
    </row>
    <row r="23" spans="1:13" ht="66">
      <c r="A23" s="12" t="str">
        <f t="shared" si="0"/>
        <v>CO</v>
      </c>
      <c r="B23" s="12" t="s">
        <v>1443</v>
      </c>
      <c r="C23" s="12" t="s">
        <v>1453</v>
      </c>
      <c r="D23" s="12" t="s">
        <v>57</v>
      </c>
      <c r="E23" s="14" t="str" cm="1">
        <f t="array" aca="1" ref="E23" ca="1">HYPERLINK("#"&amp;CELL("address", INDEX(ControlledTerms!E:E,MATCH("C78735",ControlledTerms!E:E,0))),"(EVAL)")</f>
        <v>(EVAL)</v>
      </c>
      <c r="F23" s="12">
        <v>10</v>
      </c>
      <c r="G23" s="12" t="s">
        <v>107</v>
      </c>
      <c r="H23" s="12"/>
      <c r="I23" s="12"/>
      <c r="J23" s="12"/>
      <c r="K23" s="12"/>
      <c r="L23" s="12" t="s">
        <v>1464</v>
      </c>
      <c r="M23" s="12" t="s">
        <v>114</v>
      </c>
    </row>
    <row r="24" spans="1:13" ht="52.8">
      <c r="A24" s="12" t="str">
        <f t="shared" si="0"/>
        <v>CO</v>
      </c>
      <c r="B24" s="12" t="s">
        <v>1444</v>
      </c>
      <c r="C24" s="12" t="s">
        <v>1454</v>
      </c>
      <c r="D24" s="12" t="s">
        <v>57</v>
      </c>
      <c r="E24" s="14" t="str" cm="1">
        <f t="array" aca="1" ref="E24" ca="1">HYPERLINK("#"&amp;CELL("address", INDEX(ControlledTerms!E:E,MATCH("C96777",ControlledTerms!E:E,0))),"(MEDEVAL)")</f>
        <v>(MEDEVAL)</v>
      </c>
      <c r="F24" s="12">
        <v>11</v>
      </c>
      <c r="G24" s="12" t="s">
        <v>107</v>
      </c>
      <c r="H24" s="12"/>
      <c r="I24" s="12"/>
      <c r="J24" s="12"/>
      <c r="K24" s="12"/>
      <c r="L24" s="12" t="s">
        <v>1465</v>
      </c>
      <c r="M24" s="12" t="s">
        <v>114</v>
      </c>
    </row>
    <row r="25" spans="1:13" ht="52.8">
      <c r="A25" s="12" t="str">
        <f t="shared" si="0"/>
        <v>CO</v>
      </c>
      <c r="B25" s="12" t="s">
        <v>1445</v>
      </c>
      <c r="C25" s="12" t="s">
        <v>1455</v>
      </c>
      <c r="D25" s="12" t="s">
        <v>57</v>
      </c>
      <c r="E25" s="14" t="str" cm="1">
        <f t="array" aca="1" ref="E25" ca="1">HYPERLINK("#"&amp;CELL("address", INDEX(Format!A:A,MATCH("ISO 8601 datetime or interval",Format!A:A,0))),"ISO 8601 datetime or interval")</f>
        <v>ISO 8601 datetime or interval</v>
      </c>
      <c r="F25" s="12">
        <v>12</v>
      </c>
      <c r="G25" s="12" t="s">
        <v>102</v>
      </c>
      <c r="H25" s="12"/>
      <c r="I25" s="12"/>
      <c r="J25" s="12"/>
      <c r="K25" s="12"/>
      <c r="L25" s="12" t="s">
        <v>1466</v>
      </c>
      <c r="M25" s="12" t="s">
        <v>114</v>
      </c>
    </row>
    <row r="26" spans="1:13" ht="66">
      <c r="A26" s="12" t="str">
        <f t="shared" si="0"/>
        <v>CO</v>
      </c>
      <c r="B26" s="12" t="s">
        <v>1446</v>
      </c>
      <c r="C26" s="12" t="s">
        <v>1456</v>
      </c>
      <c r="D26" s="12" t="s">
        <v>101</v>
      </c>
      <c r="E26" s="12"/>
      <c r="F26" s="12">
        <v>13</v>
      </c>
      <c r="G26" s="12" t="s">
        <v>102</v>
      </c>
      <c r="H26" s="12"/>
      <c r="I26" s="12">
        <v>8</v>
      </c>
      <c r="J26" s="12"/>
      <c r="K26" s="12"/>
      <c r="L26" s="12" t="s">
        <v>1467</v>
      </c>
      <c r="M26" s="12" t="s">
        <v>114</v>
      </c>
    </row>
  </sheetData>
  <autoFilter ref="A13:M1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60" xr:uid="{291C514A-9251-40C4-8C3E-429EDDD99A8A}"/>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8EAEF-1982-4C27-B649-C30DDB5C2FBF}">
  <sheetPr codeName="Sheet15">
    <tabColor rgb="FFFFFF00"/>
  </sheetPr>
  <dimension ref="A1:M45"/>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1109</v>
      </c>
      <c r="C1" s="37"/>
      <c r="D1" s="37"/>
      <c r="E1" s="37"/>
      <c r="F1" s="37"/>
      <c r="G1" s="37"/>
      <c r="H1" s="37"/>
      <c r="I1" s="37"/>
      <c r="J1" s="37"/>
      <c r="K1" s="37"/>
      <c r="L1" s="37"/>
      <c r="M1" s="37"/>
    </row>
    <row r="2" spans="1:13">
      <c r="A2" s="13" t="str">
        <f>DatasetsName!$C$1</f>
        <v>Dataset Description</v>
      </c>
      <c r="B2" s="37" t="str">
        <f>INDEX(DatasetsName!A1:J118,MATCH(B1,DatasetsName!B:B, 0),3)</f>
        <v>Demographics</v>
      </c>
      <c r="C2" s="37"/>
      <c r="D2" s="37"/>
      <c r="E2" s="37"/>
      <c r="F2" s="37"/>
      <c r="G2" s="37"/>
      <c r="H2" s="37"/>
      <c r="I2" s="37"/>
      <c r="J2" s="37"/>
      <c r="K2" s="37"/>
      <c r="L2" s="37"/>
      <c r="M2" s="37"/>
    </row>
    <row r="3" spans="1:13">
      <c r="A3" s="13" t="str">
        <f>DatasetsName!$D$1</f>
        <v>Dataset Class</v>
      </c>
      <c r="B3" s="37" t="str">
        <f>INDEX(DatasetsName!A1:J118,MATCH(B1,DatasetsName!B:B, 0),4)</f>
        <v>Special Purpose</v>
      </c>
      <c r="C3" s="37"/>
      <c r="D3" s="37"/>
      <c r="E3" s="37"/>
      <c r="F3" s="37"/>
      <c r="G3" s="37"/>
      <c r="H3" s="37"/>
      <c r="I3" s="37"/>
      <c r="J3" s="37"/>
      <c r="K3" s="37"/>
      <c r="L3" s="37"/>
      <c r="M3" s="37"/>
    </row>
    <row r="4" spans="1:13">
      <c r="A4" s="13" t="str">
        <f>DatasetsName!$E$1</f>
        <v>Dataset Structure</v>
      </c>
      <c r="B4" s="37" t="str">
        <f>INDEX(DatasetsName!A1:J118,MATCH(B1,DatasetsName!B:B, 0),5)</f>
        <v>One record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v>
      </c>
      <c r="C6" s="37"/>
      <c r="D6" s="37"/>
      <c r="E6" s="37"/>
      <c r="F6" s="37"/>
      <c r="G6" s="37"/>
      <c r="H6" s="37"/>
      <c r="I6" s="37"/>
      <c r="J6" s="37"/>
      <c r="K6" s="37"/>
      <c r="L6" s="37"/>
      <c r="M6" s="37"/>
    </row>
    <row r="7" spans="1:13">
      <c r="A7" s="13" t="str">
        <f>DatasetsName!$H$1</f>
        <v>Dataset Location</v>
      </c>
      <c r="B7" s="37" t="str">
        <f>INDEX(DatasetsName!A1:J118,MATCH(B1,DatasetsName!B:B, 0),8)</f>
        <v>dm.xpt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1937</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DM</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DM</v>
      </c>
      <c r="B15" s="12" t="s">
        <v>63</v>
      </c>
      <c r="C15" s="12" t="s">
        <v>64</v>
      </c>
      <c r="D15" s="12" t="s">
        <v>57</v>
      </c>
      <c r="E15" s="14" t="str" cm="1">
        <f t="array" aca="1" ref="E15" ca="1">HYPERLINK("#"&amp;CELL("address", INDEX(ControlledTerms!I:I,MATCH(B1,ControlledTerms!I:I,0))),B1)</f>
        <v>DM</v>
      </c>
      <c r="F15" s="12">
        <v>2</v>
      </c>
      <c r="G15" s="12" t="s">
        <v>58</v>
      </c>
      <c r="H15" s="12" t="s">
        <v>82</v>
      </c>
      <c r="I15" s="12">
        <v>2</v>
      </c>
      <c r="J15" s="21" t="s">
        <v>2019</v>
      </c>
      <c r="K15" s="12"/>
      <c r="L15" s="12" t="s">
        <v>84</v>
      </c>
      <c r="M15" s="12" t="s">
        <v>62</v>
      </c>
    </row>
    <row r="16" spans="1:13" ht="92.4">
      <c r="A16" s="12" t="str">
        <f t="shared" ref="A16:A45" si="0">A15</f>
        <v>DM</v>
      </c>
      <c r="B16" s="21" t="s">
        <v>1437</v>
      </c>
      <c r="C16" s="21" t="s">
        <v>1448</v>
      </c>
      <c r="D16" s="12" t="s">
        <v>57</v>
      </c>
      <c r="E16" s="12"/>
      <c r="F16" s="12">
        <v>3</v>
      </c>
      <c r="G16" s="21" t="s">
        <v>58</v>
      </c>
      <c r="H16" s="21"/>
      <c r="I16" s="12"/>
      <c r="J16" s="6"/>
      <c r="K16" s="12"/>
      <c r="L16" s="21" t="s">
        <v>1992</v>
      </c>
      <c r="M16" s="21" t="s">
        <v>62</v>
      </c>
    </row>
    <row r="17" spans="1:13" ht="39.6">
      <c r="A17" s="12" t="str">
        <f t="shared" si="0"/>
        <v>DM</v>
      </c>
      <c r="B17" s="21" t="s">
        <v>1938</v>
      </c>
      <c r="C17" s="21" t="s">
        <v>1965</v>
      </c>
      <c r="D17" s="12" t="s">
        <v>57</v>
      </c>
      <c r="E17" s="12"/>
      <c r="F17" s="12">
        <v>4</v>
      </c>
      <c r="G17" s="21" t="s">
        <v>88</v>
      </c>
      <c r="H17" s="21"/>
      <c r="I17" s="12"/>
      <c r="J17" s="6"/>
      <c r="K17" s="12"/>
      <c r="L17" s="21" t="s">
        <v>1993</v>
      </c>
      <c r="M17" s="21" t="s">
        <v>62</v>
      </c>
    </row>
    <row r="18" spans="1:13" ht="92.4">
      <c r="A18" s="12" t="str">
        <f t="shared" si="0"/>
        <v>DM</v>
      </c>
      <c r="B18" s="21" t="s">
        <v>1939</v>
      </c>
      <c r="C18" s="21" t="s">
        <v>1966</v>
      </c>
      <c r="D18" s="12" t="s">
        <v>57</v>
      </c>
      <c r="E18" s="14" t="str" cm="1">
        <f t="array" aca="1" ref="E18" ca="1">HYPERLINK("#"&amp;CELL("address", INDEX(Format!A:A,MATCH("ISO 8601 datetime or interval",Format!A:A,0))),"ISO 8601 datetime or interval")</f>
        <v>ISO 8601 datetime or interval</v>
      </c>
      <c r="F18" s="12">
        <v>5</v>
      </c>
      <c r="G18" s="21" t="s">
        <v>107</v>
      </c>
      <c r="H18" s="21"/>
      <c r="I18" s="12"/>
      <c r="J18" s="21"/>
      <c r="K18" s="12"/>
      <c r="L18" s="21" t="s">
        <v>1994</v>
      </c>
      <c r="M18" s="21" t="s">
        <v>126</v>
      </c>
    </row>
    <row r="19" spans="1:13" ht="118.8">
      <c r="A19" s="12" t="str">
        <f t="shared" si="0"/>
        <v>DM</v>
      </c>
      <c r="B19" s="21" t="s">
        <v>1940</v>
      </c>
      <c r="C19" s="21" t="s">
        <v>1967</v>
      </c>
      <c r="D19" s="12" t="s">
        <v>57</v>
      </c>
      <c r="E19" s="14" t="str" cm="1">
        <f t="array" aca="1" ref="E19" ca="1">HYPERLINK("#"&amp;CELL("address", INDEX(Format!A:A,MATCH("ISO 8601 datetime or interval",Format!A:A,0))),"ISO 8601 datetime or interval")</f>
        <v>ISO 8601 datetime or interval</v>
      </c>
      <c r="F19" s="12">
        <v>6</v>
      </c>
      <c r="G19" s="21" t="s">
        <v>107</v>
      </c>
      <c r="H19" s="21"/>
      <c r="I19" s="12"/>
      <c r="J19" s="21"/>
      <c r="K19" s="12"/>
      <c r="L19" s="21" t="s">
        <v>1995</v>
      </c>
      <c r="M19" s="21" t="s">
        <v>126</v>
      </c>
    </row>
    <row r="20" spans="1:13" ht="52.8">
      <c r="A20" s="12" t="str">
        <f t="shared" si="0"/>
        <v>DM</v>
      </c>
      <c r="B20" s="21" t="s">
        <v>1941</v>
      </c>
      <c r="C20" s="21" t="s">
        <v>1968</v>
      </c>
      <c r="D20" s="12" t="s">
        <v>57</v>
      </c>
      <c r="E20" s="14" t="str" cm="1">
        <f t="array" aca="1" ref="E20" ca="1">HYPERLINK("#"&amp;CELL("address", INDEX(Format!A:A,MATCH("ISO 8601 datetime or interval",Format!A:A,0))),"ISO 8601 datetime or interval")</f>
        <v>ISO 8601 datetime or interval</v>
      </c>
      <c r="F20" s="12">
        <v>7</v>
      </c>
      <c r="G20" s="21" t="s">
        <v>107</v>
      </c>
      <c r="H20" s="21"/>
      <c r="I20" s="12"/>
      <c r="J20" s="21"/>
      <c r="K20" s="12"/>
      <c r="L20" s="21" t="s">
        <v>1996</v>
      </c>
      <c r="M20" s="21" t="s">
        <v>126</v>
      </c>
    </row>
    <row r="21" spans="1:13" ht="79.2">
      <c r="A21" s="12" t="str">
        <f t="shared" si="0"/>
        <v>DM</v>
      </c>
      <c r="B21" s="21" t="s">
        <v>1942</v>
      </c>
      <c r="C21" s="21" t="s">
        <v>1969</v>
      </c>
      <c r="D21" s="12" t="s">
        <v>57</v>
      </c>
      <c r="E21" s="14" t="str" cm="1">
        <f t="array" aca="1" ref="E21" ca="1">HYPERLINK("#"&amp;CELL("address", INDEX(Format!A:A,MATCH("ISO 8601 datetime or interval",Format!A:A,0))),"ISO 8601 datetime or interval")</f>
        <v>ISO 8601 datetime or interval</v>
      </c>
      <c r="F21" s="12">
        <v>8</v>
      </c>
      <c r="G21" s="21" t="s">
        <v>107</v>
      </c>
      <c r="H21" s="21"/>
      <c r="I21" s="12"/>
      <c r="J21" s="21"/>
      <c r="K21" s="12"/>
      <c r="L21" s="21" t="s">
        <v>1997</v>
      </c>
      <c r="M21" s="21" t="s">
        <v>126</v>
      </c>
    </row>
    <row r="22" spans="1:13" ht="79.2">
      <c r="A22" s="12" t="str">
        <f t="shared" si="0"/>
        <v>DM</v>
      </c>
      <c r="B22" s="12" t="s">
        <v>1943</v>
      </c>
      <c r="C22" s="12" t="s">
        <v>1970</v>
      </c>
      <c r="D22" s="12" t="s">
        <v>57</v>
      </c>
      <c r="E22" s="14" t="str" cm="1">
        <f t="array" aca="1" ref="E22" ca="1">HYPERLINK("#"&amp;CELL("address", INDEX(Format!A:A,MATCH("ISO 8601 datetime or interval",Format!A:A,0))),"ISO 8601 datetime or interval")</f>
        <v>ISO 8601 datetime or interval</v>
      </c>
      <c r="F22" s="12">
        <v>9</v>
      </c>
      <c r="G22" s="12" t="s">
        <v>107</v>
      </c>
      <c r="H22" s="12"/>
      <c r="I22" s="12"/>
      <c r="J22" s="12"/>
      <c r="K22" s="12"/>
      <c r="L22" s="12" t="s">
        <v>1998</v>
      </c>
      <c r="M22" s="12" t="s">
        <v>114</v>
      </c>
    </row>
    <row r="23" spans="1:13" ht="118.8">
      <c r="A23" s="12" t="str">
        <f t="shared" si="0"/>
        <v>DM</v>
      </c>
      <c r="B23" s="12" t="s">
        <v>1944</v>
      </c>
      <c r="C23" s="12" t="s">
        <v>1971</v>
      </c>
      <c r="D23" s="12" t="s">
        <v>57</v>
      </c>
      <c r="E23" s="14" t="str" cm="1">
        <f t="array" aca="1" ref="E23" ca="1">HYPERLINK("#"&amp;CELL("address", INDEX(Format!A:A,MATCH("ISO 8601 datetime or interval",Format!A:A,0))),"ISO 8601 datetime or interval")</f>
        <v>ISO 8601 datetime or interval</v>
      </c>
      <c r="F23" s="12">
        <v>10</v>
      </c>
      <c r="G23" s="12" t="s">
        <v>107</v>
      </c>
      <c r="H23" s="12"/>
      <c r="I23" s="12"/>
      <c r="J23" s="12"/>
      <c r="K23" s="12"/>
      <c r="L23" s="12" t="s">
        <v>1999</v>
      </c>
      <c r="M23" s="12" t="s">
        <v>114</v>
      </c>
    </row>
    <row r="24" spans="1:13" ht="92.4">
      <c r="A24" s="12" t="str">
        <f t="shared" si="0"/>
        <v>DM</v>
      </c>
      <c r="B24" s="12" t="s">
        <v>1945</v>
      </c>
      <c r="C24" s="12" t="s">
        <v>1972</v>
      </c>
      <c r="D24" s="12" t="s">
        <v>57</v>
      </c>
      <c r="E24" s="14" t="str" cm="1">
        <f t="array" aca="1" ref="E24" ca="1">HYPERLINK("#"&amp;CELL("address", INDEX(Format!A:A,MATCH("ISO 8601 datetime or interval",Format!A:A,0))),"ISO 8601 datetime or interval")</f>
        <v>ISO 8601 datetime or interval</v>
      </c>
      <c r="F24" s="12">
        <v>11</v>
      </c>
      <c r="G24" s="12" t="s">
        <v>107</v>
      </c>
      <c r="H24" s="12"/>
      <c r="I24" s="12"/>
      <c r="J24" s="12"/>
      <c r="K24" s="12"/>
      <c r="L24" s="12" t="s">
        <v>2000</v>
      </c>
      <c r="M24" s="12" t="s">
        <v>126</v>
      </c>
    </row>
    <row r="25" spans="1:13" ht="118.8">
      <c r="A25" s="12" t="str">
        <f t="shared" si="0"/>
        <v>DM</v>
      </c>
      <c r="B25" s="12" t="s">
        <v>1946</v>
      </c>
      <c r="C25" s="12" t="s">
        <v>1973</v>
      </c>
      <c r="D25" s="12" t="s">
        <v>57</v>
      </c>
      <c r="E25" s="14" t="str" cm="1">
        <f t="array" aca="1" ref="E25" ca="1">HYPERLINK("#"&amp;CELL("address", INDEX(Format!A:A,MATCH("ISO 8601 datetime or interval",Format!A:A,0))),"ISO 8601 datetime or interval")</f>
        <v>ISO 8601 datetime or interval</v>
      </c>
      <c r="F25" s="12">
        <v>12</v>
      </c>
      <c r="G25" s="12" t="s">
        <v>107</v>
      </c>
      <c r="H25" s="12"/>
      <c r="I25" s="12"/>
      <c r="J25" s="12"/>
      <c r="K25" s="12"/>
      <c r="L25" s="12" t="s">
        <v>2001</v>
      </c>
      <c r="M25" s="12" t="s">
        <v>126</v>
      </c>
    </row>
    <row r="26" spans="1:13" ht="52.8">
      <c r="A26" s="12" t="str">
        <f t="shared" si="0"/>
        <v>DM</v>
      </c>
      <c r="B26" s="12" t="s">
        <v>1947</v>
      </c>
      <c r="C26" s="12" t="s">
        <v>1974</v>
      </c>
      <c r="D26" s="12" t="s">
        <v>57</v>
      </c>
      <c r="E26" s="14" t="str" cm="1">
        <f t="array" aca="1" ref="E26" ca="1">HYPERLINK("#"&amp;CELL("address", INDEX(Format!A:A,MATCH("ISO 8601 datetime or interval",Format!A:A,0))),"ISO 8601 datetime or interval")</f>
        <v>ISO 8601 datetime or interval</v>
      </c>
      <c r="F26" s="12">
        <v>13</v>
      </c>
      <c r="G26" s="12" t="s">
        <v>107</v>
      </c>
      <c r="H26" s="12"/>
      <c r="I26" s="12"/>
      <c r="J26" s="12"/>
      <c r="K26" s="12"/>
      <c r="L26" s="12" t="s">
        <v>2002</v>
      </c>
      <c r="M26" s="12" t="s">
        <v>126</v>
      </c>
    </row>
    <row r="27" spans="1:13" ht="39.6">
      <c r="A27" s="12" t="str">
        <f t="shared" si="0"/>
        <v>DM</v>
      </c>
      <c r="B27" s="12" t="s">
        <v>1948</v>
      </c>
      <c r="C27" s="12" t="s">
        <v>1975</v>
      </c>
      <c r="D27" s="12" t="s">
        <v>57</v>
      </c>
      <c r="E27" s="14" t="str" cm="1">
        <f t="array" aca="1" ref="E27" ca="1">HYPERLINK("#"&amp;CELL("address", INDEX(ControlledTerms!E:E,MATCH("C66742",ControlledTerms!E:E,0))),"(NY)")</f>
        <v>(NY)</v>
      </c>
      <c r="F27" s="12">
        <v>14</v>
      </c>
      <c r="G27" s="12" t="s">
        <v>107</v>
      </c>
      <c r="H27" s="12"/>
      <c r="I27" s="12"/>
      <c r="J27" s="12"/>
      <c r="K27" s="12"/>
      <c r="L27" s="12" t="s">
        <v>2003</v>
      </c>
      <c r="M27" s="12" t="s">
        <v>126</v>
      </c>
    </row>
    <row r="28" spans="1:13" ht="26.4">
      <c r="A28" s="12" t="str">
        <f t="shared" si="0"/>
        <v>DM</v>
      </c>
      <c r="B28" s="12" t="s">
        <v>1949</v>
      </c>
      <c r="C28" s="12" t="s">
        <v>1976</v>
      </c>
      <c r="D28" s="12" t="s">
        <v>57</v>
      </c>
      <c r="E28" s="12" t="s">
        <v>87</v>
      </c>
      <c r="F28" s="12">
        <v>15</v>
      </c>
      <c r="G28" s="12" t="s">
        <v>107</v>
      </c>
      <c r="H28" s="12"/>
      <c r="I28" s="12"/>
      <c r="J28" s="12"/>
      <c r="K28" s="12"/>
      <c r="L28" s="12" t="s">
        <v>2004</v>
      </c>
      <c r="M28" s="12" t="s">
        <v>62</v>
      </c>
    </row>
    <row r="29" spans="1:13" ht="52.8">
      <c r="A29" s="12" t="str">
        <f t="shared" si="0"/>
        <v>DM</v>
      </c>
      <c r="B29" s="12" t="s">
        <v>1950</v>
      </c>
      <c r="C29" s="12" t="s">
        <v>1977</v>
      </c>
      <c r="D29" s="12" t="s">
        <v>57</v>
      </c>
      <c r="E29" s="12"/>
      <c r="F29" s="12">
        <v>16</v>
      </c>
      <c r="G29" s="12" t="s">
        <v>107</v>
      </c>
      <c r="H29" s="12"/>
      <c r="I29" s="12"/>
      <c r="J29" s="12"/>
      <c r="K29" s="12"/>
      <c r="L29" s="12" t="s">
        <v>2005</v>
      </c>
      <c r="M29" s="12" t="s">
        <v>114</v>
      </c>
    </row>
    <row r="30" spans="1:13" ht="26.4">
      <c r="A30" s="12" t="str">
        <f t="shared" si="0"/>
        <v>DM</v>
      </c>
      <c r="B30" s="12" t="s">
        <v>1951</v>
      </c>
      <c r="C30" s="12" t="s">
        <v>1978</v>
      </c>
      <c r="D30" s="12" t="s">
        <v>57</v>
      </c>
      <c r="E30" s="12"/>
      <c r="F30" s="12">
        <v>17</v>
      </c>
      <c r="G30" s="12" t="s">
        <v>92</v>
      </c>
      <c r="H30" s="12"/>
      <c r="I30" s="12"/>
      <c r="J30" s="12"/>
      <c r="K30" s="12"/>
      <c r="L30" s="12" t="s">
        <v>2006</v>
      </c>
      <c r="M30" s="12" t="s">
        <v>114</v>
      </c>
    </row>
    <row r="31" spans="1:13" ht="39.6">
      <c r="A31" s="12" t="str">
        <f t="shared" si="0"/>
        <v>DM</v>
      </c>
      <c r="B31" s="12" t="s">
        <v>1952</v>
      </c>
      <c r="C31" s="12" t="s">
        <v>1979</v>
      </c>
      <c r="D31" s="12" t="s">
        <v>57</v>
      </c>
      <c r="E31" s="14" t="str" cm="1">
        <f t="array" aca="1" ref="E31" ca="1">HYPERLINK("#"&amp;CELL("address", INDEX(Format!A:A,MATCH("ISO 8601 datetime or interval",Format!A:A,0))),"ISO 8601 datetime or interval")</f>
        <v>ISO 8601 datetime or interval</v>
      </c>
      <c r="F31" s="12">
        <v>18</v>
      </c>
      <c r="G31" s="12" t="s">
        <v>107</v>
      </c>
      <c r="H31" s="12"/>
      <c r="I31" s="12"/>
      <c r="J31" s="12"/>
      <c r="K31" s="12"/>
      <c r="L31" s="12" t="s">
        <v>2007</v>
      </c>
      <c r="M31" s="12" t="s">
        <v>114</v>
      </c>
    </row>
    <row r="32" spans="1:13" ht="66">
      <c r="A32" s="12" t="str">
        <f t="shared" si="0"/>
        <v>DM</v>
      </c>
      <c r="B32" s="12" t="s">
        <v>1953</v>
      </c>
      <c r="C32" s="12" t="s">
        <v>1980</v>
      </c>
      <c r="D32" s="12" t="s">
        <v>101</v>
      </c>
      <c r="E32" s="12"/>
      <c r="F32" s="12">
        <v>19</v>
      </c>
      <c r="G32" s="12" t="s">
        <v>107</v>
      </c>
      <c r="H32" s="12"/>
      <c r="I32" s="12">
        <v>8</v>
      </c>
      <c r="J32" s="12"/>
      <c r="K32" s="12"/>
      <c r="L32" s="12" t="s">
        <v>2008</v>
      </c>
      <c r="M32" s="12" t="s">
        <v>126</v>
      </c>
    </row>
    <row r="33" spans="1:13" ht="26.4">
      <c r="A33" s="12" t="str">
        <f t="shared" si="0"/>
        <v>DM</v>
      </c>
      <c r="B33" s="12" t="s">
        <v>1954</v>
      </c>
      <c r="C33" s="12" t="s">
        <v>1981</v>
      </c>
      <c r="D33" s="12" t="s">
        <v>57</v>
      </c>
      <c r="E33" s="14" t="str" cm="1">
        <f t="array" aca="1" ref="E33" ca="1">HYPERLINK("#"&amp;CELL("address", INDEX(ControlledTerms!E:E,MATCH("C66781",ControlledTerms!E:E,0))),"(AGEU)")</f>
        <v>(AGEU)</v>
      </c>
      <c r="F33" s="12">
        <v>20</v>
      </c>
      <c r="G33" s="12" t="s">
        <v>329</v>
      </c>
      <c r="H33" s="12"/>
      <c r="I33" s="12"/>
      <c r="J33" s="12"/>
      <c r="K33" s="12"/>
      <c r="L33" s="12" t="s">
        <v>2009</v>
      </c>
      <c r="M33" s="12" t="s">
        <v>126</v>
      </c>
    </row>
    <row r="34" spans="1:13" ht="26.4">
      <c r="A34" s="12" t="str">
        <f t="shared" si="0"/>
        <v>DM</v>
      </c>
      <c r="B34" s="12" t="s">
        <v>1955</v>
      </c>
      <c r="C34" s="12" t="s">
        <v>1982</v>
      </c>
      <c r="D34" s="12" t="s">
        <v>57</v>
      </c>
      <c r="E34" s="14" t="str" cm="1">
        <f t="array" aca="1" ref="E34" ca="1">HYPERLINK("#"&amp;CELL("address", INDEX(ControlledTerms!E:E,MATCH("C66731",ControlledTerms!E:E,0))),"(SEX)")</f>
        <v>(SEX)</v>
      </c>
      <c r="F34" s="12">
        <v>21</v>
      </c>
      <c r="G34" s="12" t="s">
        <v>107</v>
      </c>
      <c r="H34" s="12"/>
      <c r="I34" s="12"/>
      <c r="J34" s="12"/>
      <c r="K34" s="12"/>
      <c r="L34" s="12" t="s">
        <v>2010</v>
      </c>
      <c r="M34" s="12" t="s">
        <v>62</v>
      </c>
    </row>
    <row r="35" spans="1:13" ht="52.8">
      <c r="A35" s="12" t="str">
        <f t="shared" si="0"/>
        <v>DM</v>
      </c>
      <c r="B35" s="12" t="s">
        <v>1956</v>
      </c>
      <c r="C35" s="12" t="s">
        <v>1983</v>
      </c>
      <c r="D35" s="12" t="s">
        <v>57</v>
      </c>
      <c r="E35" s="14" t="str" cm="1">
        <f t="array" aca="1" ref="E35" ca="1">HYPERLINK("#"&amp;CELL("address", INDEX(ControlledTerms!E:E,MATCH("C74457",ControlledTerms!E:E,0))),"(RACE)")</f>
        <v>(RACE)</v>
      </c>
      <c r="F35" s="12">
        <v>22</v>
      </c>
      <c r="G35" s="12" t="s">
        <v>107</v>
      </c>
      <c r="H35" s="12"/>
      <c r="I35" s="12"/>
      <c r="J35" s="12"/>
      <c r="K35" s="12"/>
      <c r="L35" s="12" t="s">
        <v>2134</v>
      </c>
      <c r="M35" s="12" t="s">
        <v>126</v>
      </c>
    </row>
    <row r="36" spans="1:13" ht="39.6">
      <c r="A36" s="12" t="str">
        <f t="shared" si="0"/>
        <v>DM</v>
      </c>
      <c r="B36" s="12" t="s">
        <v>1957</v>
      </c>
      <c r="C36" s="12" t="s">
        <v>1984</v>
      </c>
      <c r="D36" s="12" t="s">
        <v>57</v>
      </c>
      <c r="E36" s="14" t="str" cm="1">
        <f t="array" aca="1" ref="E36" ca="1">HYPERLINK("#"&amp;CELL("address", INDEX(ControlledTerms!E:E,MATCH("C66790",ControlledTerms!E:E,0))),"(ETHNIC)")</f>
        <v>(ETHNIC)</v>
      </c>
      <c r="F36" s="12">
        <v>23</v>
      </c>
      <c r="G36" s="12" t="s">
        <v>107</v>
      </c>
      <c r="H36" s="12"/>
      <c r="I36" s="12"/>
      <c r="J36" s="12"/>
      <c r="K36" s="12"/>
      <c r="L36" s="12" t="s">
        <v>2135</v>
      </c>
      <c r="M36" s="12" t="s">
        <v>114</v>
      </c>
    </row>
    <row r="37" spans="1:13" ht="250.8">
      <c r="A37" s="12" t="str">
        <f t="shared" si="0"/>
        <v>DM</v>
      </c>
      <c r="B37" s="12" t="s">
        <v>85</v>
      </c>
      <c r="C37" s="12" t="s">
        <v>86</v>
      </c>
      <c r="D37" s="12" t="s">
        <v>57</v>
      </c>
      <c r="E37" s="12" t="s">
        <v>87</v>
      </c>
      <c r="F37" s="12">
        <v>24</v>
      </c>
      <c r="G37" s="12" t="s">
        <v>107</v>
      </c>
      <c r="H37" s="12"/>
      <c r="I37" s="12"/>
      <c r="J37" s="12"/>
      <c r="K37" s="12"/>
      <c r="L37" s="12" t="s">
        <v>2011</v>
      </c>
      <c r="M37" s="12" t="s">
        <v>126</v>
      </c>
    </row>
    <row r="38" spans="1:13" ht="92.4">
      <c r="A38" s="12" t="str">
        <f t="shared" si="0"/>
        <v>DM</v>
      </c>
      <c r="B38" s="12" t="s">
        <v>90</v>
      </c>
      <c r="C38" s="12" t="s">
        <v>91</v>
      </c>
      <c r="D38" s="12" t="s">
        <v>57</v>
      </c>
      <c r="E38" s="12" t="s">
        <v>87</v>
      </c>
      <c r="F38" s="12">
        <v>25</v>
      </c>
      <c r="G38" s="12" t="s">
        <v>92</v>
      </c>
      <c r="H38" s="12"/>
      <c r="I38" s="12"/>
      <c r="J38" s="12"/>
      <c r="K38" s="12"/>
      <c r="L38" s="12" t="s">
        <v>2012</v>
      </c>
      <c r="M38" s="12" t="s">
        <v>126</v>
      </c>
    </row>
    <row r="39" spans="1:13" ht="211.2">
      <c r="A39" s="12" t="str">
        <f t="shared" si="0"/>
        <v>DM</v>
      </c>
      <c r="B39" s="12" t="s">
        <v>1958</v>
      </c>
      <c r="C39" s="12" t="s">
        <v>1985</v>
      </c>
      <c r="D39" s="12" t="s">
        <v>57</v>
      </c>
      <c r="E39" s="12" t="s">
        <v>87</v>
      </c>
      <c r="F39" s="12">
        <v>26</v>
      </c>
      <c r="G39" s="12" t="s">
        <v>107</v>
      </c>
      <c r="H39" s="12"/>
      <c r="I39" s="12"/>
      <c r="J39" s="12"/>
      <c r="K39" s="12"/>
      <c r="L39" s="12" t="s">
        <v>2013</v>
      </c>
      <c r="M39" s="12" t="s">
        <v>126</v>
      </c>
    </row>
    <row r="40" spans="1:13" ht="105.6">
      <c r="A40" s="12" t="str">
        <f t="shared" si="0"/>
        <v>DM</v>
      </c>
      <c r="B40" s="12" t="s">
        <v>1959</v>
      </c>
      <c r="C40" s="12" t="s">
        <v>1986</v>
      </c>
      <c r="D40" s="12" t="s">
        <v>57</v>
      </c>
      <c r="E40" s="12" t="s">
        <v>87</v>
      </c>
      <c r="F40" s="12">
        <v>27</v>
      </c>
      <c r="G40" s="12" t="s">
        <v>92</v>
      </c>
      <c r="H40" s="12"/>
      <c r="I40" s="12"/>
      <c r="J40" s="12"/>
      <c r="K40" s="12"/>
      <c r="L40" s="12" t="s">
        <v>2014</v>
      </c>
      <c r="M40" s="12" t="s">
        <v>126</v>
      </c>
    </row>
    <row r="41" spans="1:13" ht="132">
      <c r="A41" s="12" t="str">
        <f t="shared" si="0"/>
        <v>DM</v>
      </c>
      <c r="B41" s="12" t="s">
        <v>1960</v>
      </c>
      <c r="C41" s="12" t="s">
        <v>1987</v>
      </c>
      <c r="D41" s="12" t="s">
        <v>57</v>
      </c>
      <c r="E41" s="14" t="str" cm="1">
        <f t="array" aca="1" ref="E41" ca="1">HYPERLINK("#"&amp;CELL("address", INDEX(ControlledTerms!E:E,MATCH("C142179",ControlledTerms!E:E,0))),"(ARMNULRS)")</f>
        <v>(ARMNULRS)</v>
      </c>
      <c r="F41" s="12">
        <v>28</v>
      </c>
      <c r="G41" s="12" t="s">
        <v>107</v>
      </c>
      <c r="H41" s="12"/>
      <c r="I41" s="12"/>
      <c r="J41" s="12"/>
      <c r="K41" s="12"/>
      <c r="L41" s="12" t="s">
        <v>2015</v>
      </c>
      <c r="M41" s="12" t="s">
        <v>126</v>
      </c>
    </row>
    <row r="42" spans="1:13" ht="39.6">
      <c r="A42" s="12" t="str">
        <f t="shared" si="0"/>
        <v>DM</v>
      </c>
      <c r="B42" s="12" t="s">
        <v>1961</v>
      </c>
      <c r="C42" s="12" t="s">
        <v>1988</v>
      </c>
      <c r="D42" s="12" t="s">
        <v>57</v>
      </c>
      <c r="E42" s="12"/>
      <c r="F42" s="12">
        <v>29</v>
      </c>
      <c r="G42" s="12" t="s">
        <v>107</v>
      </c>
      <c r="H42" s="12"/>
      <c r="I42" s="12"/>
      <c r="J42" s="12"/>
      <c r="K42" s="12"/>
      <c r="L42" s="12" t="s">
        <v>2016</v>
      </c>
      <c r="M42" s="12" t="s">
        <v>126</v>
      </c>
    </row>
    <row r="43" spans="1:13" ht="105.6">
      <c r="A43" s="12" t="str">
        <f t="shared" si="0"/>
        <v>DM</v>
      </c>
      <c r="B43" s="12" t="s">
        <v>1962</v>
      </c>
      <c r="C43" s="12" t="s">
        <v>1989</v>
      </c>
      <c r="D43" s="12" t="s">
        <v>57</v>
      </c>
      <c r="E43" s="14" t="str" cm="1">
        <f t="array" aca="1" ref="E43" ca="1">HYPERLINK("#"&amp;CELL("address", INDEX(Format!A:A,MATCH("ISO 3166-1 Alpha-3",Format!A:A,0))),"ISO 3166-1 Alpha-3")</f>
        <v>ISO 3166-1 Alpha-3</v>
      </c>
      <c r="F43" s="12">
        <v>30</v>
      </c>
      <c r="G43" s="12" t="s">
        <v>107</v>
      </c>
      <c r="H43" s="12"/>
      <c r="I43" s="12"/>
      <c r="J43" s="12"/>
      <c r="K43" s="12"/>
      <c r="L43" s="12" t="s">
        <v>2136</v>
      </c>
      <c r="M43" s="12" t="s">
        <v>62</v>
      </c>
    </row>
    <row r="44" spans="1:13" ht="39.6">
      <c r="A44" s="12" t="str">
        <f t="shared" si="0"/>
        <v>DM</v>
      </c>
      <c r="B44" s="12" t="s">
        <v>1963</v>
      </c>
      <c r="C44" s="12" t="s">
        <v>1990</v>
      </c>
      <c r="D44" s="12" t="s">
        <v>57</v>
      </c>
      <c r="E44" s="14" t="str" cm="1">
        <f t="array" aca="1" ref="E44" ca="1">HYPERLINK("#"&amp;CELL("address", INDEX(Format!A:A,MATCH("ISO 8601 datetime or interval",Format!A:A,0))),"ISO 8601 datetime or interval")</f>
        <v>ISO 8601 datetime or interval</v>
      </c>
      <c r="F44" s="12">
        <v>31</v>
      </c>
      <c r="G44" s="12" t="s">
        <v>102</v>
      </c>
      <c r="H44" s="12"/>
      <c r="I44" s="12"/>
      <c r="J44" s="12"/>
      <c r="K44" s="12"/>
      <c r="L44" s="12" t="s">
        <v>2017</v>
      </c>
      <c r="M44" s="12" t="s">
        <v>114</v>
      </c>
    </row>
    <row r="45" spans="1:13" ht="26.4">
      <c r="A45" s="12" t="str">
        <f t="shared" si="0"/>
        <v>DM</v>
      </c>
      <c r="B45" s="12" t="s">
        <v>1964</v>
      </c>
      <c r="C45" s="12" t="s">
        <v>1991</v>
      </c>
      <c r="D45" s="12" t="s">
        <v>101</v>
      </c>
      <c r="E45" s="12"/>
      <c r="F45" s="12">
        <v>32</v>
      </c>
      <c r="G45" s="12" t="s">
        <v>102</v>
      </c>
      <c r="H45" s="12"/>
      <c r="I45" s="12">
        <v>8</v>
      </c>
      <c r="J45" s="12"/>
      <c r="K45" s="12"/>
      <c r="L45" s="12" t="s">
        <v>2018</v>
      </c>
      <c r="M45" s="12" t="s">
        <v>114</v>
      </c>
    </row>
  </sheetData>
  <autoFilter ref="A13:M45"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62" xr:uid="{30E9E284-32EE-46B2-ABBE-53CE42FF1B62}"/>
  </hyperlink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70A2C-F007-42EC-A53D-07F4A7E3F029}">
  <sheetPr codeName="Sheet16">
    <tabColor rgb="FFFFFF00"/>
  </sheetPr>
  <dimension ref="A1:M26"/>
  <sheetViews>
    <sheetView showGridLines="0" workbookViewId="0">
      <selection activeCell="E22" sqref="E22"/>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1154</v>
      </c>
      <c r="C1" s="37"/>
      <c r="D1" s="37"/>
      <c r="E1" s="37"/>
      <c r="F1" s="37"/>
      <c r="G1" s="37"/>
      <c r="H1" s="37"/>
      <c r="I1" s="37"/>
      <c r="J1" s="37"/>
      <c r="K1" s="37"/>
      <c r="L1" s="37"/>
      <c r="M1" s="37"/>
    </row>
    <row r="2" spans="1:13">
      <c r="A2" s="13" t="str">
        <f>DatasetsName!$C$1</f>
        <v>Dataset Description</v>
      </c>
      <c r="B2" s="37" t="str">
        <f>INDEX(DatasetsName!A1:J118,MATCH(B1,DatasetsName!B:B, 0),3)</f>
        <v>Subject Elements</v>
      </c>
      <c r="C2" s="37"/>
      <c r="D2" s="37"/>
      <c r="E2" s="37"/>
      <c r="F2" s="37"/>
      <c r="G2" s="37"/>
      <c r="H2" s="37"/>
      <c r="I2" s="37"/>
      <c r="J2" s="37"/>
      <c r="K2" s="37"/>
      <c r="L2" s="37"/>
      <c r="M2" s="37"/>
    </row>
    <row r="3" spans="1:13">
      <c r="A3" s="13" t="str">
        <f>DatasetsName!$D$1</f>
        <v>Dataset Class</v>
      </c>
      <c r="B3" s="37" t="str">
        <f>INDEX(DatasetsName!A1:J118,MATCH(B1,DatasetsName!B:B, 0),4)</f>
        <v>Special Purpose</v>
      </c>
      <c r="C3" s="37"/>
      <c r="D3" s="37"/>
      <c r="E3" s="37"/>
      <c r="F3" s="37"/>
      <c r="G3" s="37"/>
      <c r="H3" s="37"/>
      <c r="I3" s="37"/>
      <c r="J3" s="37"/>
      <c r="K3" s="37"/>
      <c r="L3" s="37"/>
      <c r="M3" s="37"/>
    </row>
    <row r="4" spans="1:13">
      <c r="A4" s="13" t="str">
        <f>DatasetsName!$E$1</f>
        <v>Dataset Structure</v>
      </c>
      <c r="B4" s="37" t="str">
        <f>INDEX(DatasetsName!A1:J118,MATCH(B1,DatasetsName!B:B, 0),5)</f>
        <v>One record per actual Element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ETCD, SESTDTC</v>
      </c>
      <c r="C6" s="37"/>
      <c r="D6" s="37"/>
      <c r="E6" s="37"/>
      <c r="F6" s="37"/>
      <c r="G6" s="37"/>
      <c r="H6" s="37"/>
      <c r="I6" s="37"/>
      <c r="J6" s="37"/>
      <c r="K6" s="37"/>
      <c r="L6" s="37"/>
      <c r="M6" s="37"/>
    </row>
    <row r="7" spans="1:13">
      <c r="A7" s="13" t="str">
        <f>DatasetsName!$H$1</f>
        <v>Dataset Location</v>
      </c>
      <c r="B7" s="37" t="str">
        <f>INDEX(DatasetsName!A1:J118,MATCH(B1,DatasetsName!B:B, 0),8)</f>
        <v>se.xpt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2142</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SE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SE</v>
      </c>
      <c r="B15" s="12" t="s">
        <v>63</v>
      </c>
      <c r="C15" s="12" t="s">
        <v>64</v>
      </c>
      <c r="D15" s="12" t="s">
        <v>57</v>
      </c>
      <c r="E15" s="14" t="str" cm="1">
        <f t="array" aca="1" ref="E15" ca="1">HYPERLINK("#"&amp;CELL("address", INDEX(ControlledTerms!I:I,MATCH(B1,ControlledTerms!I:I,0))),B1)</f>
        <v>SE</v>
      </c>
      <c r="F15" s="12">
        <v>2</v>
      </c>
      <c r="G15" s="12" t="s">
        <v>58</v>
      </c>
      <c r="H15" s="12" t="s">
        <v>82</v>
      </c>
      <c r="I15" s="12">
        <v>2</v>
      </c>
      <c r="J15" s="21" t="s">
        <v>2143</v>
      </c>
      <c r="K15" s="12"/>
      <c r="L15" s="12" t="s">
        <v>84</v>
      </c>
      <c r="M15" s="12" t="s">
        <v>62</v>
      </c>
    </row>
    <row r="16" spans="1:13" ht="52.8">
      <c r="A16" s="12" t="str">
        <f t="shared" ref="A16:A26" si="0">A15</f>
        <v>SE</v>
      </c>
      <c r="B16" s="21" t="s">
        <v>1437</v>
      </c>
      <c r="C16" s="21" t="s">
        <v>1448</v>
      </c>
      <c r="D16" s="12" t="s">
        <v>57</v>
      </c>
      <c r="E16" s="12"/>
      <c r="F16" s="12">
        <v>3</v>
      </c>
      <c r="G16" s="21" t="s">
        <v>58</v>
      </c>
      <c r="H16" s="21"/>
      <c r="I16" s="12"/>
      <c r="J16" s="6"/>
      <c r="K16" s="12"/>
      <c r="L16" s="12" t="s">
        <v>1458</v>
      </c>
      <c r="M16" s="12" t="s">
        <v>62</v>
      </c>
    </row>
    <row r="17" spans="1:13" ht="52.8">
      <c r="A17" s="12" t="str">
        <f t="shared" si="0"/>
        <v>SE</v>
      </c>
      <c r="B17" s="21" t="s">
        <v>2144</v>
      </c>
      <c r="C17" s="21" t="s">
        <v>413</v>
      </c>
      <c r="D17" s="12" t="s">
        <v>101</v>
      </c>
      <c r="E17" s="12"/>
      <c r="F17" s="12">
        <v>4</v>
      </c>
      <c r="G17" s="21" t="s">
        <v>58</v>
      </c>
      <c r="H17" s="21"/>
      <c r="I17" s="12"/>
      <c r="J17" s="6"/>
      <c r="K17" s="12"/>
      <c r="L17" s="12" t="s">
        <v>2155</v>
      </c>
      <c r="M17" s="12" t="s">
        <v>62</v>
      </c>
    </row>
    <row r="18" spans="1:13" ht="158.4">
      <c r="A18" s="12" t="str">
        <f t="shared" si="0"/>
        <v>SE</v>
      </c>
      <c r="B18" s="21" t="s">
        <v>105</v>
      </c>
      <c r="C18" s="21" t="s">
        <v>106</v>
      </c>
      <c r="D18" s="12" t="s">
        <v>57</v>
      </c>
      <c r="E18" s="14"/>
      <c r="F18" s="12">
        <v>5</v>
      </c>
      <c r="G18" s="21" t="s">
        <v>88</v>
      </c>
      <c r="H18" s="21"/>
      <c r="I18" s="12"/>
      <c r="J18" s="21"/>
      <c r="K18" s="12"/>
      <c r="L18" s="12" t="s">
        <v>2164</v>
      </c>
      <c r="M18" s="12" t="s">
        <v>62</v>
      </c>
    </row>
    <row r="19" spans="1:13" ht="39.6">
      <c r="A19" s="12" t="str">
        <f t="shared" si="0"/>
        <v>SE</v>
      </c>
      <c r="B19" s="21" t="s">
        <v>111</v>
      </c>
      <c r="C19" s="21" t="s">
        <v>112</v>
      </c>
      <c r="D19" s="12" t="s">
        <v>57</v>
      </c>
      <c r="E19" s="14"/>
      <c r="F19" s="12">
        <v>6</v>
      </c>
      <c r="G19" s="21" t="s">
        <v>92</v>
      </c>
      <c r="H19" s="21"/>
      <c r="I19" s="12"/>
      <c r="J19" s="21"/>
      <c r="K19" s="12"/>
      <c r="L19" s="12" t="s">
        <v>2156</v>
      </c>
      <c r="M19" s="12" t="s">
        <v>114</v>
      </c>
    </row>
    <row r="20" spans="1:13" ht="39.6">
      <c r="A20" s="12" t="str">
        <f t="shared" si="0"/>
        <v>SE</v>
      </c>
      <c r="B20" s="21" t="s">
        <v>99</v>
      </c>
      <c r="C20" s="21" t="s">
        <v>100</v>
      </c>
      <c r="D20" s="12" t="s">
        <v>101</v>
      </c>
      <c r="E20" s="14"/>
      <c r="F20" s="12">
        <v>7</v>
      </c>
      <c r="G20" s="21" t="s">
        <v>102</v>
      </c>
      <c r="H20" s="21"/>
      <c r="I20" s="12"/>
      <c r="J20" s="21"/>
      <c r="K20" s="12"/>
      <c r="L20" s="12" t="s">
        <v>2157</v>
      </c>
      <c r="M20" s="12" t="s">
        <v>114</v>
      </c>
    </row>
    <row r="21" spans="1:13" ht="52.8">
      <c r="A21" s="12" t="str">
        <f t="shared" si="0"/>
        <v>SE</v>
      </c>
      <c r="B21" s="21" t="s">
        <v>119</v>
      </c>
      <c r="C21" s="21" t="s">
        <v>122</v>
      </c>
      <c r="D21" s="12" t="s">
        <v>57</v>
      </c>
      <c r="E21" s="14" t="str" cm="1">
        <f t="array" aca="1" ref="E21" ca="1">HYPERLINK("#"&amp;CELL("address", INDEX(ControlledTerms!E:E,MATCH("C99079",ControlledTerms!E:E,0))),"(EPOCH)")</f>
        <v>(EPOCH)</v>
      </c>
      <c r="F21" s="12">
        <v>8</v>
      </c>
      <c r="G21" s="21" t="s">
        <v>102</v>
      </c>
      <c r="H21" s="21"/>
      <c r="I21" s="12"/>
      <c r="J21" s="21"/>
      <c r="K21" s="12"/>
      <c r="L21" s="12" t="s">
        <v>2158</v>
      </c>
      <c r="M21" s="12" t="s">
        <v>114</v>
      </c>
    </row>
    <row r="22" spans="1:13" ht="39.6">
      <c r="A22" s="12" t="str">
        <f t="shared" si="0"/>
        <v>SE</v>
      </c>
      <c r="B22" s="12" t="s">
        <v>2145</v>
      </c>
      <c r="C22" s="12" t="s">
        <v>2150</v>
      </c>
      <c r="D22" s="12" t="s">
        <v>57</v>
      </c>
      <c r="E22" s="14" t="str" cm="1">
        <f t="array" aca="1" ref="E22" ca="1">HYPERLINK("#"&amp;CELL("address", INDEX(Format!A:A,MATCH("ISO 8601 datetime or interval",Format!A:A,0))),"ISO 8601 datetime or interval")</f>
        <v>ISO 8601 datetime or interval</v>
      </c>
      <c r="F22" s="12">
        <v>9</v>
      </c>
      <c r="G22" s="12" t="s">
        <v>102</v>
      </c>
      <c r="H22" s="12"/>
      <c r="I22" s="12"/>
      <c r="J22" s="12"/>
      <c r="K22" s="12"/>
      <c r="L22" s="12" t="s">
        <v>2159</v>
      </c>
      <c r="M22" s="12" t="s">
        <v>62</v>
      </c>
    </row>
    <row r="23" spans="1:13" ht="39.6">
      <c r="A23" s="12" t="str">
        <f t="shared" si="0"/>
        <v>SE</v>
      </c>
      <c r="B23" s="12" t="s">
        <v>2146</v>
      </c>
      <c r="C23" s="12" t="s">
        <v>2151</v>
      </c>
      <c r="D23" s="12" t="s">
        <v>57</v>
      </c>
      <c r="E23" s="14" t="str" cm="1">
        <f t="array" aca="1" ref="E23" ca="1">HYPERLINK("#"&amp;CELL("address", INDEX(Format!A:A,MATCH("ISO 8601 datetime or interval",Format!A:A,0))),"ISO 8601 datetime or interval")</f>
        <v>ISO 8601 datetime or interval</v>
      </c>
      <c r="F23" s="12">
        <v>10</v>
      </c>
      <c r="G23" s="12" t="s">
        <v>102</v>
      </c>
      <c r="H23" s="12"/>
      <c r="I23" s="12"/>
      <c r="J23" s="12"/>
      <c r="K23" s="12"/>
      <c r="L23" s="12" t="s">
        <v>2160</v>
      </c>
      <c r="M23" s="12" t="s">
        <v>126</v>
      </c>
    </row>
    <row r="24" spans="1:13" ht="26.4">
      <c r="A24" s="12" t="str">
        <f t="shared" si="0"/>
        <v>SE</v>
      </c>
      <c r="B24" s="12" t="s">
        <v>2147</v>
      </c>
      <c r="C24" s="12" t="s">
        <v>2152</v>
      </c>
      <c r="D24" s="12" t="s">
        <v>101</v>
      </c>
      <c r="E24" s="14"/>
      <c r="F24" s="12">
        <v>11</v>
      </c>
      <c r="G24" s="12" t="s">
        <v>102</v>
      </c>
      <c r="H24" s="12"/>
      <c r="I24" s="12"/>
      <c r="J24" s="12"/>
      <c r="K24" s="12"/>
      <c r="L24" s="12" t="s">
        <v>2161</v>
      </c>
      <c r="M24" s="12" t="s">
        <v>114</v>
      </c>
    </row>
    <row r="25" spans="1:13" ht="26.4">
      <c r="A25" s="12" t="str">
        <f t="shared" si="0"/>
        <v>SE</v>
      </c>
      <c r="B25" s="12" t="s">
        <v>2148</v>
      </c>
      <c r="C25" s="12" t="s">
        <v>2153</v>
      </c>
      <c r="D25" s="12" t="s">
        <v>101</v>
      </c>
      <c r="E25" s="14"/>
      <c r="F25" s="12">
        <v>12</v>
      </c>
      <c r="G25" s="12" t="s">
        <v>102</v>
      </c>
      <c r="H25" s="12"/>
      <c r="I25" s="12"/>
      <c r="J25" s="12"/>
      <c r="K25" s="12"/>
      <c r="L25" s="12" t="s">
        <v>2162</v>
      </c>
      <c r="M25" s="12" t="s">
        <v>114</v>
      </c>
    </row>
    <row r="26" spans="1:13" ht="52.8">
      <c r="A26" s="12" t="str">
        <f t="shared" si="0"/>
        <v>SE</v>
      </c>
      <c r="B26" s="12" t="s">
        <v>2149</v>
      </c>
      <c r="C26" s="12" t="s">
        <v>2154</v>
      </c>
      <c r="D26" s="12" t="s">
        <v>57</v>
      </c>
      <c r="E26" s="14"/>
      <c r="F26" s="12">
        <v>13</v>
      </c>
      <c r="G26" s="12" t="s">
        <v>92</v>
      </c>
      <c r="H26" s="12"/>
      <c r="I26" s="12"/>
      <c r="J26" s="12"/>
      <c r="K26" s="12"/>
      <c r="L26" s="12" t="s">
        <v>2163</v>
      </c>
      <c r="M26" s="12" t="s">
        <v>114</v>
      </c>
    </row>
  </sheetData>
  <autoFilter ref="A13:M26"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79" xr:uid="{E01B3DC7-AEEA-4884-B130-7B80410D37A6}"/>
  </hyperlink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380AF-4BA5-480D-BE0C-1E89DAFD3910}">
  <sheetPr codeName="Sheet17">
    <tabColor rgb="FFFFFF00"/>
  </sheetPr>
  <dimension ref="A1:M23"/>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1155</v>
      </c>
      <c r="C1" s="37"/>
      <c r="D1" s="37"/>
      <c r="E1" s="37"/>
      <c r="F1" s="37"/>
      <c r="G1" s="37"/>
      <c r="H1" s="37"/>
      <c r="I1" s="37"/>
      <c r="J1" s="37"/>
      <c r="K1" s="37"/>
      <c r="L1" s="37"/>
      <c r="M1" s="37"/>
    </row>
    <row r="2" spans="1:13">
      <c r="A2" s="13" t="str">
        <f>DatasetsName!$C$1</f>
        <v>Dataset Description</v>
      </c>
      <c r="B2" s="37" t="str">
        <f>INDEX(DatasetsName!A1:J118,MATCH(B1,DatasetsName!B:B, 0),3)</f>
        <v>Subject Disease Milestones</v>
      </c>
      <c r="C2" s="37"/>
      <c r="D2" s="37"/>
      <c r="E2" s="37"/>
      <c r="F2" s="37"/>
      <c r="G2" s="37"/>
      <c r="H2" s="37"/>
      <c r="I2" s="37"/>
      <c r="J2" s="37"/>
      <c r="K2" s="37"/>
      <c r="L2" s="37"/>
      <c r="M2" s="37"/>
    </row>
    <row r="3" spans="1:13">
      <c r="A3" s="13" t="str">
        <f>DatasetsName!$D$1</f>
        <v>Dataset Class</v>
      </c>
      <c r="B3" s="37" t="str">
        <f>INDEX(DatasetsName!A1:J118,MATCH(B1,DatasetsName!B:B, 0),4)</f>
        <v>Special Purpose</v>
      </c>
      <c r="C3" s="37"/>
      <c r="D3" s="37"/>
      <c r="E3" s="37"/>
      <c r="F3" s="37"/>
      <c r="G3" s="37"/>
      <c r="H3" s="37"/>
      <c r="I3" s="37"/>
      <c r="J3" s="37"/>
      <c r="K3" s="37"/>
      <c r="L3" s="37"/>
      <c r="M3" s="37"/>
    </row>
    <row r="4" spans="1:13">
      <c r="A4" s="13" t="str">
        <f>DatasetsName!$E$1</f>
        <v>Dataset Structure</v>
      </c>
      <c r="B4" s="37" t="str">
        <f>INDEX(DatasetsName!A1:J118,MATCH(B1,DatasetsName!B:B, 0),5)</f>
        <v>One record per Disease Milestone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MIDS</v>
      </c>
      <c r="C6" s="37"/>
      <c r="D6" s="37"/>
      <c r="E6" s="37"/>
      <c r="F6" s="37"/>
      <c r="G6" s="37"/>
      <c r="H6" s="37"/>
      <c r="I6" s="37"/>
      <c r="J6" s="37"/>
      <c r="K6" s="37"/>
      <c r="L6" s="37"/>
      <c r="M6" s="37"/>
    </row>
    <row r="7" spans="1:13">
      <c r="A7" s="13" t="str">
        <f>DatasetsName!$H$1</f>
        <v>Dataset Location</v>
      </c>
      <c r="B7" s="37" t="str">
        <f>INDEX(DatasetsName!A1:J118,MATCH(B1,DatasetsName!B:B, 0),8)</f>
        <v>sm.xpt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2169</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SM</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SM</v>
      </c>
      <c r="B15" s="12" t="s">
        <v>63</v>
      </c>
      <c r="C15" s="12" t="s">
        <v>64</v>
      </c>
      <c r="D15" s="12" t="s">
        <v>57</v>
      </c>
      <c r="E15" s="14" t="str" cm="1">
        <f t="array" aca="1" ref="E15" ca="1">HYPERLINK("#"&amp;CELL("address", INDEX(ControlledTerms!I:I,MATCH(B1,ControlledTerms!I:I,0))),B1)</f>
        <v>SM</v>
      </c>
      <c r="F15" s="12">
        <v>2</v>
      </c>
      <c r="G15" s="12" t="s">
        <v>58</v>
      </c>
      <c r="H15" s="12" t="s">
        <v>82</v>
      </c>
      <c r="I15" s="12">
        <v>2</v>
      </c>
      <c r="J15" s="21" t="s">
        <v>2168</v>
      </c>
      <c r="K15" s="12"/>
      <c r="L15" s="12" t="s">
        <v>84</v>
      </c>
      <c r="M15" s="12" t="s">
        <v>62</v>
      </c>
    </row>
    <row r="16" spans="1:13" ht="52.8">
      <c r="A16" s="12" t="str">
        <f t="shared" ref="A16:A23" si="0">A15</f>
        <v>SM</v>
      </c>
      <c r="B16" s="21" t="s">
        <v>1437</v>
      </c>
      <c r="C16" s="21" t="s">
        <v>1448</v>
      </c>
      <c r="D16" s="12" t="s">
        <v>57</v>
      </c>
      <c r="E16" s="12"/>
      <c r="F16" s="12">
        <v>3</v>
      </c>
      <c r="G16" s="21" t="s">
        <v>58</v>
      </c>
      <c r="H16" s="21"/>
      <c r="I16" s="12"/>
      <c r="J16" s="6"/>
      <c r="K16" s="12"/>
      <c r="L16" s="12" t="s">
        <v>1458</v>
      </c>
      <c r="M16" s="12" t="s">
        <v>62</v>
      </c>
    </row>
    <row r="17" spans="1:13" ht="52.8">
      <c r="A17" s="12" t="str">
        <f t="shared" si="0"/>
        <v>SM</v>
      </c>
      <c r="B17" s="21" t="s">
        <v>2170</v>
      </c>
      <c r="C17" s="21" t="s">
        <v>413</v>
      </c>
      <c r="D17" s="12" t="s">
        <v>101</v>
      </c>
      <c r="E17" s="12"/>
      <c r="F17" s="12">
        <v>4</v>
      </c>
      <c r="G17" s="21" t="s">
        <v>58</v>
      </c>
      <c r="H17" s="21"/>
      <c r="I17" s="12">
        <v>8</v>
      </c>
      <c r="J17" s="6"/>
      <c r="K17" s="12"/>
      <c r="L17" s="12" t="s">
        <v>2181</v>
      </c>
      <c r="M17" s="12" t="s">
        <v>62</v>
      </c>
    </row>
    <row r="18" spans="1:13" ht="66">
      <c r="A18" s="12" t="str">
        <f t="shared" si="0"/>
        <v>SM</v>
      </c>
      <c r="B18" s="21" t="s">
        <v>2171</v>
      </c>
      <c r="C18" s="21" t="s">
        <v>2176</v>
      </c>
      <c r="D18" s="12" t="s">
        <v>57</v>
      </c>
      <c r="E18" s="12" t="s">
        <v>87</v>
      </c>
      <c r="F18" s="12">
        <v>5</v>
      </c>
      <c r="G18" s="21" t="s">
        <v>88</v>
      </c>
      <c r="H18" s="21"/>
      <c r="I18" s="12"/>
      <c r="J18" s="21"/>
      <c r="K18" s="12"/>
      <c r="L18" s="12" t="s">
        <v>2182</v>
      </c>
      <c r="M18" s="12" t="s">
        <v>62</v>
      </c>
    </row>
    <row r="19" spans="1:13" ht="26.4">
      <c r="A19" s="12" t="str">
        <f t="shared" si="0"/>
        <v>SM</v>
      </c>
      <c r="B19" s="21" t="s">
        <v>323</v>
      </c>
      <c r="C19" s="21" t="s">
        <v>324</v>
      </c>
      <c r="D19" s="12" t="s">
        <v>57</v>
      </c>
      <c r="E19" s="12" t="s">
        <v>87</v>
      </c>
      <c r="F19" s="12">
        <v>6</v>
      </c>
      <c r="G19" s="21" t="s">
        <v>107</v>
      </c>
      <c r="H19" s="21"/>
      <c r="I19" s="12"/>
      <c r="J19" s="21"/>
      <c r="K19" s="12"/>
      <c r="L19" s="12" t="s">
        <v>353</v>
      </c>
      <c r="M19" s="12" t="s">
        <v>62</v>
      </c>
    </row>
    <row r="20" spans="1:13" ht="52.8">
      <c r="A20" s="12" t="str">
        <f t="shared" si="0"/>
        <v>SM</v>
      </c>
      <c r="B20" s="21" t="s">
        <v>2172</v>
      </c>
      <c r="C20" s="21" t="s">
        <v>2177</v>
      </c>
      <c r="D20" s="12" t="s">
        <v>57</v>
      </c>
      <c r="E20" s="14" t="str" cm="1">
        <f t="array" aca="1" ref="E20" ca="1">HYPERLINK("#"&amp;CELL("address", INDEX(Format!A:A,MATCH("ISO 8601 datetime or interval",Format!A:A,0))),"ISO 8601 datetime or interval")</f>
        <v>ISO 8601 datetime or interval</v>
      </c>
      <c r="F20" s="12">
        <v>7</v>
      </c>
      <c r="G20" s="21" t="s">
        <v>102</v>
      </c>
      <c r="H20" s="21"/>
      <c r="I20" s="12"/>
      <c r="J20" s="21"/>
      <c r="K20" s="12"/>
      <c r="L20" s="12" t="s">
        <v>2183</v>
      </c>
      <c r="M20" s="12" t="s">
        <v>126</v>
      </c>
    </row>
    <row r="21" spans="1:13" ht="39.6">
      <c r="A21" s="12" t="str">
        <f t="shared" si="0"/>
        <v>SM</v>
      </c>
      <c r="B21" s="21" t="s">
        <v>2173</v>
      </c>
      <c r="C21" s="21" t="s">
        <v>2178</v>
      </c>
      <c r="D21" s="12" t="s">
        <v>57</v>
      </c>
      <c r="E21" s="14" t="str" cm="1">
        <f t="array" aca="1" ref="E21" ca="1">HYPERLINK("#"&amp;CELL("address", INDEX(Format!A:A,MATCH("ISO 8601 datetime or interval",Format!A:A,0))),"ISO 8601 datetime or interval")</f>
        <v>ISO 8601 datetime or interval</v>
      </c>
      <c r="F21" s="12">
        <v>8</v>
      </c>
      <c r="G21" s="21" t="s">
        <v>102</v>
      </c>
      <c r="H21" s="21"/>
      <c r="I21" s="12"/>
      <c r="J21" s="21"/>
      <c r="K21" s="12"/>
      <c r="L21" s="12" t="s">
        <v>2184</v>
      </c>
      <c r="M21" s="12" t="s">
        <v>126</v>
      </c>
    </row>
    <row r="22" spans="1:13" ht="39.6">
      <c r="A22" s="12" t="str">
        <f t="shared" si="0"/>
        <v>SM</v>
      </c>
      <c r="B22" s="12" t="s">
        <v>2174</v>
      </c>
      <c r="C22" s="12" t="s">
        <v>2179</v>
      </c>
      <c r="D22" s="12" t="s">
        <v>101</v>
      </c>
      <c r="E22" s="12"/>
      <c r="F22" s="12">
        <v>9</v>
      </c>
      <c r="G22" s="12" t="s">
        <v>102</v>
      </c>
      <c r="H22" s="12"/>
      <c r="I22" s="12">
        <v>8</v>
      </c>
      <c r="J22" s="12"/>
      <c r="K22" s="12"/>
      <c r="L22" s="12" t="s">
        <v>2185</v>
      </c>
      <c r="M22" s="12" t="s">
        <v>126</v>
      </c>
    </row>
    <row r="23" spans="1:13" ht="39.6">
      <c r="A23" s="12" t="str">
        <f t="shared" si="0"/>
        <v>SM</v>
      </c>
      <c r="B23" s="12" t="s">
        <v>2175</v>
      </c>
      <c r="C23" s="12" t="s">
        <v>2180</v>
      </c>
      <c r="D23" s="12" t="s">
        <v>101</v>
      </c>
      <c r="E23" s="12"/>
      <c r="F23" s="12">
        <v>10</v>
      </c>
      <c r="G23" s="12" t="s">
        <v>102</v>
      </c>
      <c r="H23" s="12"/>
      <c r="I23" s="12">
        <v>8</v>
      </c>
      <c r="J23" s="12"/>
      <c r="K23" s="12"/>
      <c r="L23" s="12" t="s">
        <v>2186</v>
      </c>
      <c r="M23" s="12" t="s">
        <v>126</v>
      </c>
    </row>
  </sheetData>
  <autoFilter ref="A13:M23"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84" xr:uid="{956FCFA9-3AE3-4363-A64C-3DDF2FD168F0}"/>
  </hyperlink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CD34B-80AC-4401-A4D2-E2A4D6F3AA42}">
  <sheetPr codeName="Sheet18">
    <tabColor rgb="FFFFFF00"/>
  </sheetPr>
  <dimension ref="A1:M29"/>
  <sheetViews>
    <sheetView showGridLines="0"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1159</v>
      </c>
      <c r="C1" s="37"/>
      <c r="D1" s="37"/>
      <c r="E1" s="37"/>
      <c r="F1" s="37"/>
      <c r="G1" s="37"/>
      <c r="H1" s="37"/>
      <c r="I1" s="37"/>
      <c r="J1" s="37"/>
      <c r="K1" s="37"/>
      <c r="L1" s="37"/>
      <c r="M1" s="37"/>
    </row>
    <row r="2" spans="1:13">
      <c r="A2" s="13" t="str">
        <f>DatasetsName!$C$1</f>
        <v>Dataset Description</v>
      </c>
      <c r="B2" s="37" t="str">
        <f>INDEX(DatasetsName!A1:J118,MATCH(B1,DatasetsName!B:B, 0),3)</f>
        <v>Subject Visits</v>
      </c>
      <c r="C2" s="37"/>
      <c r="D2" s="37"/>
      <c r="E2" s="37"/>
      <c r="F2" s="37"/>
      <c r="G2" s="37"/>
      <c r="H2" s="37"/>
      <c r="I2" s="37"/>
      <c r="J2" s="37"/>
      <c r="K2" s="37"/>
      <c r="L2" s="37"/>
      <c r="M2" s="37"/>
    </row>
    <row r="3" spans="1:13">
      <c r="A3" s="13" t="str">
        <f>DatasetsName!$D$1</f>
        <v>Dataset Class</v>
      </c>
      <c r="B3" s="37" t="str">
        <f>INDEX(DatasetsName!A1:J118,MATCH(B1,DatasetsName!B:B, 0),4)</f>
        <v>Special Purpose</v>
      </c>
      <c r="C3" s="37"/>
      <c r="D3" s="37"/>
      <c r="E3" s="37"/>
      <c r="F3" s="37"/>
      <c r="G3" s="37"/>
      <c r="H3" s="37"/>
      <c r="I3" s="37"/>
      <c r="J3" s="37"/>
      <c r="K3" s="37"/>
      <c r="L3" s="37"/>
      <c r="M3" s="37"/>
    </row>
    <row r="4" spans="1:13">
      <c r="A4" s="13" t="str">
        <f>DatasetsName!$E$1</f>
        <v>Dataset Structure</v>
      </c>
      <c r="B4" s="37" t="str">
        <f>INDEX(DatasetsName!A1:J118,MATCH(B1,DatasetsName!B:B, 0),5)</f>
        <v>One record per actual or planned visit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SVTERM</v>
      </c>
      <c r="C6" s="37"/>
      <c r="D6" s="37"/>
      <c r="E6" s="37"/>
      <c r="F6" s="37"/>
      <c r="G6" s="37"/>
      <c r="H6" s="37"/>
      <c r="I6" s="37"/>
      <c r="J6" s="37"/>
      <c r="K6" s="37"/>
      <c r="L6" s="37"/>
      <c r="M6" s="37"/>
    </row>
    <row r="7" spans="1:13">
      <c r="A7" s="13" t="str">
        <f>DatasetsName!$H$1</f>
        <v>Dataset Location</v>
      </c>
      <c r="B7" s="37" t="str">
        <f>INDEX(DatasetsName!A1:J118,MATCH(B1,DatasetsName!B:B, 0),8)</f>
        <v>sv.xpt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2189</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SV</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SV</v>
      </c>
      <c r="B15" s="12" t="s">
        <v>63</v>
      </c>
      <c r="C15" s="12" t="s">
        <v>64</v>
      </c>
      <c r="D15" s="12" t="s">
        <v>57</v>
      </c>
      <c r="E15" s="14" t="str" cm="1">
        <f t="array" aca="1" ref="E15" ca="1">HYPERLINK("#"&amp;CELL("address", INDEX(ControlledTerms!I:I,MATCH(B1,ControlledTerms!I:I,0))),B1)</f>
        <v>SV</v>
      </c>
      <c r="F15" s="12">
        <v>2</v>
      </c>
      <c r="G15" s="12" t="s">
        <v>58</v>
      </c>
      <c r="H15" s="12" t="s">
        <v>82</v>
      </c>
      <c r="I15" s="12">
        <v>2</v>
      </c>
      <c r="J15" s="21" t="s">
        <v>2168</v>
      </c>
      <c r="K15" s="12"/>
      <c r="L15" s="12" t="s">
        <v>84</v>
      </c>
      <c r="M15" s="12" t="s">
        <v>62</v>
      </c>
    </row>
    <row r="16" spans="1:13" ht="52.8">
      <c r="A16" s="12" t="str">
        <f t="shared" ref="A16:A29" si="0">A15</f>
        <v>SV</v>
      </c>
      <c r="B16" s="21" t="s">
        <v>1437</v>
      </c>
      <c r="C16" s="21" t="s">
        <v>1448</v>
      </c>
      <c r="D16" s="12" t="s">
        <v>57</v>
      </c>
      <c r="E16" s="12"/>
      <c r="F16" s="12">
        <v>3</v>
      </c>
      <c r="G16" s="21" t="s">
        <v>58</v>
      </c>
      <c r="H16" s="21"/>
      <c r="I16" s="12"/>
      <c r="J16" s="6"/>
      <c r="K16" s="12"/>
      <c r="L16" s="12" t="s">
        <v>1458</v>
      </c>
      <c r="M16" s="12" t="s">
        <v>62</v>
      </c>
    </row>
    <row r="17" spans="1:13" ht="26.4">
      <c r="A17" s="12" t="str">
        <f t="shared" si="0"/>
        <v>SV</v>
      </c>
      <c r="B17" s="21" t="s">
        <v>257</v>
      </c>
      <c r="C17" s="21" t="s">
        <v>262</v>
      </c>
      <c r="D17" s="12" t="s">
        <v>101</v>
      </c>
      <c r="E17" s="12"/>
      <c r="F17" s="12">
        <v>4</v>
      </c>
      <c r="G17" s="21" t="s">
        <v>88</v>
      </c>
      <c r="H17" s="21"/>
      <c r="I17" s="12">
        <v>8</v>
      </c>
      <c r="J17" s="6"/>
      <c r="K17" s="12"/>
      <c r="L17" s="12" t="s">
        <v>267</v>
      </c>
      <c r="M17" s="12" t="s">
        <v>62</v>
      </c>
    </row>
    <row r="18" spans="1:13" ht="26.4">
      <c r="A18" s="12" t="str">
        <f t="shared" si="0"/>
        <v>SV</v>
      </c>
      <c r="B18" s="21" t="s">
        <v>258</v>
      </c>
      <c r="C18" s="21" t="s">
        <v>263</v>
      </c>
      <c r="D18" s="12" t="s">
        <v>57</v>
      </c>
      <c r="E18" s="12"/>
      <c r="F18" s="12">
        <v>5</v>
      </c>
      <c r="G18" s="21" t="s">
        <v>92</v>
      </c>
      <c r="H18" s="21"/>
      <c r="I18" s="12"/>
      <c r="J18" s="21"/>
      <c r="K18" s="12"/>
      <c r="L18" s="12" t="s">
        <v>2211</v>
      </c>
      <c r="M18" s="12" t="s">
        <v>114</v>
      </c>
    </row>
    <row r="19" spans="1:13" ht="52.8">
      <c r="A19" s="12" t="str">
        <f t="shared" si="0"/>
        <v>SV</v>
      </c>
      <c r="B19" s="21" t="s">
        <v>2191</v>
      </c>
      <c r="C19" s="21" t="s">
        <v>2192</v>
      </c>
      <c r="D19" s="12" t="s">
        <v>57</v>
      </c>
      <c r="E19" s="14" t="str" cm="1">
        <f t="array" aca="1" ref="E19" ca="1">HYPERLINK("#"&amp;CELL("address", INDEX(ControlledTerms!E:E,MATCH("C66742",ControlledTerms!E:E,0))),"(NY)")</f>
        <v>(NY)</v>
      </c>
      <c r="F19" s="12">
        <v>6</v>
      </c>
      <c r="G19" s="21" t="s">
        <v>329</v>
      </c>
      <c r="H19" s="21"/>
      <c r="I19" s="12"/>
      <c r="J19" s="21"/>
      <c r="K19" s="12"/>
      <c r="L19" s="12" t="s">
        <v>2212</v>
      </c>
      <c r="M19" s="12" t="s">
        <v>126</v>
      </c>
    </row>
    <row r="20" spans="1:13" ht="39.6">
      <c r="A20" s="12" t="str">
        <f t="shared" si="0"/>
        <v>SV</v>
      </c>
      <c r="B20" s="21" t="s">
        <v>2193</v>
      </c>
      <c r="C20" s="21" t="s">
        <v>2194</v>
      </c>
      <c r="D20" s="12" t="s">
        <v>57</v>
      </c>
      <c r="E20" s="14" t="str" cm="1">
        <f t="array" aca="1" ref="E20" ca="1">HYPERLINK("#"&amp;CELL("address", INDEX(ControlledTerms!E:E,MATCH("C66742",ControlledTerms!E:E,0))),"(NY)")</f>
        <v>(NY)</v>
      </c>
      <c r="F20" s="12">
        <v>7</v>
      </c>
      <c r="G20" s="21" t="s">
        <v>107</v>
      </c>
      <c r="H20" s="21"/>
      <c r="I20" s="12"/>
      <c r="J20" s="21"/>
      <c r="K20" s="12"/>
      <c r="L20" s="12" t="s">
        <v>2213</v>
      </c>
      <c r="M20" s="12" t="s">
        <v>126</v>
      </c>
    </row>
    <row r="21" spans="1:13" ht="39.6">
      <c r="A21" s="12" t="str">
        <f t="shared" si="0"/>
        <v>SV</v>
      </c>
      <c r="B21" s="21" t="s">
        <v>2195</v>
      </c>
      <c r="C21" s="21" t="s">
        <v>2196</v>
      </c>
      <c r="D21" s="12" t="s">
        <v>57</v>
      </c>
      <c r="E21" s="14"/>
      <c r="F21" s="12">
        <v>8</v>
      </c>
      <c r="G21" s="21" t="s">
        <v>107</v>
      </c>
      <c r="H21" s="21"/>
      <c r="I21" s="12"/>
      <c r="J21" s="21"/>
      <c r="K21" s="12"/>
      <c r="L21" s="12" t="s">
        <v>2214</v>
      </c>
      <c r="M21" s="12" t="s">
        <v>114</v>
      </c>
    </row>
    <row r="22" spans="1:13" ht="39.6">
      <c r="A22" s="12" t="str">
        <f t="shared" si="0"/>
        <v>SV</v>
      </c>
      <c r="B22" s="12" t="s">
        <v>2197</v>
      </c>
      <c r="C22" s="12" t="s">
        <v>2198</v>
      </c>
      <c r="D22" s="12" t="s">
        <v>57</v>
      </c>
      <c r="E22" s="14" t="str" cm="1">
        <f t="array" aca="1" ref="E22" ca="1">HYPERLINK("#"&amp;CELL("address", INDEX(ControlledTerms!E:E,MATCH("C171445",ControlledTerms!E:E,0))),"(CNTMODE)")</f>
        <v>(CNTMODE)</v>
      </c>
      <c r="F22" s="12">
        <v>9</v>
      </c>
      <c r="G22" s="12" t="s">
        <v>107</v>
      </c>
      <c r="H22" s="12"/>
      <c r="I22" s="12"/>
      <c r="J22" s="12"/>
      <c r="K22" s="12"/>
      <c r="L22" s="12" t="s">
        <v>2215</v>
      </c>
      <c r="M22" s="12" t="s">
        <v>114</v>
      </c>
    </row>
    <row r="23" spans="1:13" ht="39.6">
      <c r="A23" s="12" t="str">
        <f t="shared" si="0"/>
        <v>SV</v>
      </c>
      <c r="B23" s="12" t="s">
        <v>2199</v>
      </c>
      <c r="C23" s="12" t="s">
        <v>2200</v>
      </c>
      <c r="D23" s="12" t="s">
        <v>57</v>
      </c>
      <c r="E23" s="14" t="str" cm="1">
        <f t="array" aca="1" ref="E23" ca="1">HYPERLINK("#"&amp;CELL("address", INDEX(ControlledTerms!E:E,MATCH("C66742",ControlledTerms!E:E,0))),"(NY)")</f>
        <v>(NY)</v>
      </c>
      <c r="F23" s="12">
        <v>10</v>
      </c>
      <c r="G23" s="12" t="s">
        <v>107</v>
      </c>
      <c r="H23" s="12"/>
      <c r="I23" s="12"/>
      <c r="J23" s="12"/>
      <c r="K23" s="12"/>
      <c r="L23" s="12" t="s">
        <v>2216</v>
      </c>
      <c r="M23" s="12" t="s">
        <v>114</v>
      </c>
    </row>
    <row r="24" spans="1:13" ht="26.4">
      <c r="A24" s="12" t="str">
        <f t="shared" si="0"/>
        <v>SV</v>
      </c>
      <c r="B24" s="12" t="s">
        <v>259</v>
      </c>
      <c r="C24" s="12" t="s">
        <v>264</v>
      </c>
      <c r="D24" s="12" t="s">
        <v>101</v>
      </c>
      <c r="E24" s="12"/>
      <c r="F24" s="12">
        <v>11</v>
      </c>
      <c r="G24" s="12" t="s">
        <v>102</v>
      </c>
      <c r="H24" s="12"/>
      <c r="I24" s="12">
        <v>8</v>
      </c>
      <c r="J24" s="12"/>
      <c r="K24" s="12"/>
      <c r="L24" s="12" t="s">
        <v>2217</v>
      </c>
      <c r="M24" s="12" t="s">
        <v>114</v>
      </c>
    </row>
    <row r="25" spans="1:13" ht="39.6">
      <c r="A25" s="12" t="str">
        <f t="shared" si="0"/>
        <v>SV</v>
      </c>
      <c r="B25" s="12" t="s">
        <v>2201</v>
      </c>
      <c r="C25" s="12" t="s">
        <v>2202</v>
      </c>
      <c r="D25" s="12" t="s">
        <v>57</v>
      </c>
      <c r="E25" s="14" t="str" cm="1">
        <f t="array" aca="1" ref="E25" ca="1">HYPERLINK("#"&amp;CELL("address", INDEX(Format!A:A,MATCH("ISO 8601 datetime or interval",Format!A:A,0))),"ISO 8601 datetime or interval")</f>
        <v>ISO 8601 datetime or interval</v>
      </c>
      <c r="F25" s="12">
        <v>12</v>
      </c>
      <c r="G25" s="12" t="s">
        <v>102</v>
      </c>
      <c r="H25" s="12"/>
      <c r="I25" s="12"/>
      <c r="J25" s="12"/>
      <c r="K25" s="12"/>
      <c r="L25" s="12" t="s">
        <v>2218</v>
      </c>
      <c r="M25" s="12" t="s">
        <v>126</v>
      </c>
    </row>
    <row r="26" spans="1:13" ht="39.6">
      <c r="A26" s="12" t="str">
        <f t="shared" si="0"/>
        <v>SV</v>
      </c>
      <c r="B26" s="12" t="s">
        <v>2203</v>
      </c>
      <c r="C26" s="12" t="s">
        <v>2204</v>
      </c>
      <c r="D26" s="12" t="s">
        <v>57</v>
      </c>
      <c r="E26" s="14" t="str" cm="1">
        <f t="array" aca="1" ref="E26" ca="1">HYPERLINK("#"&amp;CELL("address", INDEX(Format!A:A,MATCH("ISO 8601 datetime or interval",Format!A:A,0))),"ISO 8601 datetime or interval")</f>
        <v>ISO 8601 datetime or interval</v>
      </c>
      <c r="F26" s="12">
        <v>13</v>
      </c>
      <c r="G26" s="12" t="s">
        <v>102</v>
      </c>
      <c r="H26" s="12"/>
      <c r="I26" s="12"/>
      <c r="J26" s="12"/>
      <c r="K26" s="12"/>
      <c r="L26" s="12" t="s">
        <v>2219</v>
      </c>
      <c r="M26" s="12" t="s">
        <v>126</v>
      </c>
    </row>
    <row r="27" spans="1:13" ht="52.8">
      <c r="A27" s="12" t="str">
        <f t="shared" si="0"/>
        <v>SV</v>
      </c>
      <c r="B27" s="12" t="s">
        <v>2205</v>
      </c>
      <c r="C27" s="12" t="s">
        <v>2206</v>
      </c>
      <c r="D27" s="12" t="s">
        <v>101</v>
      </c>
      <c r="E27" s="12"/>
      <c r="F27" s="12">
        <v>14</v>
      </c>
      <c r="G27" s="12" t="s">
        <v>102</v>
      </c>
      <c r="H27" s="12"/>
      <c r="I27" s="12">
        <v>8</v>
      </c>
      <c r="J27" s="12"/>
      <c r="K27" s="12"/>
      <c r="L27" s="12" t="s">
        <v>2220</v>
      </c>
      <c r="M27" s="12" t="s">
        <v>114</v>
      </c>
    </row>
    <row r="28" spans="1:13" ht="52.8">
      <c r="A28" s="12" t="str">
        <f t="shared" si="0"/>
        <v>SV</v>
      </c>
      <c r="B28" s="12" t="s">
        <v>2207</v>
      </c>
      <c r="C28" s="12" t="s">
        <v>2208</v>
      </c>
      <c r="D28" s="12" t="s">
        <v>101</v>
      </c>
      <c r="E28" s="12"/>
      <c r="F28" s="12">
        <v>15</v>
      </c>
      <c r="G28" s="12" t="s">
        <v>102</v>
      </c>
      <c r="H28" s="12"/>
      <c r="I28" s="12">
        <v>8</v>
      </c>
      <c r="J28" s="12"/>
      <c r="K28" s="12"/>
      <c r="L28" s="12" t="s">
        <v>2221</v>
      </c>
      <c r="M28" s="12" t="s">
        <v>114</v>
      </c>
    </row>
    <row r="29" spans="1:13" ht="39.6">
      <c r="A29" s="12" t="str">
        <f t="shared" si="0"/>
        <v>SV</v>
      </c>
      <c r="B29" s="12" t="s">
        <v>2209</v>
      </c>
      <c r="C29" s="12" t="s">
        <v>2210</v>
      </c>
      <c r="D29" s="12" t="s">
        <v>57</v>
      </c>
      <c r="E29" s="12"/>
      <c r="F29" s="12">
        <v>16</v>
      </c>
      <c r="G29" s="12" t="s">
        <v>107</v>
      </c>
      <c r="H29" s="12"/>
      <c r="I29" s="12"/>
      <c r="J29" s="12"/>
      <c r="K29" s="12"/>
      <c r="L29" s="12" t="s">
        <v>2222</v>
      </c>
      <c r="M29" s="12" t="s">
        <v>114</v>
      </c>
    </row>
  </sheetData>
  <autoFilter ref="A13:M23"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86" xr:uid="{F6FB6364-A849-4CCB-B0B0-680450F805A2}"/>
  </hyperlink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2BD94-F4C9-4F9C-BA39-0B64597F01DE}">
  <sheetPr codeName="Sheet19">
    <tabColor rgb="FF00B050"/>
  </sheetPr>
  <dimension ref="A1:M54"/>
  <sheetViews>
    <sheetView showGridLines="0" topLeftCell="A34" workbookViewId="0">
      <selection activeCell="E53" sqref="E53"/>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1102</v>
      </c>
      <c r="C1" s="37"/>
      <c r="D1" s="37"/>
      <c r="E1" s="37"/>
      <c r="F1" s="37"/>
      <c r="G1" s="37"/>
      <c r="H1" s="37"/>
      <c r="I1" s="37"/>
      <c r="J1" s="37"/>
      <c r="K1" s="37"/>
      <c r="L1" s="37"/>
      <c r="M1" s="37"/>
    </row>
    <row r="2" spans="1:13">
      <c r="A2" s="13" t="str">
        <f>DatasetsName!$C$1</f>
        <v>Dataset Description</v>
      </c>
      <c r="B2" s="37" t="str">
        <f>INDEX(DatasetsName!A1:J118,MATCH(B1,DatasetsName!B:B, 0),3)</f>
        <v>Concomitant/Prior Medications</v>
      </c>
      <c r="C2" s="37"/>
      <c r="D2" s="37"/>
      <c r="E2" s="37"/>
      <c r="F2" s="37"/>
      <c r="G2" s="37"/>
      <c r="H2" s="37"/>
      <c r="I2" s="37"/>
      <c r="J2" s="37"/>
      <c r="K2" s="37"/>
      <c r="L2" s="37"/>
      <c r="M2" s="37"/>
    </row>
    <row r="3" spans="1:13">
      <c r="A3" s="13" t="str">
        <f>DatasetsName!$D$1</f>
        <v>Dataset Class</v>
      </c>
      <c r="B3" s="37" t="str">
        <f>INDEX(DatasetsName!A1:J118,MATCH(B1,DatasetsName!B:B, 0),4)</f>
        <v>Interventions</v>
      </c>
      <c r="C3" s="37"/>
      <c r="D3" s="37"/>
      <c r="E3" s="37"/>
      <c r="F3" s="37"/>
      <c r="G3" s="37"/>
      <c r="H3" s="37"/>
      <c r="I3" s="37"/>
      <c r="J3" s="37"/>
      <c r="K3" s="37"/>
      <c r="L3" s="37"/>
      <c r="M3" s="37"/>
    </row>
    <row r="4" spans="1:13">
      <c r="A4" s="13" t="str">
        <f>DatasetsName!$E$1</f>
        <v>Dataset Structure</v>
      </c>
      <c r="B4" s="37" t="str">
        <f>INDEX(DatasetsName!A1:J118,MATCH(B1,DatasetsName!B:B, 0),5)</f>
        <v>One record per recorded intervention occurrence or constant-dosing interval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CMTRT, CMSTDTC</v>
      </c>
      <c r="C6" s="37"/>
      <c r="D6" s="37"/>
      <c r="E6" s="37"/>
      <c r="F6" s="37"/>
      <c r="G6" s="37"/>
      <c r="H6" s="37"/>
      <c r="I6" s="37"/>
      <c r="J6" s="37"/>
      <c r="K6" s="37"/>
      <c r="L6" s="37"/>
      <c r="M6" s="37"/>
    </row>
    <row r="7" spans="1:13">
      <c r="A7" s="13" t="str">
        <f>DatasetsName!$H$1</f>
        <v>Dataset Location</v>
      </c>
      <c r="B7" s="37" t="str">
        <f>INDEX(DatasetsName!A1:J118,MATCH(B1,DatasetsName!B:B, 0),8)</f>
        <v>cm.xpt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7930</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CM</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CM</v>
      </c>
      <c r="B15" s="12" t="s">
        <v>63</v>
      </c>
      <c r="C15" s="12" t="s">
        <v>64</v>
      </c>
      <c r="D15" s="12" t="s">
        <v>57</v>
      </c>
      <c r="E15" s="14" t="str" cm="1">
        <f t="array" aca="1" ref="E15" ca="1">HYPERLINK("#"&amp;CELL("address", INDEX(ControlledTerms!I:I,MATCH(B1,ControlledTerms!I:I,0))),B1)</f>
        <v>CM</v>
      </c>
      <c r="F15" s="12">
        <v>2</v>
      </c>
      <c r="G15" s="12" t="s">
        <v>58</v>
      </c>
      <c r="H15" s="12" t="s">
        <v>82</v>
      </c>
      <c r="I15" s="12">
        <v>2</v>
      </c>
      <c r="J15" s="21" t="s">
        <v>2258</v>
      </c>
      <c r="K15" s="12"/>
      <c r="L15" s="12" t="s">
        <v>84</v>
      </c>
      <c r="M15" s="12" t="s">
        <v>62</v>
      </c>
    </row>
    <row r="16" spans="1:13" ht="52.8">
      <c r="A16" s="12" t="str">
        <f t="shared" ref="A16:A54" si="0">A15</f>
        <v>CM</v>
      </c>
      <c r="B16" s="21" t="s">
        <v>1437</v>
      </c>
      <c r="C16" s="21" t="s">
        <v>1448</v>
      </c>
      <c r="D16" s="12" t="s">
        <v>57</v>
      </c>
      <c r="E16" s="12"/>
      <c r="F16" s="12">
        <v>3</v>
      </c>
      <c r="G16" s="21" t="s">
        <v>58</v>
      </c>
      <c r="H16" s="21"/>
      <c r="I16" s="12"/>
      <c r="J16" s="6"/>
      <c r="K16" s="12"/>
      <c r="L16" s="12" t="s">
        <v>1458</v>
      </c>
      <c r="M16" s="12" t="s">
        <v>62</v>
      </c>
    </row>
    <row r="17" spans="1:13" ht="39.6">
      <c r="A17" s="12" t="str">
        <f t="shared" si="0"/>
        <v>CM</v>
      </c>
      <c r="B17" s="21" t="s">
        <v>2259</v>
      </c>
      <c r="C17" s="21" t="s">
        <v>413</v>
      </c>
      <c r="D17" s="12" t="s">
        <v>101</v>
      </c>
      <c r="E17" s="12"/>
      <c r="F17" s="12">
        <v>4</v>
      </c>
      <c r="G17" s="21" t="s">
        <v>58</v>
      </c>
      <c r="H17" s="21"/>
      <c r="I17" s="12">
        <v>8</v>
      </c>
      <c r="J17" s="6"/>
      <c r="K17" s="12"/>
      <c r="L17" s="12" t="s">
        <v>2325</v>
      </c>
      <c r="M17" s="12" t="s">
        <v>62</v>
      </c>
    </row>
    <row r="18" spans="1:13" ht="39.6">
      <c r="A18" s="12" t="str">
        <f t="shared" si="0"/>
        <v>CM</v>
      </c>
      <c r="B18" s="21" t="s">
        <v>2260</v>
      </c>
      <c r="C18" s="21" t="s">
        <v>414</v>
      </c>
      <c r="D18" s="12" t="s">
        <v>57</v>
      </c>
      <c r="E18" s="12"/>
      <c r="F18" s="12">
        <v>5</v>
      </c>
      <c r="G18" s="21" t="s">
        <v>58</v>
      </c>
      <c r="H18" s="21"/>
      <c r="I18" s="12"/>
      <c r="J18" s="21"/>
      <c r="K18" s="12"/>
      <c r="L18" s="12" t="s">
        <v>2326</v>
      </c>
      <c r="M18" s="12" t="s">
        <v>114</v>
      </c>
    </row>
    <row r="19" spans="1:13" ht="92.4">
      <c r="A19" s="12" t="str">
        <f t="shared" si="0"/>
        <v>CM</v>
      </c>
      <c r="B19" s="21" t="s">
        <v>2261</v>
      </c>
      <c r="C19" s="21" t="s">
        <v>2262</v>
      </c>
      <c r="D19" s="12" t="s">
        <v>57</v>
      </c>
      <c r="E19" s="14"/>
      <c r="F19" s="12">
        <v>6</v>
      </c>
      <c r="G19" s="21" t="s">
        <v>58</v>
      </c>
      <c r="H19" s="21"/>
      <c r="I19" s="12"/>
      <c r="J19" s="21"/>
      <c r="K19" s="12"/>
      <c r="L19" s="12" t="s">
        <v>2327</v>
      </c>
      <c r="M19" s="12" t="s">
        <v>114</v>
      </c>
    </row>
    <row r="20" spans="1:13" ht="39.6">
      <c r="A20" s="12" t="str">
        <f t="shared" si="0"/>
        <v>CM</v>
      </c>
      <c r="B20" s="21" t="s">
        <v>2263</v>
      </c>
      <c r="C20" s="21" t="s">
        <v>2264</v>
      </c>
      <c r="D20" s="12" t="s">
        <v>57</v>
      </c>
      <c r="E20" s="14"/>
      <c r="F20" s="12">
        <v>7</v>
      </c>
      <c r="G20" s="21" t="s">
        <v>88</v>
      </c>
      <c r="H20" s="21"/>
      <c r="I20" s="12"/>
      <c r="J20" s="21"/>
      <c r="K20" s="12"/>
      <c r="L20" s="12" t="s">
        <v>2328</v>
      </c>
      <c r="M20" s="12" t="s">
        <v>62</v>
      </c>
    </row>
    <row r="21" spans="1:13" ht="39.6">
      <c r="A21" s="12" t="str">
        <f t="shared" si="0"/>
        <v>CM</v>
      </c>
      <c r="B21" s="21" t="s">
        <v>2265</v>
      </c>
      <c r="C21" s="21" t="s">
        <v>2266</v>
      </c>
      <c r="D21" s="12" t="s">
        <v>57</v>
      </c>
      <c r="E21" s="14"/>
      <c r="F21" s="12">
        <v>8</v>
      </c>
      <c r="G21" s="21" t="s">
        <v>92</v>
      </c>
      <c r="H21" s="21"/>
      <c r="I21" s="12"/>
      <c r="J21" s="21"/>
      <c r="K21" s="12"/>
      <c r="L21" s="12" t="s">
        <v>2329</v>
      </c>
      <c r="M21" s="12" t="s">
        <v>114</v>
      </c>
    </row>
    <row r="22" spans="1:13" ht="145.19999999999999">
      <c r="A22" s="12" t="str">
        <f t="shared" si="0"/>
        <v>CM</v>
      </c>
      <c r="B22" s="12" t="s">
        <v>2267</v>
      </c>
      <c r="C22" s="12" t="s">
        <v>2268</v>
      </c>
      <c r="D22" s="12" t="s">
        <v>57</v>
      </c>
      <c r="E22" s="14"/>
      <c r="F22" s="12">
        <v>9</v>
      </c>
      <c r="G22" s="12" t="s">
        <v>92</v>
      </c>
      <c r="H22" s="12"/>
      <c r="I22" s="12"/>
      <c r="J22" s="12"/>
      <c r="K22" s="12"/>
      <c r="L22" s="12" t="s">
        <v>2330</v>
      </c>
      <c r="M22" s="12" t="s">
        <v>114</v>
      </c>
    </row>
    <row r="23" spans="1:13" ht="66">
      <c r="A23" s="12" t="str">
        <f t="shared" si="0"/>
        <v>CM</v>
      </c>
      <c r="B23" s="12" t="s">
        <v>2269</v>
      </c>
      <c r="C23" s="12" t="s">
        <v>2270</v>
      </c>
      <c r="D23" s="12" t="s">
        <v>57</v>
      </c>
      <c r="E23" s="14"/>
      <c r="F23" s="12">
        <v>10</v>
      </c>
      <c r="G23" s="12" t="s">
        <v>387</v>
      </c>
      <c r="H23" s="12"/>
      <c r="I23" s="12"/>
      <c r="J23" s="12"/>
      <c r="K23" s="12"/>
      <c r="L23" s="12" t="s">
        <v>2331</v>
      </c>
      <c r="M23" s="12" t="s">
        <v>114</v>
      </c>
    </row>
    <row r="24" spans="1:13" ht="66">
      <c r="A24" s="12" t="str">
        <f t="shared" si="0"/>
        <v>CM</v>
      </c>
      <c r="B24" s="12" t="s">
        <v>2271</v>
      </c>
      <c r="C24" s="12" t="s">
        <v>2272</v>
      </c>
      <c r="D24" s="12" t="s">
        <v>57</v>
      </c>
      <c r="E24" s="12"/>
      <c r="F24" s="12">
        <v>11</v>
      </c>
      <c r="G24" s="12" t="s">
        <v>387</v>
      </c>
      <c r="H24" s="12"/>
      <c r="I24" s="12">
        <v>8</v>
      </c>
      <c r="J24" s="12"/>
      <c r="K24" s="12"/>
      <c r="L24" s="12" t="s">
        <v>2332</v>
      </c>
      <c r="M24" s="12" t="s">
        <v>114</v>
      </c>
    </row>
    <row r="25" spans="1:13" ht="39.6">
      <c r="A25" s="12" t="str">
        <f t="shared" si="0"/>
        <v>CM</v>
      </c>
      <c r="B25" s="12" t="s">
        <v>2273</v>
      </c>
      <c r="C25" s="12" t="s">
        <v>2274</v>
      </c>
      <c r="D25" s="12" t="s">
        <v>57</v>
      </c>
      <c r="E25" s="14" t="str" cm="1">
        <f t="array" aca="1" ref="E25" ca="1">HYPERLINK("#"&amp;CELL("address", INDEX(ControlledTerms!E:E,MATCH("C66742",ControlledTerms!E:E,0))),"(NY)")</f>
        <v>(NY)</v>
      </c>
      <c r="F25" s="12">
        <v>12</v>
      </c>
      <c r="G25" s="12" t="s">
        <v>329</v>
      </c>
      <c r="H25" s="12"/>
      <c r="I25" s="12"/>
      <c r="J25" s="12"/>
      <c r="K25" s="12"/>
      <c r="L25" s="12" t="s">
        <v>2333</v>
      </c>
      <c r="M25" s="12" t="s">
        <v>114</v>
      </c>
    </row>
    <row r="26" spans="1:13" ht="79.2">
      <c r="A26" s="12" t="str">
        <f t="shared" si="0"/>
        <v>CM</v>
      </c>
      <c r="B26" s="12" t="s">
        <v>2275</v>
      </c>
      <c r="C26" s="12" t="s">
        <v>2276</v>
      </c>
      <c r="D26" s="12" t="s">
        <v>57</v>
      </c>
      <c r="E26" s="14" t="str" cm="1">
        <f t="array" aca="1" ref="E26" ca="1">HYPERLINK("#"&amp;CELL("address", INDEX(ControlledTerms!E:E,MATCH("C66742",ControlledTerms!E:E,0))),"(NY)")</f>
        <v>(NY)</v>
      </c>
      <c r="F26" s="12">
        <v>13</v>
      </c>
      <c r="G26" s="12" t="s">
        <v>107</v>
      </c>
      <c r="H26" s="12"/>
      <c r="I26" s="12"/>
      <c r="J26" s="12"/>
      <c r="K26" s="12"/>
      <c r="L26" s="12" t="s">
        <v>2334</v>
      </c>
      <c r="M26" s="12" t="s">
        <v>114</v>
      </c>
    </row>
    <row r="27" spans="1:13" ht="52.8">
      <c r="A27" s="12" t="str">
        <f t="shared" si="0"/>
        <v>CM</v>
      </c>
      <c r="B27" s="12" t="s">
        <v>2277</v>
      </c>
      <c r="C27" s="12" t="s">
        <v>2278</v>
      </c>
      <c r="D27" s="12" t="s">
        <v>57</v>
      </c>
      <c r="E27" s="14" t="str" cm="1">
        <f t="array" aca="1" ref="E27" ca="1">HYPERLINK("#"&amp;CELL("address", INDEX(ControlledTerms!E:E,MATCH("C66789",ControlledTerms!E:E,0))),"(ND)")</f>
        <v>(ND)</v>
      </c>
      <c r="F27" s="12">
        <v>14</v>
      </c>
      <c r="G27" s="12" t="s">
        <v>107</v>
      </c>
      <c r="H27" s="12"/>
      <c r="I27" s="12">
        <v>8</v>
      </c>
      <c r="J27" s="12"/>
      <c r="K27" s="12"/>
      <c r="L27" s="12" t="s">
        <v>2335</v>
      </c>
      <c r="M27" s="12" t="s">
        <v>114</v>
      </c>
    </row>
    <row r="28" spans="1:13" ht="39.6">
      <c r="A28" s="12" t="str">
        <f t="shared" si="0"/>
        <v>CM</v>
      </c>
      <c r="B28" s="12" t="s">
        <v>2279</v>
      </c>
      <c r="C28" s="12" t="s">
        <v>2280</v>
      </c>
      <c r="D28" s="12" t="s">
        <v>57</v>
      </c>
      <c r="E28" s="12"/>
      <c r="F28" s="12">
        <v>15</v>
      </c>
      <c r="G28" s="12" t="s">
        <v>107</v>
      </c>
      <c r="H28" s="12"/>
      <c r="I28" s="12">
        <v>8</v>
      </c>
      <c r="J28" s="12"/>
      <c r="K28" s="12"/>
      <c r="L28" s="12" t="s">
        <v>2336</v>
      </c>
      <c r="M28" s="12" t="s">
        <v>114</v>
      </c>
    </row>
    <row r="29" spans="1:13" ht="39.6">
      <c r="A29" s="12" t="str">
        <f t="shared" si="0"/>
        <v>CM</v>
      </c>
      <c r="B29" s="12" t="s">
        <v>2281</v>
      </c>
      <c r="C29" s="12" t="s">
        <v>2282</v>
      </c>
      <c r="D29" s="12" t="s">
        <v>57</v>
      </c>
      <c r="E29" s="12"/>
      <c r="F29" s="12">
        <v>16</v>
      </c>
      <c r="G29" s="12" t="s">
        <v>107</v>
      </c>
      <c r="H29" s="12"/>
      <c r="I29" s="12"/>
      <c r="J29" s="12"/>
      <c r="K29" s="12"/>
      <c r="L29" s="12" t="s">
        <v>2337</v>
      </c>
      <c r="M29" s="12" t="s">
        <v>114</v>
      </c>
    </row>
    <row r="30" spans="1:13" ht="92.4">
      <c r="A30" s="12" t="str">
        <f t="shared" si="0"/>
        <v>CM</v>
      </c>
      <c r="B30" s="12" t="s">
        <v>2283</v>
      </c>
      <c r="C30" s="12" t="s">
        <v>2284</v>
      </c>
      <c r="D30" s="12" t="s">
        <v>57</v>
      </c>
      <c r="E30" s="12"/>
      <c r="F30" s="12">
        <v>17</v>
      </c>
      <c r="G30" s="12" t="s">
        <v>329</v>
      </c>
      <c r="H30" s="12"/>
      <c r="I30" s="12"/>
      <c r="J30" s="12"/>
      <c r="K30" s="12"/>
      <c r="L30" s="12" t="s">
        <v>2338</v>
      </c>
      <c r="M30" s="12" t="s">
        <v>114</v>
      </c>
    </row>
    <row r="31" spans="1:13" ht="118.8">
      <c r="A31" s="12" t="str">
        <f t="shared" si="0"/>
        <v>CM</v>
      </c>
      <c r="B31" s="12" t="s">
        <v>2285</v>
      </c>
      <c r="C31" s="12" t="s">
        <v>2286</v>
      </c>
      <c r="D31" s="12" t="s">
        <v>57</v>
      </c>
      <c r="E31" s="12"/>
      <c r="F31" s="12">
        <v>18</v>
      </c>
      <c r="G31" s="12" t="s">
        <v>329</v>
      </c>
      <c r="H31" s="12"/>
      <c r="I31" s="12"/>
      <c r="J31" s="12"/>
      <c r="K31" s="12"/>
      <c r="L31" s="12" t="s">
        <v>2339</v>
      </c>
      <c r="M31" s="12" t="s">
        <v>114</v>
      </c>
    </row>
    <row r="32" spans="1:13" ht="26.4">
      <c r="A32" s="12" t="str">
        <f t="shared" si="0"/>
        <v>CM</v>
      </c>
      <c r="B32" s="12" t="s">
        <v>2287</v>
      </c>
      <c r="C32" s="12" t="s">
        <v>1011</v>
      </c>
      <c r="D32" s="12" t="s">
        <v>101</v>
      </c>
      <c r="E32" s="12"/>
      <c r="F32" s="12">
        <v>19</v>
      </c>
      <c r="G32" s="12" t="s">
        <v>107</v>
      </c>
      <c r="H32" s="12"/>
      <c r="I32" s="12"/>
      <c r="J32" s="12"/>
      <c r="K32" s="12"/>
      <c r="L32" s="12" t="s">
        <v>2340</v>
      </c>
      <c r="M32" s="12" t="s">
        <v>114</v>
      </c>
    </row>
    <row r="33" spans="1:13" ht="66">
      <c r="A33" s="12" t="str">
        <f t="shared" si="0"/>
        <v>CM</v>
      </c>
      <c r="B33" s="12" t="s">
        <v>2288</v>
      </c>
      <c r="C33" s="12" t="s">
        <v>2289</v>
      </c>
      <c r="D33" s="12" t="s">
        <v>57</v>
      </c>
      <c r="E33" s="12"/>
      <c r="F33" s="12">
        <v>20</v>
      </c>
      <c r="G33" s="12" t="s">
        <v>107</v>
      </c>
      <c r="H33" s="12"/>
      <c r="I33" s="12"/>
      <c r="J33" s="12"/>
      <c r="K33" s="12"/>
      <c r="L33" s="12" t="s">
        <v>2341</v>
      </c>
      <c r="M33" s="12" t="s">
        <v>114</v>
      </c>
    </row>
    <row r="34" spans="1:13" ht="39.6">
      <c r="A34" s="12" t="str">
        <f t="shared" si="0"/>
        <v>CM</v>
      </c>
      <c r="B34" s="12" t="s">
        <v>2290</v>
      </c>
      <c r="C34" s="12" t="s">
        <v>754</v>
      </c>
      <c r="D34" s="12" t="s">
        <v>57</v>
      </c>
      <c r="E34" s="14" t="str" cm="1">
        <f t="array" aca="1" ref="E34" ca="1">HYPERLINK("#"&amp;CELL("address", INDEX(ControlledTerms!E:E,MATCH("C71620",ControlledTerms!E:E,0))),"(UNIT)")</f>
        <v>(UNIT)</v>
      </c>
      <c r="F34" s="12">
        <v>21</v>
      </c>
      <c r="G34" s="12" t="s">
        <v>329</v>
      </c>
      <c r="H34" s="12"/>
      <c r="I34" s="12"/>
      <c r="J34" s="12"/>
      <c r="K34" s="12"/>
      <c r="L34" s="12" t="s">
        <v>2342</v>
      </c>
      <c r="M34" s="12" t="s">
        <v>114</v>
      </c>
    </row>
    <row r="35" spans="1:13" ht="26.4">
      <c r="A35" s="12" t="str">
        <f t="shared" si="0"/>
        <v>CM</v>
      </c>
      <c r="B35" s="12" t="s">
        <v>2291</v>
      </c>
      <c r="C35" s="12" t="s">
        <v>746</v>
      </c>
      <c r="D35" s="12" t="s">
        <v>57</v>
      </c>
      <c r="E35" s="14" t="str" cm="1">
        <f t="array" aca="1" ref="E35" ca="1">HYPERLINK("#"&amp;CELL("address", INDEX(ControlledTerms!E:E,MATCH("C66726",ControlledTerms!E:E,0))),"(FRM)")</f>
        <v>(FRM)</v>
      </c>
      <c r="F35" s="12">
        <v>22</v>
      </c>
      <c r="G35" s="12" t="s">
        <v>329</v>
      </c>
      <c r="H35" s="12"/>
      <c r="I35" s="12"/>
      <c r="J35" s="12"/>
      <c r="K35" s="12"/>
      <c r="L35" s="12" t="s">
        <v>2343</v>
      </c>
      <c r="M35" s="12" t="s">
        <v>114</v>
      </c>
    </row>
    <row r="36" spans="1:13" ht="66">
      <c r="A36" s="12" t="str">
        <f t="shared" si="0"/>
        <v>CM</v>
      </c>
      <c r="B36" s="12" t="s">
        <v>2292</v>
      </c>
      <c r="C36" s="12" t="s">
        <v>2293</v>
      </c>
      <c r="D36" s="12" t="s">
        <v>57</v>
      </c>
      <c r="E36" s="14" t="str" cm="1">
        <f t="array" aca="1" ref="E36" ca="1">HYPERLINK("#"&amp;CELL("address", INDEX(ControlledTerms!E:E,MATCH("C71113",ControlledTerms!E:E,0))),"(FREQ)")</f>
        <v>(FREQ)</v>
      </c>
      <c r="F36" s="12">
        <v>23</v>
      </c>
      <c r="G36" s="12" t="s">
        <v>107</v>
      </c>
      <c r="H36" s="12"/>
      <c r="I36" s="12"/>
      <c r="J36" s="12"/>
      <c r="K36" s="12"/>
      <c r="L36" s="12" t="s">
        <v>2344</v>
      </c>
      <c r="M36" s="12" t="s">
        <v>114</v>
      </c>
    </row>
    <row r="37" spans="1:13" ht="79.2">
      <c r="A37" s="12" t="str">
        <f t="shared" si="0"/>
        <v>CM</v>
      </c>
      <c r="B37" s="12" t="s">
        <v>2294</v>
      </c>
      <c r="C37" s="12" t="s">
        <v>2295</v>
      </c>
      <c r="D37" s="12" t="s">
        <v>101</v>
      </c>
      <c r="E37" s="12"/>
      <c r="F37" s="12">
        <v>24</v>
      </c>
      <c r="G37" s="12" t="s">
        <v>107</v>
      </c>
      <c r="H37" s="12"/>
      <c r="I37" s="12"/>
      <c r="J37" s="12"/>
      <c r="K37" s="12"/>
      <c r="L37" s="12" t="s">
        <v>2345</v>
      </c>
      <c r="M37" s="12" t="s">
        <v>114</v>
      </c>
    </row>
    <row r="38" spans="1:13" ht="52.8">
      <c r="A38" s="12" t="str">
        <f t="shared" si="0"/>
        <v>CM</v>
      </c>
      <c r="B38" s="12" t="s">
        <v>2296</v>
      </c>
      <c r="C38" s="12" t="s">
        <v>2297</v>
      </c>
      <c r="D38" s="12" t="s">
        <v>57</v>
      </c>
      <c r="E38" s="12"/>
      <c r="F38" s="12">
        <v>25</v>
      </c>
      <c r="G38" s="12" t="s">
        <v>107</v>
      </c>
      <c r="H38" s="12"/>
      <c r="I38" s="12"/>
      <c r="J38" s="12"/>
      <c r="K38" s="12"/>
      <c r="L38" s="12" t="s">
        <v>2346</v>
      </c>
      <c r="M38" s="12" t="s">
        <v>114</v>
      </c>
    </row>
    <row r="39" spans="1:13" ht="39.6">
      <c r="A39" s="12" t="str">
        <f t="shared" si="0"/>
        <v>CM</v>
      </c>
      <c r="B39" s="12" t="s">
        <v>2298</v>
      </c>
      <c r="C39" s="12" t="s">
        <v>913</v>
      </c>
      <c r="D39" s="12" t="s">
        <v>57</v>
      </c>
      <c r="E39" s="14" t="str" cm="1">
        <f t="array" aca="1" ref="E39" ca="1">HYPERLINK("#"&amp;CELL("address", INDEX(ControlledTerms!E:E,MATCH("C66729",ControlledTerms!E:E,0))),"(ROUTE)")</f>
        <v>(ROUTE)</v>
      </c>
      <c r="F39" s="12">
        <v>26</v>
      </c>
      <c r="G39" s="12" t="s">
        <v>329</v>
      </c>
      <c r="H39" s="12"/>
      <c r="I39" s="12"/>
      <c r="J39" s="12"/>
      <c r="K39" s="12"/>
      <c r="L39" s="12" t="s">
        <v>2347</v>
      </c>
      <c r="M39" s="12" t="s">
        <v>114</v>
      </c>
    </row>
    <row r="40" spans="1:13" ht="66">
      <c r="A40" s="12" t="str">
        <f t="shared" si="0"/>
        <v>CM</v>
      </c>
      <c r="B40" s="12" t="s">
        <v>2299</v>
      </c>
      <c r="C40" s="12" t="s">
        <v>2300</v>
      </c>
      <c r="D40" s="12" t="s">
        <v>57</v>
      </c>
      <c r="E40" s="12"/>
      <c r="F40" s="12">
        <v>27</v>
      </c>
      <c r="G40" s="12" t="s">
        <v>107</v>
      </c>
      <c r="H40" s="12"/>
      <c r="I40" s="12"/>
      <c r="J40" s="12"/>
      <c r="K40" s="12"/>
      <c r="L40" s="12" t="s">
        <v>2348</v>
      </c>
      <c r="M40" s="12" t="s">
        <v>114</v>
      </c>
    </row>
    <row r="41" spans="1:13" ht="66">
      <c r="A41" s="12" t="str">
        <f t="shared" si="0"/>
        <v>CM</v>
      </c>
      <c r="B41" s="12" t="s">
        <v>2301</v>
      </c>
      <c r="C41" s="12" t="s">
        <v>2302</v>
      </c>
      <c r="D41" s="12" t="s">
        <v>57</v>
      </c>
      <c r="E41" s="12"/>
      <c r="F41" s="12">
        <v>28</v>
      </c>
      <c r="G41" s="12" t="s">
        <v>107</v>
      </c>
      <c r="H41" s="12"/>
      <c r="I41" s="12"/>
      <c r="J41" s="12"/>
      <c r="K41" s="12"/>
      <c r="L41" s="12" t="s">
        <v>2349</v>
      </c>
      <c r="M41" s="12" t="s">
        <v>114</v>
      </c>
    </row>
    <row r="42" spans="1:13" ht="79.2">
      <c r="A42" s="12" t="str">
        <f t="shared" si="0"/>
        <v>CM</v>
      </c>
      <c r="B42" s="12" t="s">
        <v>99</v>
      </c>
      <c r="C42" s="12" t="s">
        <v>100</v>
      </c>
      <c r="D42" s="12" t="s">
        <v>101</v>
      </c>
      <c r="E42" s="12"/>
      <c r="F42" s="12">
        <v>29</v>
      </c>
      <c r="G42" s="12" t="s">
        <v>102</v>
      </c>
      <c r="H42" s="12"/>
      <c r="I42" s="12"/>
      <c r="J42" s="12"/>
      <c r="K42" s="12"/>
      <c r="L42" s="12" t="s">
        <v>2350</v>
      </c>
      <c r="M42" s="12" t="s">
        <v>114</v>
      </c>
    </row>
    <row r="43" spans="1:13" ht="52.8">
      <c r="A43" s="12" t="str">
        <f t="shared" si="0"/>
        <v>CM</v>
      </c>
      <c r="B43" s="12" t="s">
        <v>119</v>
      </c>
      <c r="C43" s="12" t="s">
        <v>122</v>
      </c>
      <c r="D43" s="12" t="s">
        <v>57</v>
      </c>
      <c r="E43" s="14" t="str" cm="1">
        <f t="array" aca="1" ref="E43" ca="1">HYPERLINK("#"&amp;CELL("address", INDEX(ControlledTerms!E:E,MATCH("C99079",ControlledTerms!E:E,0))),"(EPOCH)")</f>
        <v>(EPOCH)</v>
      </c>
      <c r="F43" s="12">
        <v>30</v>
      </c>
      <c r="G43" s="12" t="s">
        <v>102</v>
      </c>
      <c r="H43" s="12"/>
      <c r="I43" s="12"/>
      <c r="J43" s="12"/>
      <c r="K43" s="12"/>
      <c r="L43" s="12" t="s">
        <v>2351</v>
      </c>
      <c r="M43" s="12" t="s">
        <v>114</v>
      </c>
    </row>
    <row r="44" spans="1:13" ht="39.6">
      <c r="A44" s="12" t="str">
        <f t="shared" si="0"/>
        <v>CM</v>
      </c>
      <c r="B44" s="12" t="s">
        <v>2303</v>
      </c>
      <c r="C44" s="12" t="s">
        <v>2304</v>
      </c>
      <c r="D44" s="12" t="s">
        <v>57</v>
      </c>
      <c r="E44" s="14" t="str" cm="1">
        <f t="array" aca="1" ref="E44" ca="1">HYPERLINK("#"&amp;CELL("address", INDEX(Format!A:A,MATCH("ISO 8601 datetime or interval",Format!A:A,0))),"ISO 8601 datetime or interval")</f>
        <v>ISO 8601 datetime or interval</v>
      </c>
      <c r="F44" s="12">
        <v>31</v>
      </c>
      <c r="G44" s="12" t="s">
        <v>102</v>
      </c>
      <c r="H44" s="12"/>
      <c r="I44" s="12"/>
      <c r="J44" s="12"/>
      <c r="K44" s="12"/>
      <c r="L44" s="12" t="s">
        <v>2352</v>
      </c>
      <c r="M44" s="12" t="s">
        <v>114</v>
      </c>
    </row>
    <row r="45" spans="1:13" ht="39.6">
      <c r="A45" s="12" t="str">
        <f t="shared" si="0"/>
        <v>CM</v>
      </c>
      <c r="B45" s="12" t="s">
        <v>2305</v>
      </c>
      <c r="C45" s="12" t="s">
        <v>2306</v>
      </c>
      <c r="D45" s="12" t="s">
        <v>57</v>
      </c>
      <c r="E45" s="14" t="str" cm="1">
        <f t="array" aca="1" ref="E45" ca="1">HYPERLINK("#"&amp;CELL("address", INDEX(Format!A:A,MATCH("ISO 8601 datetime or interval",Format!A:A,0))),"ISO 8601 datetime or interval")</f>
        <v>ISO 8601 datetime or interval</v>
      </c>
      <c r="F45" s="12">
        <v>32</v>
      </c>
      <c r="G45" s="12" t="s">
        <v>102</v>
      </c>
      <c r="H45" s="12"/>
      <c r="I45" s="12"/>
      <c r="J45" s="12"/>
      <c r="K45" s="12"/>
      <c r="L45" s="12" t="s">
        <v>2353</v>
      </c>
      <c r="M45" s="12" t="s">
        <v>114</v>
      </c>
    </row>
    <row r="46" spans="1:13" ht="39.6">
      <c r="A46" s="12" t="str">
        <f t="shared" si="0"/>
        <v>CM</v>
      </c>
      <c r="B46" s="12" t="s">
        <v>2307</v>
      </c>
      <c r="C46" s="12" t="s">
        <v>2308</v>
      </c>
      <c r="D46" s="12" t="s">
        <v>101</v>
      </c>
      <c r="E46" s="12"/>
      <c r="F46" s="12">
        <v>33</v>
      </c>
      <c r="G46" s="12" t="s">
        <v>102</v>
      </c>
      <c r="H46" s="12"/>
      <c r="I46" s="12"/>
      <c r="J46" s="12"/>
      <c r="K46" s="12"/>
      <c r="L46" s="12" t="s">
        <v>2354</v>
      </c>
      <c r="M46" s="12" t="s">
        <v>114</v>
      </c>
    </row>
    <row r="47" spans="1:13" ht="26.4">
      <c r="A47" s="12" t="str">
        <f t="shared" si="0"/>
        <v>CM</v>
      </c>
      <c r="B47" s="12" t="s">
        <v>2309</v>
      </c>
      <c r="C47" s="12" t="s">
        <v>2310</v>
      </c>
      <c r="D47" s="12" t="s">
        <v>101</v>
      </c>
      <c r="E47" s="12"/>
      <c r="F47" s="12">
        <v>34</v>
      </c>
      <c r="G47" s="12" t="s">
        <v>102</v>
      </c>
      <c r="H47" s="12"/>
      <c r="I47" s="12"/>
      <c r="J47" s="12"/>
      <c r="K47" s="12"/>
      <c r="L47" s="12" t="s">
        <v>2355</v>
      </c>
      <c r="M47" s="12" t="s">
        <v>114</v>
      </c>
    </row>
    <row r="48" spans="1:13" ht="52.8">
      <c r="A48" s="12" t="str">
        <f t="shared" si="0"/>
        <v>CM</v>
      </c>
      <c r="B48" s="12" t="s">
        <v>2311</v>
      </c>
      <c r="C48" s="12" t="s">
        <v>2312</v>
      </c>
      <c r="D48" s="12" t="s">
        <v>57</v>
      </c>
      <c r="E48" s="14" t="str" cm="1">
        <f t="array" aca="1" ref="E48" ca="1">HYPERLINK("#"&amp;CELL("address", INDEX(Format!A:A,MATCH("ISO 8601 duration",Format!A:A,0))),"ISO 8601 duration")</f>
        <v>ISO 8601 duration</v>
      </c>
      <c r="F48" s="12">
        <v>35</v>
      </c>
      <c r="G48" s="12" t="s">
        <v>102</v>
      </c>
      <c r="H48" s="12"/>
      <c r="I48" s="12"/>
      <c r="J48" s="12"/>
      <c r="K48" s="12"/>
      <c r="L48" s="12" t="s">
        <v>2356</v>
      </c>
      <c r="M48" s="12" t="s">
        <v>114</v>
      </c>
    </row>
    <row r="49" spans="1:13" ht="171.6">
      <c r="A49" s="12" t="str">
        <f t="shared" si="0"/>
        <v>CM</v>
      </c>
      <c r="B49" s="12" t="s">
        <v>2313</v>
      </c>
      <c r="C49" s="12" t="s">
        <v>2314</v>
      </c>
      <c r="D49" s="12" t="s">
        <v>57</v>
      </c>
      <c r="E49" s="14" t="str" cm="1">
        <f t="array" aca="1" ref="E49" ca="1">HYPERLINK("#"&amp;CELL("address", INDEX(ControlledTerms!E:E,MATCH("C66728",ControlledTerms!E:E,0))),"(STENRF)")</f>
        <v>(STENRF)</v>
      </c>
      <c r="F49" s="12">
        <v>36</v>
      </c>
      <c r="G49" s="12" t="s">
        <v>102</v>
      </c>
      <c r="H49" s="12"/>
      <c r="I49" s="12"/>
      <c r="J49" s="12"/>
      <c r="K49" s="12"/>
      <c r="L49" s="12" t="s">
        <v>2357</v>
      </c>
      <c r="M49" s="12" t="s">
        <v>114</v>
      </c>
    </row>
    <row r="50" spans="1:13" ht="198">
      <c r="A50" s="12" t="str">
        <f t="shared" si="0"/>
        <v>CM</v>
      </c>
      <c r="B50" s="12" t="s">
        <v>2315</v>
      </c>
      <c r="C50" s="12" t="s">
        <v>2316</v>
      </c>
      <c r="D50" s="12" t="s">
        <v>57</v>
      </c>
      <c r="E50" s="14" t="str" cm="1">
        <f t="array" aca="1" ref="E50" ca="1">HYPERLINK("#"&amp;CELL("address", INDEX(ControlledTerms!E:E,MATCH("C66728",ControlledTerms!E:E,0))),"(STENRF)")</f>
        <v>(STENRF)</v>
      </c>
      <c r="F50" s="12">
        <v>37</v>
      </c>
      <c r="G50" s="12" t="s">
        <v>102</v>
      </c>
      <c r="H50" s="12"/>
      <c r="I50" s="12"/>
      <c r="J50" s="12"/>
      <c r="K50" s="12"/>
      <c r="L50" s="12" t="s">
        <v>2358</v>
      </c>
      <c r="M50" s="12" t="s">
        <v>114</v>
      </c>
    </row>
    <row r="51" spans="1:13" ht="92.4">
      <c r="A51" s="12" t="str">
        <f t="shared" si="0"/>
        <v>CM</v>
      </c>
      <c r="B51" s="12" t="s">
        <v>2317</v>
      </c>
      <c r="C51" s="12" t="s">
        <v>2318</v>
      </c>
      <c r="D51" s="12" t="s">
        <v>57</v>
      </c>
      <c r="E51" s="14" t="str" cm="1">
        <f t="array" aca="1" ref="E51" ca="1">HYPERLINK("#"&amp;CELL("address", INDEX(ControlledTerms!E:E,MATCH("C66728",ControlledTerms!E:E,0))),"(STENRF)")</f>
        <v>(STENRF)</v>
      </c>
      <c r="F51" s="12">
        <v>38</v>
      </c>
      <c r="G51" s="12" t="s">
        <v>102</v>
      </c>
      <c r="H51" s="12"/>
      <c r="I51" s="12"/>
      <c r="J51" s="12"/>
      <c r="K51" s="12"/>
      <c r="L51" s="12" t="s">
        <v>2359</v>
      </c>
      <c r="M51" s="12" t="s">
        <v>114</v>
      </c>
    </row>
    <row r="52" spans="1:13" ht="66">
      <c r="A52" s="12" t="str">
        <f t="shared" si="0"/>
        <v>CM</v>
      </c>
      <c r="B52" s="12" t="s">
        <v>2319</v>
      </c>
      <c r="C52" s="12" t="s">
        <v>2320</v>
      </c>
      <c r="D52" s="12" t="s">
        <v>57</v>
      </c>
      <c r="E52" s="12"/>
      <c r="F52" s="12">
        <v>39</v>
      </c>
      <c r="G52" s="12" t="s">
        <v>102</v>
      </c>
      <c r="H52" s="12"/>
      <c r="I52" s="12"/>
      <c r="J52" s="12"/>
      <c r="K52" s="12"/>
      <c r="L52" s="12" t="s">
        <v>2360</v>
      </c>
      <c r="M52" s="12" t="s">
        <v>114</v>
      </c>
    </row>
    <row r="53" spans="1:13" ht="92.4">
      <c r="A53" s="12" t="str">
        <f t="shared" si="0"/>
        <v>CM</v>
      </c>
      <c r="B53" s="12" t="s">
        <v>2321</v>
      </c>
      <c r="C53" s="12" t="s">
        <v>2322</v>
      </c>
      <c r="D53" s="12" t="s">
        <v>57</v>
      </c>
      <c r="E53" s="14" t="str" cm="1">
        <f t="array" aca="1" ref="E53" ca="1">HYPERLINK("#"&amp;CELL("address", INDEX(ControlledTerms!E:E,MATCH("C66728",ControlledTerms!E:E,0))),"(STENRF)")</f>
        <v>(STENRF)</v>
      </c>
      <c r="F53" s="12">
        <v>40</v>
      </c>
      <c r="G53" s="12" t="s">
        <v>102</v>
      </c>
      <c r="H53" s="12"/>
      <c r="I53" s="12"/>
      <c r="J53" s="12"/>
      <c r="K53" s="12"/>
      <c r="L53" s="12" t="s">
        <v>2361</v>
      </c>
      <c r="M53" s="12" t="s">
        <v>114</v>
      </c>
    </row>
    <row r="54" spans="1:13" ht="66">
      <c r="A54" s="12" t="str">
        <f t="shared" si="0"/>
        <v>CM</v>
      </c>
      <c r="B54" s="12" t="s">
        <v>2323</v>
      </c>
      <c r="C54" s="12" t="s">
        <v>2324</v>
      </c>
      <c r="D54" s="12" t="s">
        <v>57</v>
      </c>
      <c r="E54" s="12"/>
      <c r="F54" s="12">
        <v>41</v>
      </c>
      <c r="G54" s="12" t="s">
        <v>102</v>
      </c>
      <c r="H54" s="12"/>
      <c r="I54" s="12"/>
      <c r="J54" s="12"/>
      <c r="K54" s="12"/>
      <c r="L54" s="12" t="s">
        <v>2362</v>
      </c>
      <c r="M54" s="12" t="s">
        <v>114</v>
      </c>
    </row>
  </sheetData>
  <autoFilter ref="A13:M54"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98" xr:uid="{8E61AB5C-FBEA-4DD3-965A-0629025092C0}"/>
  </hyperlink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AE0CB-6F3F-411F-933C-21EA5446FDBE}">
  <sheetPr codeName="Sheet20">
    <tabColor rgb="FF00B050"/>
  </sheetPr>
  <dimension ref="A1:M50"/>
  <sheetViews>
    <sheetView showGridLines="0" topLeftCell="A18" workbookViewId="0">
      <selection activeCell="E40" sqref="E40"/>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1120</v>
      </c>
      <c r="C1" s="37"/>
      <c r="D1" s="37"/>
      <c r="E1" s="37"/>
      <c r="F1" s="37"/>
      <c r="G1" s="37"/>
      <c r="H1" s="37"/>
      <c r="I1" s="37"/>
      <c r="J1" s="37"/>
      <c r="K1" s="37"/>
      <c r="L1" s="37"/>
      <c r="M1" s="37"/>
    </row>
    <row r="2" spans="1:13">
      <c r="A2" s="13" t="str">
        <f>DatasetsName!$C$1</f>
        <v>Dataset Description</v>
      </c>
      <c r="B2" s="37" t="str">
        <f>INDEX(DatasetsName!A1:J118,MATCH(B1,DatasetsName!B:B, 0),3)</f>
        <v>Exposure</v>
      </c>
      <c r="C2" s="37"/>
      <c r="D2" s="37"/>
      <c r="E2" s="37"/>
      <c r="F2" s="37"/>
      <c r="G2" s="37"/>
      <c r="H2" s="37"/>
      <c r="I2" s="37"/>
      <c r="J2" s="37"/>
      <c r="K2" s="37"/>
      <c r="L2" s="37"/>
      <c r="M2" s="37"/>
    </row>
    <row r="3" spans="1:13">
      <c r="A3" s="13" t="str">
        <f>DatasetsName!$D$1</f>
        <v>Dataset Class</v>
      </c>
      <c r="B3" s="37" t="str">
        <f>INDEX(DatasetsName!A1:J118,MATCH(B1,DatasetsName!B:B, 0),4)</f>
        <v>Interventions</v>
      </c>
      <c r="C3" s="37"/>
      <c r="D3" s="37"/>
      <c r="E3" s="37"/>
      <c r="F3" s="37"/>
      <c r="G3" s="37"/>
      <c r="H3" s="37"/>
      <c r="I3" s="37"/>
      <c r="J3" s="37"/>
      <c r="K3" s="37"/>
      <c r="L3" s="37"/>
      <c r="M3" s="37"/>
    </row>
    <row r="4" spans="1:13">
      <c r="A4" s="13" t="str">
        <f>DatasetsName!$E$1</f>
        <v>Dataset Structure</v>
      </c>
      <c r="B4" s="37" t="str">
        <f>INDEX(DatasetsName!A1:J118,MATCH(B1,DatasetsName!B:B, 0),5)</f>
        <v>One record per protocol-specified study treatment, constant-dosing interval,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EXTRT, EXSTDTC</v>
      </c>
      <c r="C6" s="37"/>
      <c r="D6" s="37"/>
      <c r="E6" s="37"/>
      <c r="F6" s="37"/>
      <c r="G6" s="37"/>
      <c r="H6" s="37"/>
      <c r="I6" s="37"/>
      <c r="J6" s="37"/>
      <c r="K6" s="37"/>
      <c r="L6" s="37"/>
      <c r="M6" s="37"/>
    </row>
    <row r="7" spans="1:13">
      <c r="A7" s="13" t="str">
        <f>DatasetsName!$H$1</f>
        <v>Dataset Location</v>
      </c>
      <c r="B7" s="37" t="str">
        <f>INDEX(DatasetsName!A1:J118,MATCH(B1,DatasetsName!B:B, 0),8)</f>
        <v>ex.xpt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7931</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EX</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EX</v>
      </c>
      <c r="B15" s="12" t="s">
        <v>63</v>
      </c>
      <c r="C15" s="12" t="s">
        <v>64</v>
      </c>
      <c r="D15" s="12" t="s">
        <v>57</v>
      </c>
      <c r="E15" s="14" t="str" cm="1">
        <f t="array" aca="1" ref="E15" ca="1">HYPERLINK("#"&amp;CELL("address", INDEX(ControlledTerms!I:I,MATCH(B1,ControlledTerms!I:I,0))),B1)</f>
        <v>EX</v>
      </c>
      <c r="F15" s="12">
        <v>2</v>
      </c>
      <c r="G15" s="12" t="s">
        <v>58</v>
      </c>
      <c r="H15" s="12" t="s">
        <v>82</v>
      </c>
      <c r="I15" s="12">
        <v>2</v>
      </c>
      <c r="J15" s="21" t="s">
        <v>7844</v>
      </c>
      <c r="K15" s="12"/>
      <c r="L15" s="12" t="s">
        <v>84</v>
      </c>
      <c r="M15" s="12" t="s">
        <v>62</v>
      </c>
    </row>
    <row r="16" spans="1:13" ht="52.8">
      <c r="A16" s="12" t="str">
        <f t="shared" ref="A16:A50" si="0">A15</f>
        <v>EX</v>
      </c>
      <c r="B16" s="21" t="s">
        <v>1437</v>
      </c>
      <c r="C16" s="21" t="s">
        <v>1448</v>
      </c>
      <c r="D16" s="12" t="s">
        <v>57</v>
      </c>
      <c r="E16" s="12"/>
      <c r="F16" s="12">
        <v>3</v>
      </c>
      <c r="G16" s="21" t="s">
        <v>58</v>
      </c>
      <c r="H16" s="21"/>
      <c r="I16" s="12"/>
      <c r="J16" s="6"/>
      <c r="K16" s="12"/>
      <c r="L16" s="12" t="s">
        <v>1458</v>
      </c>
      <c r="M16" s="12" t="s">
        <v>62</v>
      </c>
    </row>
    <row r="17" spans="1:13" ht="39.6">
      <c r="A17" s="12" t="str">
        <f t="shared" si="0"/>
        <v>EX</v>
      </c>
      <c r="B17" s="21" t="s">
        <v>7845</v>
      </c>
      <c r="C17" s="21" t="s">
        <v>413</v>
      </c>
      <c r="D17" s="12" t="s">
        <v>101</v>
      </c>
      <c r="E17" s="12"/>
      <c r="F17" s="12">
        <v>4</v>
      </c>
      <c r="G17" s="21" t="s">
        <v>58</v>
      </c>
      <c r="H17" s="21"/>
      <c r="I17" s="12"/>
      <c r="J17" s="6"/>
      <c r="K17" s="12"/>
      <c r="L17" s="12" t="s">
        <v>7898</v>
      </c>
      <c r="M17" s="12" t="s">
        <v>62</v>
      </c>
    </row>
    <row r="18" spans="1:13" ht="39.6">
      <c r="A18" s="12" t="str">
        <f t="shared" si="0"/>
        <v>EX</v>
      </c>
      <c r="B18" s="21" t="s">
        <v>7846</v>
      </c>
      <c r="C18" s="21" t="s">
        <v>414</v>
      </c>
      <c r="D18" s="12" t="s">
        <v>57</v>
      </c>
      <c r="E18" s="12"/>
      <c r="F18" s="12">
        <v>5</v>
      </c>
      <c r="G18" s="21" t="s">
        <v>58</v>
      </c>
      <c r="H18" s="21"/>
      <c r="I18" s="12"/>
      <c r="J18" s="21"/>
      <c r="K18" s="12"/>
      <c r="L18" s="12" t="s">
        <v>2326</v>
      </c>
      <c r="M18" s="12" t="s">
        <v>114</v>
      </c>
    </row>
    <row r="19" spans="1:13" ht="26.4">
      <c r="A19" s="12" t="str">
        <f t="shared" si="0"/>
        <v>EX</v>
      </c>
      <c r="B19" s="21" t="s">
        <v>7847</v>
      </c>
      <c r="C19" s="21" t="s">
        <v>7877</v>
      </c>
      <c r="D19" s="12" t="s">
        <v>57</v>
      </c>
      <c r="E19" s="14"/>
      <c r="F19" s="12">
        <v>6</v>
      </c>
      <c r="G19" s="21" t="s">
        <v>58</v>
      </c>
      <c r="H19" s="21"/>
      <c r="I19" s="12"/>
      <c r="J19" s="21"/>
      <c r="K19" s="12"/>
      <c r="L19" s="12" t="s">
        <v>7899</v>
      </c>
      <c r="M19" s="12" t="s">
        <v>114</v>
      </c>
    </row>
    <row r="20" spans="1:13" ht="66">
      <c r="A20" s="12" t="str">
        <f t="shared" si="0"/>
        <v>EX</v>
      </c>
      <c r="B20" s="21" t="s">
        <v>7848</v>
      </c>
      <c r="C20" s="21" t="s">
        <v>2262</v>
      </c>
      <c r="D20" s="12" t="s">
        <v>57</v>
      </c>
      <c r="E20" s="14"/>
      <c r="F20" s="12">
        <v>7</v>
      </c>
      <c r="G20" s="21" t="s">
        <v>58</v>
      </c>
      <c r="H20" s="21"/>
      <c r="I20" s="12"/>
      <c r="J20" s="21"/>
      <c r="K20" s="12"/>
      <c r="L20" s="12" t="s">
        <v>7900</v>
      </c>
      <c r="M20" s="12" t="s">
        <v>114</v>
      </c>
    </row>
    <row r="21" spans="1:13" ht="26.4">
      <c r="A21" s="12" t="str">
        <f t="shared" si="0"/>
        <v>EX</v>
      </c>
      <c r="B21" s="21" t="s">
        <v>7849</v>
      </c>
      <c r="C21" s="21" t="s">
        <v>7878</v>
      </c>
      <c r="D21" s="12" t="s">
        <v>57</v>
      </c>
      <c r="E21" s="14"/>
      <c r="F21" s="12">
        <v>8</v>
      </c>
      <c r="G21" s="21" t="s">
        <v>58</v>
      </c>
      <c r="H21" s="21"/>
      <c r="I21" s="12"/>
      <c r="J21" s="21"/>
      <c r="K21" s="12"/>
      <c r="L21" s="12" t="s">
        <v>7901</v>
      </c>
      <c r="M21" s="12" t="s">
        <v>114</v>
      </c>
    </row>
    <row r="22" spans="1:13" ht="26.4">
      <c r="A22" s="12" t="str">
        <f t="shared" si="0"/>
        <v>EX</v>
      </c>
      <c r="B22" s="12" t="s">
        <v>7850</v>
      </c>
      <c r="C22" s="12" t="s">
        <v>7879</v>
      </c>
      <c r="D22" s="12" t="s">
        <v>57</v>
      </c>
      <c r="E22" s="12"/>
      <c r="F22" s="12">
        <v>9</v>
      </c>
      <c r="G22" s="12" t="s">
        <v>58</v>
      </c>
      <c r="H22" s="12"/>
      <c r="I22" s="12"/>
      <c r="J22" s="12"/>
      <c r="K22" s="12"/>
      <c r="L22" s="12" t="s">
        <v>7902</v>
      </c>
      <c r="M22" s="12" t="s">
        <v>114</v>
      </c>
    </row>
    <row r="23" spans="1:13" ht="39.6">
      <c r="A23" s="12" t="str">
        <f t="shared" si="0"/>
        <v>EX</v>
      </c>
      <c r="B23" s="12" t="s">
        <v>7851</v>
      </c>
      <c r="C23" s="12" t="s">
        <v>7880</v>
      </c>
      <c r="D23" s="12" t="s">
        <v>57</v>
      </c>
      <c r="E23" s="12" t="s">
        <v>87</v>
      </c>
      <c r="F23" s="12">
        <v>10</v>
      </c>
      <c r="G23" s="12" t="s">
        <v>88</v>
      </c>
      <c r="H23" s="12"/>
      <c r="I23" s="12"/>
      <c r="J23" s="12"/>
      <c r="K23" s="12"/>
      <c r="L23" s="12" t="s">
        <v>7903</v>
      </c>
      <c r="M23" s="12" t="s">
        <v>62</v>
      </c>
    </row>
    <row r="24" spans="1:13" ht="26.4">
      <c r="A24" s="12" t="str">
        <f t="shared" si="0"/>
        <v>EX</v>
      </c>
      <c r="B24" s="12" t="s">
        <v>7852</v>
      </c>
      <c r="C24" s="12" t="s">
        <v>7881</v>
      </c>
      <c r="D24" s="12" t="s">
        <v>57</v>
      </c>
      <c r="E24" s="12" t="s">
        <v>87</v>
      </c>
      <c r="F24" s="12">
        <v>11</v>
      </c>
      <c r="G24" s="12" t="s">
        <v>387</v>
      </c>
      <c r="H24" s="12"/>
      <c r="I24" s="12"/>
      <c r="J24" s="12"/>
      <c r="K24" s="12"/>
      <c r="L24" s="12" t="s">
        <v>7904</v>
      </c>
      <c r="M24" s="12" t="s">
        <v>114</v>
      </c>
    </row>
    <row r="25" spans="1:13" ht="26.4">
      <c r="A25" s="12" t="str">
        <f t="shared" si="0"/>
        <v>EX</v>
      </c>
      <c r="B25" s="12" t="s">
        <v>7853</v>
      </c>
      <c r="C25" s="12" t="s">
        <v>7882</v>
      </c>
      <c r="D25" s="12" t="s">
        <v>57</v>
      </c>
      <c r="E25" s="12" t="s">
        <v>87</v>
      </c>
      <c r="F25" s="12">
        <v>12</v>
      </c>
      <c r="G25" s="12" t="s">
        <v>387</v>
      </c>
      <c r="H25" s="12"/>
      <c r="I25" s="12"/>
      <c r="J25" s="12"/>
      <c r="K25" s="12"/>
      <c r="L25" s="12" t="s">
        <v>7905</v>
      </c>
      <c r="M25" s="12" t="s">
        <v>114</v>
      </c>
    </row>
    <row r="26" spans="1:13" ht="39.6">
      <c r="A26" s="12" t="str">
        <f t="shared" si="0"/>
        <v>EX</v>
      </c>
      <c r="B26" s="12" t="s">
        <v>7854</v>
      </c>
      <c r="C26" s="12" t="s">
        <v>745</v>
      </c>
      <c r="D26" s="12" t="s">
        <v>101</v>
      </c>
      <c r="E26" s="14"/>
      <c r="F26" s="12">
        <v>13</v>
      </c>
      <c r="G26" s="12" t="s">
        <v>107</v>
      </c>
      <c r="H26" s="12"/>
      <c r="I26" s="12"/>
      <c r="J26" s="12"/>
      <c r="K26" s="12"/>
      <c r="L26" s="12" t="s">
        <v>7906</v>
      </c>
      <c r="M26" s="12" t="s">
        <v>126</v>
      </c>
    </row>
    <row r="27" spans="1:13" ht="66">
      <c r="A27" s="12" t="str">
        <f t="shared" si="0"/>
        <v>EX</v>
      </c>
      <c r="B27" s="12" t="s">
        <v>7855</v>
      </c>
      <c r="C27" s="12" t="s">
        <v>2289</v>
      </c>
      <c r="D27" s="12" t="s">
        <v>57</v>
      </c>
      <c r="E27" s="14"/>
      <c r="F27" s="12">
        <v>14</v>
      </c>
      <c r="G27" s="12" t="s">
        <v>107</v>
      </c>
      <c r="H27" s="12"/>
      <c r="I27" s="12"/>
      <c r="J27" s="12"/>
      <c r="K27" s="12"/>
      <c r="L27" s="12" t="s">
        <v>7907</v>
      </c>
      <c r="M27" s="12" t="s">
        <v>114</v>
      </c>
    </row>
    <row r="28" spans="1:13" ht="52.8">
      <c r="A28" s="12" t="str">
        <f t="shared" si="0"/>
        <v>EX</v>
      </c>
      <c r="B28" s="12" t="s">
        <v>7856</v>
      </c>
      <c r="C28" s="12" t="s">
        <v>754</v>
      </c>
      <c r="D28" s="12" t="s">
        <v>57</v>
      </c>
      <c r="E28" s="14" t="str" cm="1">
        <f t="array" aca="1" ref="E28" ca="1">HYPERLINK("#"&amp;CELL("address", INDEX(ControlledTerms!E:E,MATCH("C71620",ControlledTerms!E:E,0))),"(UNIT)")</f>
        <v>(UNIT)</v>
      </c>
      <c r="F28" s="12">
        <v>15</v>
      </c>
      <c r="G28" s="12" t="s">
        <v>329</v>
      </c>
      <c r="H28" s="12"/>
      <c r="I28" s="12"/>
      <c r="J28" s="12"/>
      <c r="K28" s="12"/>
      <c r="L28" s="12" t="s">
        <v>7908</v>
      </c>
      <c r="M28" s="12" t="s">
        <v>126</v>
      </c>
    </row>
    <row r="29" spans="1:13" ht="26.4">
      <c r="A29" s="12" t="str">
        <f t="shared" si="0"/>
        <v>EX</v>
      </c>
      <c r="B29" s="12" t="s">
        <v>7857</v>
      </c>
      <c r="C29" s="12" t="s">
        <v>746</v>
      </c>
      <c r="D29" s="12" t="s">
        <v>57</v>
      </c>
      <c r="E29" s="14" t="str" cm="1">
        <f t="array" aca="1" ref="E29" ca="1">HYPERLINK("#"&amp;CELL("address", INDEX(ControlledTerms!E:E,MATCH("C66726",ControlledTerms!E:E,0))),"(FRM)")</f>
        <v>(FRM)</v>
      </c>
      <c r="F29" s="12">
        <v>16</v>
      </c>
      <c r="G29" s="12" t="s">
        <v>329</v>
      </c>
      <c r="H29" s="12"/>
      <c r="I29" s="12"/>
      <c r="J29" s="12"/>
      <c r="K29" s="12"/>
      <c r="L29" s="12" t="s">
        <v>7909</v>
      </c>
      <c r="M29" s="12" t="s">
        <v>126</v>
      </c>
    </row>
    <row r="30" spans="1:13" ht="52.8">
      <c r="A30" s="12" t="str">
        <f t="shared" si="0"/>
        <v>EX</v>
      </c>
      <c r="B30" s="12" t="s">
        <v>7858</v>
      </c>
      <c r="C30" s="12" t="s">
        <v>2293</v>
      </c>
      <c r="D30" s="12" t="s">
        <v>57</v>
      </c>
      <c r="E30" s="14" t="str" cm="1">
        <f t="array" aca="1" ref="E30" ca="1">HYPERLINK("#"&amp;CELL("address", INDEX(ControlledTerms!E:E,MATCH("C71113",ControlledTerms!E:E,0))),"(FREQ)")</f>
        <v>(FREQ)</v>
      </c>
      <c r="F30" s="12">
        <v>17</v>
      </c>
      <c r="G30" s="12" t="s">
        <v>107</v>
      </c>
      <c r="H30" s="12"/>
      <c r="I30" s="12"/>
      <c r="J30" s="12"/>
      <c r="K30" s="12"/>
      <c r="L30" s="12" t="s">
        <v>7910</v>
      </c>
      <c r="M30" s="12" t="s">
        <v>114</v>
      </c>
    </row>
    <row r="31" spans="1:13" ht="52.8">
      <c r="A31" s="12" t="str">
        <f t="shared" si="0"/>
        <v>EX</v>
      </c>
      <c r="B31" s="12" t="s">
        <v>7859</v>
      </c>
      <c r="C31" s="12" t="s">
        <v>2297</v>
      </c>
      <c r="D31" s="12" t="s">
        <v>57</v>
      </c>
      <c r="E31" s="12"/>
      <c r="F31" s="12">
        <v>18</v>
      </c>
      <c r="G31" s="12" t="s">
        <v>107</v>
      </c>
      <c r="H31" s="12"/>
      <c r="I31" s="12"/>
      <c r="J31" s="12"/>
      <c r="K31" s="12"/>
      <c r="L31" s="12" t="s">
        <v>7911</v>
      </c>
      <c r="M31" s="12" t="s">
        <v>114</v>
      </c>
    </row>
    <row r="32" spans="1:13" ht="39.6">
      <c r="A32" s="12" t="str">
        <f t="shared" si="0"/>
        <v>EX</v>
      </c>
      <c r="B32" s="12" t="s">
        <v>7860</v>
      </c>
      <c r="C32" s="12" t="s">
        <v>913</v>
      </c>
      <c r="D32" s="12" t="s">
        <v>57</v>
      </c>
      <c r="E32" s="14" t="str" cm="1">
        <f t="array" aca="1" ref="E32" ca="1">HYPERLINK("#"&amp;CELL("address", INDEX(ControlledTerms!E:E,MATCH("C66729",ControlledTerms!E:E,0))),"(ROUTE)")</f>
        <v>(ROUTE)</v>
      </c>
      <c r="F32" s="12">
        <v>19</v>
      </c>
      <c r="G32" s="12" t="s">
        <v>329</v>
      </c>
      <c r="H32" s="12"/>
      <c r="I32" s="12"/>
      <c r="J32" s="12"/>
      <c r="K32" s="12"/>
      <c r="L32" s="12" t="s">
        <v>2347</v>
      </c>
      <c r="M32" s="12" t="s">
        <v>114</v>
      </c>
    </row>
    <row r="33" spans="1:13" ht="26.4">
      <c r="A33" s="12" t="str">
        <f t="shared" si="0"/>
        <v>EX</v>
      </c>
      <c r="B33" s="12" t="s">
        <v>7861</v>
      </c>
      <c r="C33" s="12" t="s">
        <v>7883</v>
      </c>
      <c r="D33" s="12" t="s">
        <v>57</v>
      </c>
      <c r="E33" s="12"/>
      <c r="F33" s="12">
        <v>20</v>
      </c>
      <c r="G33" s="12" t="s">
        <v>107</v>
      </c>
      <c r="H33" s="12"/>
      <c r="I33" s="12"/>
      <c r="J33" s="12"/>
      <c r="K33" s="12"/>
      <c r="L33" s="12" t="s">
        <v>7912</v>
      </c>
      <c r="M33" s="12" t="s">
        <v>114</v>
      </c>
    </row>
    <row r="34" spans="1:13" ht="26.4">
      <c r="A34" s="12" t="str">
        <f t="shared" si="0"/>
        <v>EX</v>
      </c>
      <c r="B34" s="12" t="s">
        <v>7862</v>
      </c>
      <c r="C34" s="12" t="s">
        <v>7884</v>
      </c>
      <c r="D34" s="12" t="s">
        <v>57</v>
      </c>
      <c r="E34" s="14" t="str" cm="1">
        <f t="array" aca="1" ref="E34" ca="1">HYPERLINK("#"&amp;CELL("address", INDEX(ControlledTerms!E:E,MATCH("C74456",ControlledTerms!E:E,0))),"(LOC)")</f>
        <v>(LOC)</v>
      </c>
      <c r="F34" s="12">
        <v>21</v>
      </c>
      <c r="G34" s="12" t="s">
        <v>107</v>
      </c>
      <c r="H34" s="12"/>
      <c r="I34" s="12"/>
      <c r="J34" s="12"/>
      <c r="K34" s="12"/>
      <c r="L34" s="12" t="s">
        <v>7913</v>
      </c>
      <c r="M34" s="12" t="s">
        <v>114</v>
      </c>
    </row>
    <row r="35" spans="1:13" ht="52.8">
      <c r="A35" s="12" t="str">
        <f t="shared" si="0"/>
        <v>EX</v>
      </c>
      <c r="B35" s="12" t="s">
        <v>7863</v>
      </c>
      <c r="C35" s="12" t="s">
        <v>7885</v>
      </c>
      <c r="D35" s="12" t="s">
        <v>57</v>
      </c>
      <c r="E35" s="14" t="str" cm="1">
        <f t="array" aca="1" ref="E35" ca="1">HYPERLINK("#"&amp;CELL("address", INDEX(ControlledTerms!E:E,MATCH("C99073",ControlledTerms!E:E,0))),"(LAT)")</f>
        <v>(LAT)</v>
      </c>
      <c r="F35" s="12">
        <v>22</v>
      </c>
      <c r="G35" s="12" t="s">
        <v>329</v>
      </c>
      <c r="H35" s="12"/>
      <c r="I35" s="12"/>
      <c r="J35" s="12"/>
      <c r="K35" s="12"/>
      <c r="L35" s="12" t="s">
        <v>7914</v>
      </c>
      <c r="M35" s="12" t="s">
        <v>114</v>
      </c>
    </row>
    <row r="36" spans="1:13" ht="52.8">
      <c r="A36" s="12" t="str">
        <f t="shared" si="0"/>
        <v>EX</v>
      </c>
      <c r="B36" s="12" t="s">
        <v>7864</v>
      </c>
      <c r="C36" s="12" t="s">
        <v>7886</v>
      </c>
      <c r="D36" s="12" t="s">
        <v>57</v>
      </c>
      <c r="E36" s="14" t="str" cm="1">
        <f t="array" aca="1" ref="E36" ca="1">HYPERLINK("#"&amp;CELL("address", INDEX(ControlledTerms!E:E,MATCH("C99074",ControlledTerms!E:E,0))),"(DIR)")</f>
        <v>(DIR)</v>
      </c>
      <c r="F36" s="12">
        <v>23</v>
      </c>
      <c r="G36" s="12" t="s">
        <v>329</v>
      </c>
      <c r="H36" s="12"/>
      <c r="I36" s="12"/>
      <c r="J36" s="12"/>
      <c r="K36" s="12"/>
      <c r="L36" s="12" t="s">
        <v>7915</v>
      </c>
      <c r="M36" s="12" t="s">
        <v>114</v>
      </c>
    </row>
    <row r="37" spans="1:13" ht="26.4">
      <c r="A37" s="12" t="str">
        <f t="shared" si="0"/>
        <v>EX</v>
      </c>
      <c r="B37" s="12" t="s">
        <v>7865</v>
      </c>
      <c r="C37" s="12" t="s">
        <v>7887</v>
      </c>
      <c r="D37" s="12" t="s">
        <v>57</v>
      </c>
      <c r="E37" s="14" t="str" cm="1">
        <f t="array" aca="1" ref="E37" ca="1">HYPERLINK("#"&amp;CELL("address", INDEX(ControlledTerms!E:E,MATCH("C66742",ControlledTerms!E:E,0))),"(NY)")</f>
        <v>(NY)</v>
      </c>
      <c r="F37" s="12">
        <v>24</v>
      </c>
      <c r="G37" s="12" t="s">
        <v>107</v>
      </c>
      <c r="H37" s="12"/>
      <c r="I37" s="12"/>
      <c r="J37" s="12"/>
      <c r="K37" s="12"/>
      <c r="L37" s="12" t="s">
        <v>7916</v>
      </c>
      <c r="M37" s="12" t="s">
        <v>114</v>
      </c>
    </row>
    <row r="38" spans="1:13" ht="26.4">
      <c r="A38" s="12" t="str">
        <f t="shared" si="0"/>
        <v>EX</v>
      </c>
      <c r="B38" s="12" t="s">
        <v>7866</v>
      </c>
      <c r="C38" s="12" t="s">
        <v>2300</v>
      </c>
      <c r="D38" s="12" t="s">
        <v>57</v>
      </c>
      <c r="E38" s="12" t="s">
        <v>87</v>
      </c>
      <c r="F38" s="12">
        <v>25</v>
      </c>
      <c r="G38" s="12" t="s">
        <v>107</v>
      </c>
      <c r="H38" s="12"/>
      <c r="I38" s="12"/>
      <c r="J38" s="12"/>
      <c r="K38" s="12"/>
      <c r="L38" s="12" t="s">
        <v>7917</v>
      </c>
      <c r="M38" s="12" t="s">
        <v>114</v>
      </c>
    </row>
    <row r="39" spans="1:13" ht="26.4">
      <c r="A39" s="12" t="str">
        <f t="shared" si="0"/>
        <v>EX</v>
      </c>
      <c r="B39" s="12" t="s">
        <v>99</v>
      </c>
      <c r="C39" s="12" t="s">
        <v>100</v>
      </c>
      <c r="D39" s="12" t="s">
        <v>101</v>
      </c>
      <c r="E39" s="14"/>
      <c r="F39" s="12">
        <v>26</v>
      </c>
      <c r="G39" s="12" t="s">
        <v>102</v>
      </c>
      <c r="H39" s="12"/>
      <c r="I39" s="12"/>
      <c r="J39" s="12"/>
      <c r="K39" s="12"/>
      <c r="L39" s="12" t="s">
        <v>7918</v>
      </c>
      <c r="M39" s="12" t="s">
        <v>114</v>
      </c>
    </row>
    <row r="40" spans="1:13" ht="26.4">
      <c r="A40" s="12" t="str">
        <f t="shared" si="0"/>
        <v>EX</v>
      </c>
      <c r="B40" s="12" t="s">
        <v>119</v>
      </c>
      <c r="C40" s="12" t="s">
        <v>122</v>
      </c>
      <c r="D40" s="12" t="s">
        <v>57</v>
      </c>
      <c r="E40" s="14" t="str" cm="1">
        <f t="array" aca="1" ref="E40" ca="1">HYPERLINK("#"&amp;CELL("address", INDEX(ControlledTerms!E:E,MATCH("C99079",ControlledTerms!E:E,0))),"(EPOCH)")</f>
        <v>(EPOCH)</v>
      </c>
      <c r="F40" s="12">
        <v>27</v>
      </c>
      <c r="G40" s="12" t="s">
        <v>102</v>
      </c>
      <c r="H40" s="12"/>
      <c r="I40" s="12"/>
      <c r="J40" s="12"/>
      <c r="K40" s="12"/>
      <c r="L40" s="12" t="s">
        <v>7919</v>
      </c>
      <c r="M40" s="12" t="s">
        <v>114</v>
      </c>
    </row>
    <row r="41" spans="1:13" ht="39.6">
      <c r="A41" s="12" t="str">
        <f t="shared" si="0"/>
        <v>EX</v>
      </c>
      <c r="B41" s="12" t="s">
        <v>7867</v>
      </c>
      <c r="C41" s="12" t="s">
        <v>7888</v>
      </c>
      <c r="D41" s="12" t="s">
        <v>57</v>
      </c>
      <c r="E41" s="14" t="str" cm="1">
        <f t="array" aca="1" ref="E41" ca="1">HYPERLINK("#"&amp;CELL("address", INDEX(Format!A:A,MATCH("ISO 8601 datetime or interval",Format!A:A,0))),"ISO 8601 datetime or interval")</f>
        <v>ISO 8601 datetime or interval</v>
      </c>
      <c r="F41" s="12">
        <v>28</v>
      </c>
      <c r="G41" s="12" t="s">
        <v>102</v>
      </c>
      <c r="H41" s="12"/>
      <c r="I41" s="12"/>
      <c r="J41" s="12"/>
      <c r="K41" s="12"/>
      <c r="L41" s="12" t="s">
        <v>7920</v>
      </c>
      <c r="M41" s="12" t="s">
        <v>126</v>
      </c>
    </row>
    <row r="42" spans="1:13" ht="118.8">
      <c r="A42" s="12" t="str">
        <f t="shared" si="0"/>
        <v>EX</v>
      </c>
      <c r="B42" s="12" t="s">
        <v>7868</v>
      </c>
      <c r="C42" s="12" t="s">
        <v>7889</v>
      </c>
      <c r="D42" s="12" t="s">
        <v>57</v>
      </c>
      <c r="E42" s="14" t="str" cm="1">
        <f t="array" aca="1" ref="E42" ca="1">HYPERLINK("#"&amp;CELL("address", INDEX(Format!A:A,MATCH("ISO 8601 datetime or interval",Format!A:A,0))),"ISO 8601 datetime or interval")</f>
        <v>ISO 8601 datetime or interval</v>
      </c>
      <c r="F42" s="12">
        <v>29</v>
      </c>
      <c r="G42" s="12" t="s">
        <v>102</v>
      </c>
      <c r="H42" s="12"/>
      <c r="I42" s="12"/>
      <c r="J42" s="12"/>
      <c r="K42" s="12"/>
      <c r="L42" s="12" t="s">
        <v>7921</v>
      </c>
      <c r="M42" s="12" t="s">
        <v>126</v>
      </c>
    </row>
    <row r="43" spans="1:13" ht="26.4">
      <c r="A43" s="12" t="str">
        <f t="shared" si="0"/>
        <v>EX</v>
      </c>
      <c r="B43" s="12" t="s">
        <v>7869</v>
      </c>
      <c r="C43" s="12" t="s">
        <v>7890</v>
      </c>
      <c r="D43" s="12" t="s">
        <v>101</v>
      </c>
      <c r="E43" s="14"/>
      <c r="F43" s="12">
        <v>30</v>
      </c>
      <c r="G43" s="12" t="s">
        <v>102</v>
      </c>
      <c r="H43" s="12"/>
      <c r="I43" s="12"/>
      <c r="J43" s="12"/>
      <c r="K43" s="12"/>
      <c r="L43" s="12" t="s">
        <v>7922</v>
      </c>
      <c r="M43" s="12" t="s">
        <v>114</v>
      </c>
    </row>
    <row r="44" spans="1:13" ht="26.4">
      <c r="A44" s="12" t="str">
        <f t="shared" si="0"/>
        <v>EX</v>
      </c>
      <c r="B44" s="12" t="s">
        <v>7870</v>
      </c>
      <c r="C44" s="12" t="s">
        <v>7891</v>
      </c>
      <c r="D44" s="12" t="s">
        <v>101</v>
      </c>
      <c r="E44" s="14"/>
      <c r="F44" s="12">
        <v>31</v>
      </c>
      <c r="G44" s="12" t="s">
        <v>102</v>
      </c>
      <c r="H44" s="12"/>
      <c r="I44" s="12"/>
      <c r="J44" s="12"/>
      <c r="K44" s="12"/>
      <c r="L44" s="12" t="s">
        <v>7923</v>
      </c>
      <c r="M44" s="12" t="s">
        <v>114</v>
      </c>
    </row>
    <row r="45" spans="1:13" ht="52.8">
      <c r="A45" s="12" t="str">
        <f t="shared" si="0"/>
        <v>EX</v>
      </c>
      <c r="B45" s="12" t="s">
        <v>7871</v>
      </c>
      <c r="C45" s="12" t="s">
        <v>7892</v>
      </c>
      <c r="D45" s="12" t="s">
        <v>57</v>
      </c>
      <c r="E45" s="14" t="str" cm="1">
        <f t="array" aca="1" ref="E45" ca="1">HYPERLINK("#"&amp;CELL("address", INDEX(Format!A:A,MATCH("ISO 8601 duration",Format!A:A,0))),"ISO 8601 duration")</f>
        <v>ISO 8601 duration</v>
      </c>
      <c r="F45" s="12">
        <v>32</v>
      </c>
      <c r="G45" s="12" t="s">
        <v>102</v>
      </c>
      <c r="H45" s="12"/>
      <c r="I45" s="12"/>
      <c r="J45" s="12"/>
      <c r="K45" s="12"/>
      <c r="L45" s="12" t="s">
        <v>7924</v>
      </c>
      <c r="M45" s="12" t="s">
        <v>114</v>
      </c>
    </row>
    <row r="46" spans="1:13" ht="79.2">
      <c r="A46" s="12" t="str">
        <f t="shared" si="0"/>
        <v>EX</v>
      </c>
      <c r="B46" s="12" t="s">
        <v>7872</v>
      </c>
      <c r="C46" s="12" t="s">
        <v>7893</v>
      </c>
      <c r="D46" s="12" t="s">
        <v>57</v>
      </c>
      <c r="E46" s="12"/>
      <c r="F46" s="12">
        <v>33</v>
      </c>
      <c r="G46" s="12" t="s">
        <v>102</v>
      </c>
      <c r="H46" s="12"/>
      <c r="I46" s="12"/>
      <c r="J46" s="12"/>
      <c r="K46" s="12"/>
      <c r="L46" s="12" t="s">
        <v>7925</v>
      </c>
      <c r="M46" s="12" t="s">
        <v>114</v>
      </c>
    </row>
    <row r="47" spans="1:13" ht="26.4">
      <c r="A47" s="12" t="str">
        <f t="shared" si="0"/>
        <v>EX</v>
      </c>
      <c r="B47" s="12" t="s">
        <v>7873</v>
      </c>
      <c r="C47" s="12" t="s">
        <v>7894</v>
      </c>
      <c r="D47" s="12" t="s">
        <v>101</v>
      </c>
      <c r="E47" s="12"/>
      <c r="F47" s="12">
        <v>34</v>
      </c>
      <c r="G47" s="12" t="s">
        <v>102</v>
      </c>
      <c r="H47" s="12"/>
      <c r="I47" s="12"/>
      <c r="J47" s="12"/>
      <c r="K47" s="12"/>
      <c r="L47" s="12" t="s">
        <v>7926</v>
      </c>
      <c r="M47" s="12" t="s">
        <v>114</v>
      </c>
    </row>
    <row r="48" spans="1:13" ht="52.8">
      <c r="A48" s="12" t="str">
        <f t="shared" si="0"/>
        <v>EX</v>
      </c>
      <c r="B48" s="12" t="s">
        <v>7874</v>
      </c>
      <c r="C48" s="12" t="s">
        <v>7895</v>
      </c>
      <c r="D48" s="12" t="s">
        <v>57</v>
      </c>
      <c r="E48" s="14" t="str" cm="1">
        <f t="array" aca="1" ref="E48" ca="1">HYPERLINK("#"&amp;CELL("address", INDEX(Format!A:A,MATCH("ISO 8601 duration",Format!A:A,0))),"ISO 8601 duration")</f>
        <v>ISO 8601 duration</v>
      </c>
      <c r="F48" s="12">
        <v>35</v>
      </c>
      <c r="G48" s="12" t="s">
        <v>102</v>
      </c>
      <c r="H48" s="12"/>
      <c r="I48" s="12"/>
      <c r="J48" s="12"/>
      <c r="K48" s="12"/>
      <c r="L48" s="12" t="s">
        <v>7927</v>
      </c>
      <c r="M48" s="12" t="s">
        <v>114</v>
      </c>
    </row>
    <row r="49" spans="1:13" ht="52.8">
      <c r="A49" s="12" t="str">
        <f t="shared" si="0"/>
        <v>EX</v>
      </c>
      <c r="B49" s="12" t="s">
        <v>7875</v>
      </c>
      <c r="C49" s="12" t="s">
        <v>7896</v>
      </c>
      <c r="D49" s="12" t="s">
        <v>57</v>
      </c>
      <c r="E49" s="14"/>
      <c r="F49" s="12">
        <v>36</v>
      </c>
      <c r="G49" s="12" t="s">
        <v>102</v>
      </c>
      <c r="H49" s="12"/>
      <c r="I49" s="12"/>
      <c r="J49" s="12"/>
      <c r="K49" s="12"/>
      <c r="L49" s="12" t="s">
        <v>7928</v>
      </c>
      <c r="M49" s="12" t="s">
        <v>114</v>
      </c>
    </row>
    <row r="50" spans="1:13" ht="39.6">
      <c r="A50" s="12" t="str">
        <f t="shared" si="0"/>
        <v>EX</v>
      </c>
      <c r="B50" s="12" t="s">
        <v>7876</v>
      </c>
      <c r="C50" s="12" t="s">
        <v>7897</v>
      </c>
      <c r="D50" s="12" t="s">
        <v>57</v>
      </c>
      <c r="E50" s="14" t="str" cm="1">
        <f t="array" aca="1" ref="E50" ca="1">HYPERLINK("#"&amp;CELL("address", INDEX(Format!A:A,MATCH("ISO 8601 datetime or interval",Format!A:A,0))),"ISO 8601 datetime or interval")</f>
        <v>ISO 8601 datetime or interval</v>
      </c>
      <c r="F50" s="12">
        <v>37</v>
      </c>
      <c r="G50" s="12" t="s">
        <v>102</v>
      </c>
      <c r="H50" s="12"/>
      <c r="I50" s="12"/>
      <c r="J50" s="12"/>
      <c r="K50" s="12"/>
      <c r="L50" s="12" t="s">
        <v>7929</v>
      </c>
      <c r="M50" s="12" t="s">
        <v>114</v>
      </c>
    </row>
  </sheetData>
  <autoFilter ref="A13:M50"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04" xr:uid="{948D916C-2B77-46C0-91A0-F472160E874E}"/>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32C31-6400-4F75-B9F8-80C976C404D6}">
  <sheetPr codeName="Sheet21">
    <tabColor rgb="FF00B050"/>
  </sheetPr>
  <dimension ref="A1:M58"/>
  <sheetViews>
    <sheetView showGridLines="0" topLeftCell="A31" workbookViewId="0">
      <selection activeCell="E39" sqref="E39"/>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1117</v>
      </c>
      <c r="C1" s="37"/>
      <c r="D1" s="37"/>
      <c r="E1" s="37"/>
      <c r="F1" s="37"/>
      <c r="G1" s="37"/>
      <c r="H1" s="37"/>
      <c r="I1" s="37"/>
      <c r="J1" s="37"/>
      <c r="K1" s="37"/>
      <c r="L1" s="37"/>
      <c r="M1" s="37"/>
    </row>
    <row r="2" spans="1:13">
      <c r="A2" s="13" t="str">
        <f>DatasetsName!$C$1</f>
        <v>Dataset Description</v>
      </c>
      <c r="B2" s="37" t="str">
        <f>INDEX(DatasetsName!A1:J118,MATCH(B1,DatasetsName!B:B, 0),3)</f>
        <v>Exposure as Collected</v>
      </c>
      <c r="C2" s="37"/>
      <c r="D2" s="37"/>
      <c r="E2" s="37"/>
      <c r="F2" s="37"/>
      <c r="G2" s="37"/>
      <c r="H2" s="37"/>
      <c r="I2" s="37"/>
      <c r="J2" s="37"/>
      <c r="K2" s="37"/>
      <c r="L2" s="37"/>
      <c r="M2" s="37"/>
    </row>
    <row r="3" spans="1:13">
      <c r="A3" s="13" t="str">
        <f>DatasetsName!$D$1</f>
        <v>Dataset Class</v>
      </c>
      <c r="B3" s="37" t="str">
        <f>INDEX(DatasetsName!A1:J118,MATCH(B1,DatasetsName!B:B, 0),4)</f>
        <v>Interventions</v>
      </c>
      <c r="C3" s="37"/>
      <c r="D3" s="37"/>
      <c r="E3" s="37"/>
      <c r="F3" s="37"/>
      <c r="G3" s="37"/>
      <c r="H3" s="37"/>
      <c r="I3" s="37"/>
      <c r="J3" s="37"/>
      <c r="K3" s="37"/>
      <c r="L3" s="37"/>
      <c r="M3" s="37"/>
    </row>
    <row r="4" spans="1:13">
      <c r="A4" s="13" t="str">
        <f>DatasetsName!$E$1</f>
        <v>Dataset Structure</v>
      </c>
      <c r="B4" s="37" t="str">
        <f>INDEX(DatasetsName!A1:J118,MATCH(B1,DatasetsName!B:B, 0),5)</f>
        <v>One record per protocol-specified study treatment, collected-dosing interval, per subject, per mood</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ECTRT, ECSTDTC, ECMOOD</v>
      </c>
      <c r="C6" s="37"/>
      <c r="D6" s="37"/>
      <c r="E6" s="37"/>
      <c r="F6" s="37"/>
      <c r="G6" s="37"/>
      <c r="H6" s="37"/>
      <c r="I6" s="37"/>
      <c r="J6" s="37"/>
      <c r="K6" s="37"/>
      <c r="L6" s="37"/>
      <c r="M6" s="37"/>
    </row>
    <row r="7" spans="1:13">
      <c r="A7" s="13" t="str">
        <f>DatasetsName!$H$1</f>
        <v>Dataset Location</v>
      </c>
      <c r="B7" s="37" t="str">
        <f>INDEX(DatasetsName!A1:J118,MATCH(B1,DatasetsName!B:B, 0),8)</f>
        <v>ex.xpt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13788</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EC</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EC</v>
      </c>
      <c r="B15" s="12" t="s">
        <v>63</v>
      </c>
      <c r="C15" s="12" t="s">
        <v>64</v>
      </c>
      <c r="D15" s="12" t="s">
        <v>57</v>
      </c>
      <c r="E15" s="14" t="str" cm="1">
        <f t="array" aca="1" ref="E15" ca="1">HYPERLINK("#"&amp;CELL("address", INDEX(ControlledTerms!I:I,MATCH(B1,ControlledTerms!I:I,0))),B1)</f>
        <v>EC</v>
      </c>
      <c r="F15" s="12">
        <v>2</v>
      </c>
      <c r="G15" s="12" t="s">
        <v>58</v>
      </c>
      <c r="H15" s="12" t="s">
        <v>82</v>
      </c>
      <c r="I15" s="12">
        <v>2</v>
      </c>
      <c r="J15" s="21" t="s">
        <v>13789</v>
      </c>
      <c r="K15" s="12"/>
      <c r="L15" s="12" t="s">
        <v>84</v>
      </c>
      <c r="M15" s="12" t="s">
        <v>62</v>
      </c>
    </row>
    <row r="16" spans="1:13" ht="52.8">
      <c r="A16" s="12" t="str">
        <f t="shared" ref="A16:A58" si="0">A15</f>
        <v>EC</v>
      </c>
      <c r="B16" s="21" t="s">
        <v>1437</v>
      </c>
      <c r="C16" s="21" t="s">
        <v>1448</v>
      </c>
      <c r="D16" s="12" t="s">
        <v>57</v>
      </c>
      <c r="E16" s="12"/>
      <c r="F16" s="12">
        <v>3</v>
      </c>
      <c r="G16" s="21" t="s">
        <v>58</v>
      </c>
      <c r="H16" s="21"/>
      <c r="I16" s="12"/>
      <c r="J16" s="6"/>
      <c r="K16" s="12"/>
      <c r="L16" s="12" t="s">
        <v>1458</v>
      </c>
      <c r="M16" s="12" t="s">
        <v>62</v>
      </c>
    </row>
    <row r="17" spans="1:13" ht="39.6">
      <c r="A17" s="12" t="str">
        <f t="shared" si="0"/>
        <v>EC</v>
      </c>
      <c r="B17" s="21" t="s">
        <v>13790</v>
      </c>
      <c r="C17" s="21" t="s">
        <v>413</v>
      </c>
      <c r="D17" s="12" t="s">
        <v>101</v>
      </c>
      <c r="E17" s="12"/>
      <c r="F17" s="12">
        <v>4</v>
      </c>
      <c r="G17" s="21" t="s">
        <v>58</v>
      </c>
      <c r="H17" s="21"/>
      <c r="I17" s="12"/>
      <c r="J17" s="6"/>
      <c r="K17" s="12"/>
      <c r="L17" s="12" t="s">
        <v>7898</v>
      </c>
      <c r="M17" s="12" t="s">
        <v>62</v>
      </c>
    </row>
    <row r="18" spans="1:13" ht="39.6">
      <c r="A18" s="12" t="str">
        <f t="shared" si="0"/>
        <v>EC</v>
      </c>
      <c r="B18" s="21" t="s">
        <v>13791</v>
      </c>
      <c r="C18" s="21" t="s">
        <v>414</v>
      </c>
      <c r="D18" s="12" t="s">
        <v>57</v>
      </c>
      <c r="E18" s="12"/>
      <c r="F18" s="12">
        <v>5</v>
      </c>
      <c r="G18" s="21" t="s">
        <v>58</v>
      </c>
      <c r="H18" s="21"/>
      <c r="I18" s="12"/>
      <c r="J18" s="21"/>
      <c r="K18" s="12"/>
      <c r="L18" s="12" t="s">
        <v>2326</v>
      </c>
      <c r="M18" s="12" t="s">
        <v>114</v>
      </c>
    </row>
    <row r="19" spans="1:13" ht="26.4">
      <c r="A19" s="12" t="str">
        <f t="shared" si="0"/>
        <v>EC</v>
      </c>
      <c r="B19" s="21" t="s">
        <v>13792</v>
      </c>
      <c r="C19" s="21" t="s">
        <v>7877</v>
      </c>
      <c r="D19" s="12" t="s">
        <v>57</v>
      </c>
      <c r="E19" s="14"/>
      <c r="F19" s="12">
        <v>6</v>
      </c>
      <c r="G19" s="21" t="s">
        <v>58</v>
      </c>
      <c r="H19" s="21"/>
      <c r="I19" s="12"/>
      <c r="J19" s="21"/>
      <c r="K19" s="12"/>
      <c r="L19" s="12" t="s">
        <v>7899</v>
      </c>
      <c r="M19" s="12" t="s">
        <v>114</v>
      </c>
    </row>
    <row r="20" spans="1:13" ht="66">
      <c r="A20" s="12" t="str">
        <f t="shared" si="0"/>
        <v>EC</v>
      </c>
      <c r="B20" s="21" t="s">
        <v>13793</v>
      </c>
      <c r="C20" s="21" t="s">
        <v>2262</v>
      </c>
      <c r="D20" s="12" t="s">
        <v>57</v>
      </c>
      <c r="E20" s="14"/>
      <c r="F20" s="12">
        <v>7</v>
      </c>
      <c r="G20" s="21" t="s">
        <v>58</v>
      </c>
      <c r="H20" s="21"/>
      <c r="I20" s="12"/>
      <c r="J20" s="21"/>
      <c r="K20" s="12"/>
      <c r="L20" s="12" t="s">
        <v>7900</v>
      </c>
      <c r="M20" s="12" t="s">
        <v>114</v>
      </c>
    </row>
    <row r="21" spans="1:13" ht="26.4">
      <c r="A21" s="12" t="str">
        <f t="shared" si="0"/>
        <v>EC</v>
      </c>
      <c r="B21" s="21" t="s">
        <v>13794</v>
      </c>
      <c r="C21" s="21" t="s">
        <v>7878</v>
      </c>
      <c r="D21" s="12" t="s">
        <v>57</v>
      </c>
      <c r="E21" s="14"/>
      <c r="F21" s="12">
        <v>8</v>
      </c>
      <c r="G21" s="21" t="s">
        <v>58</v>
      </c>
      <c r="H21" s="21"/>
      <c r="I21" s="12"/>
      <c r="J21" s="21"/>
      <c r="K21" s="12"/>
      <c r="L21" s="12" t="s">
        <v>7901</v>
      </c>
      <c r="M21" s="12" t="s">
        <v>114</v>
      </c>
    </row>
    <row r="22" spans="1:13" ht="26.4">
      <c r="A22" s="12" t="str">
        <f t="shared" si="0"/>
        <v>EC</v>
      </c>
      <c r="B22" s="12" t="s">
        <v>13795</v>
      </c>
      <c r="C22" s="12" t="s">
        <v>7879</v>
      </c>
      <c r="D22" s="12" t="s">
        <v>57</v>
      </c>
      <c r="E22" s="12"/>
      <c r="F22" s="12">
        <v>9</v>
      </c>
      <c r="G22" s="12" t="s">
        <v>58</v>
      </c>
      <c r="H22" s="12"/>
      <c r="I22" s="12"/>
      <c r="J22" s="12"/>
      <c r="K22" s="12"/>
      <c r="L22" s="12" t="s">
        <v>7902</v>
      </c>
      <c r="M22" s="12" t="s">
        <v>114</v>
      </c>
    </row>
    <row r="23" spans="1:13" ht="39.6">
      <c r="A23" s="12" t="str">
        <f t="shared" si="0"/>
        <v>EC</v>
      </c>
      <c r="B23" s="12" t="s">
        <v>13796</v>
      </c>
      <c r="C23" s="12" t="s">
        <v>7880</v>
      </c>
      <c r="D23" s="12" t="s">
        <v>57</v>
      </c>
      <c r="E23" s="12" t="s">
        <v>87</v>
      </c>
      <c r="F23" s="12">
        <v>10</v>
      </c>
      <c r="G23" s="12" t="s">
        <v>88</v>
      </c>
      <c r="H23" s="12"/>
      <c r="I23" s="12"/>
      <c r="J23" s="12"/>
      <c r="K23" s="12"/>
      <c r="L23" s="12" t="s">
        <v>13835</v>
      </c>
      <c r="M23" s="12" t="s">
        <v>62</v>
      </c>
    </row>
    <row r="24" spans="1:13" ht="105.6">
      <c r="A24" s="12" t="str">
        <f t="shared" si="0"/>
        <v>EC</v>
      </c>
      <c r="B24" s="12" t="s">
        <v>13797</v>
      </c>
      <c r="C24" s="12" t="s">
        <v>13830</v>
      </c>
      <c r="D24" s="12" t="s">
        <v>57</v>
      </c>
      <c r="E24" s="14" t="str" cm="1">
        <f t="array" aca="1" ref="E24" ca="1">HYPERLINK("#"&amp;CELL("address", INDEX(ControlledTerms!E:E,MATCH("C125923",ControlledTerms!E:E,0))),"(BRDGMOOD)")</f>
        <v>(BRDGMOOD)</v>
      </c>
      <c r="F24" s="12">
        <v>11</v>
      </c>
      <c r="G24" s="12" t="s">
        <v>107</v>
      </c>
      <c r="H24" s="12"/>
      <c r="I24" s="12"/>
      <c r="J24" s="12"/>
      <c r="K24" s="12"/>
      <c r="L24" s="12" t="s">
        <v>13836</v>
      </c>
      <c r="M24" s="12" t="s">
        <v>114</v>
      </c>
    </row>
    <row r="25" spans="1:13" ht="26.4">
      <c r="A25" s="12" t="str">
        <f t="shared" si="0"/>
        <v>EC</v>
      </c>
      <c r="B25" s="12" t="s">
        <v>13798</v>
      </c>
      <c r="C25" s="12" t="s">
        <v>7881</v>
      </c>
      <c r="D25" s="12" t="s">
        <v>57</v>
      </c>
      <c r="E25" s="12" t="s">
        <v>87</v>
      </c>
      <c r="F25" s="12">
        <v>12</v>
      </c>
      <c r="G25" s="12" t="s">
        <v>387</v>
      </c>
      <c r="H25" s="12"/>
      <c r="I25" s="12"/>
      <c r="J25" s="12"/>
      <c r="K25" s="12"/>
      <c r="L25" s="12" t="s">
        <v>13837</v>
      </c>
      <c r="M25" s="12" t="s">
        <v>114</v>
      </c>
    </row>
    <row r="26" spans="1:13" ht="26.4">
      <c r="A26" s="12" t="str">
        <f t="shared" si="0"/>
        <v>EC</v>
      </c>
      <c r="B26" s="12" t="s">
        <v>13799</v>
      </c>
      <c r="C26" s="12" t="s">
        <v>7882</v>
      </c>
      <c r="D26" s="12" t="s">
        <v>57</v>
      </c>
      <c r="E26" s="12" t="s">
        <v>87</v>
      </c>
      <c r="F26" s="12">
        <v>13</v>
      </c>
      <c r="G26" s="12" t="s">
        <v>387</v>
      </c>
      <c r="H26" s="12"/>
      <c r="I26" s="12"/>
      <c r="J26" s="12"/>
      <c r="K26" s="12"/>
      <c r="L26" s="12" t="s">
        <v>13838</v>
      </c>
      <c r="M26" s="12" t="s">
        <v>114</v>
      </c>
    </row>
    <row r="27" spans="1:13" ht="39.6">
      <c r="A27" s="12" t="str">
        <f t="shared" si="0"/>
        <v>EC</v>
      </c>
      <c r="B27" s="12" t="s">
        <v>13800</v>
      </c>
      <c r="C27" s="12" t="s">
        <v>13831</v>
      </c>
      <c r="D27" s="12" t="s">
        <v>57</v>
      </c>
      <c r="E27" s="14" t="str" cm="1">
        <f t="array" aca="1" ref="E27" ca="1">HYPERLINK("#"&amp;CELL("address", INDEX(ControlledTerms!E:E,MATCH("C66742",ControlledTerms!E:E,0))),"(NY)")</f>
        <v>(NY)</v>
      </c>
      <c r="F27" s="12">
        <v>14</v>
      </c>
      <c r="G27" s="12" t="s">
        <v>329</v>
      </c>
      <c r="H27" s="12"/>
      <c r="I27" s="12"/>
      <c r="J27" s="12"/>
      <c r="K27" s="12"/>
      <c r="L27" s="12" t="s">
        <v>13839</v>
      </c>
      <c r="M27" s="12" t="s">
        <v>114</v>
      </c>
    </row>
    <row r="28" spans="1:13" ht="66">
      <c r="A28" s="12" t="str">
        <f t="shared" si="0"/>
        <v>EC</v>
      </c>
      <c r="B28" s="12" t="s">
        <v>13801</v>
      </c>
      <c r="C28" s="12" t="s">
        <v>2194</v>
      </c>
      <c r="D28" s="12" t="s">
        <v>57</v>
      </c>
      <c r="E28" s="14" t="str" cm="1">
        <f t="array" aca="1" ref="E28" ca="1">HYPERLINK("#"&amp;CELL("address", INDEX(ControlledTerms!E:E,MATCH("C66742",ControlledTerms!E:E,0))),"(NY)")</f>
        <v>(NY)</v>
      </c>
      <c r="F28" s="12">
        <v>15</v>
      </c>
      <c r="G28" s="12" t="s">
        <v>107</v>
      </c>
      <c r="H28" s="12"/>
      <c r="I28" s="12"/>
      <c r="J28" s="12"/>
      <c r="K28" s="12"/>
      <c r="L28" s="12" t="s">
        <v>13840</v>
      </c>
      <c r="M28" s="12" t="s">
        <v>114</v>
      </c>
    </row>
    <row r="29" spans="1:13" ht="39.6">
      <c r="A29" s="12" t="str">
        <f t="shared" si="0"/>
        <v>EC</v>
      </c>
      <c r="B29" s="12" t="s">
        <v>13802</v>
      </c>
      <c r="C29" s="12" t="s">
        <v>2196</v>
      </c>
      <c r="D29" s="12" t="s">
        <v>57</v>
      </c>
      <c r="E29" s="14"/>
      <c r="F29" s="12">
        <v>16</v>
      </c>
      <c r="G29" s="12" t="s">
        <v>107</v>
      </c>
      <c r="H29" s="12"/>
      <c r="I29" s="12"/>
      <c r="J29" s="12"/>
      <c r="K29" s="12"/>
      <c r="L29" s="12" t="s">
        <v>13841</v>
      </c>
      <c r="M29" s="12" t="s">
        <v>114</v>
      </c>
    </row>
    <row r="30" spans="1:13" ht="39.6">
      <c r="A30" s="12" t="str">
        <f t="shared" si="0"/>
        <v>EC</v>
      </c>
      <c r="B30" s="12" t="s">
        <v>13803</v>
      </c>
      <c r="C30" s="12" t="s">
        <v>745</v>
      </c>
      <c r="D30" s="12" t="s">
        <v>101</v>
      </c>
      <c r="E30" s="14"/>
      <c r="F30" s="12">
        <v>17</v>
      </c>
      <c r="G30" s="12" t="s">
        <v>107</v>
      </c>
      <c r="H30" s="12"/>
      <c r="I30" s="12"/>
      <c r="J30" s="12"/>
      <c r="K30" s="12"/>
      <c r="L30" s="12" t="s">
        <v>13842</v>
      </c>
      <c r="M30" s="12" t="s">
        <v>126</v>
      </c>
    </row>
    <row r="31" spans="1:13" ht="66">
      <c r="A31" s="12" t="str">
        <f t="shared" si="0"/>
        <v>EC</v>
      </c>
      <c r="B31" s="12" t="s">
        <v>13804</v>
      </c>
      <c r="C31" s="12" t="s">
        <v>2289</v>
      </c>
      <c r="D31" s="12" t="s">
        <v>57</v>
      </c>
      <c r="E31" s="12"/>
      <c r="F31" s="12">
        <v>18</v>
      </c>
      <c r="G31" s="12" t="s">
        <v>107</v>
      </c>
      <c r="H31" s="12"/>
      <c r="I31" s="12"/>
      <c r="J31" s="12"/>
      <c r="K31" s="12"/>
      <c r="L31" s="12" t="s">
        <v>13843</v>
      </c>
      <c r="M31" s="12" t="s">
        <v>114</v>
      </c>
    </row>
    <row r="32" spans="1:13" ht="26.4">
      <c r="A32" s="12" t="str">
        <f t="shared" si="0"/>
        <v>EC</v>
      </c>
      <c r="B32" s="12" t="s">
        <v>13805</v>
      </c>
      <c r="C32" s="12" t="s">
        <v>754</v>
      </c>
      <c r="D32" s="12" t="s">
        <v>57</v>
      </c>
      <c r="E32" s="14" t="str" cm="1">
        <f t="array" aca="1" ref="E32" ca="1">HYPERLINK("#"&amp;CELL("address", INDEX(ControlledTerms!E:E,MATCH("C71620",ControlledTerms!E:E,0))),"(UNIT)")</f>
        <v>(UNIT)</v>
      </c>
      <c r="F32" s="12">
        <v>19</v>
      </c>
      <c r="G32" s="12" t="s">
        <v>329</v>
      </c>
      <c r="H32" s="12"/>
      <c r="I32" s="12"/>
      <c r="J32" s="12"/>
      <c r="K32" s="12"/>
      <c r="L32" s="12" t="s">
        <v>13844</v>
      </c>
      <c r="M32" s="12" t="s">
        <v>126</v>
      </c>
    </row>
    <row r="33" spans="1:13" ht="26.4">
      <c r="A33" s="12" t="str">
        <f t="shared" si="0"/>
        <v>EC</v>
      </c>
      <c r="B33" s="12" t="s">
        <v>13806</v>
      </c>
      <c r="C33" s="12" t="s">
        <v>746</v>
      </c>
      <c r="D33" s="12" t="s">
        <v>57</v>
      </c>
      <c r="E33" s="14" t="str" cm="1">
        <f t="array" aca="1" ref="E33" ca="1">HYPERLINK("#"&amp;CELL("address", INDEX(ControlledTerms!E:E,MATCH("C66726",ControlledTerms!E:E,0))),"(FRM)")</f>
        <v>(FRM)</v>
      </c>
      <c r="F33" s="12">
        <v>20</v>
      </c>
      <c r="G33" s="12" t="s">
        <v>329</v>
      </c>
      <c r="H33" s="12"/>
      <c r="I33" s="12"/>
      <c r="J33" s="12"/>
      <c r="K33" s="12"/>
      <c r="L33" s="12" t="s">
        <v>13845</v>
      </c>
      <c r="M33" s="12" t="s">
        <v>126</v>
      </c>
    </row>
    <row r="34" spans="1:13" ht="52.8">
      <c r="A34" s="12" t="str">
        <f t="shared" si="0"/>
        <v>EC</v>
      </c>
      <c r="B34" s="12" t="s">
        <v>13807</v>
      </c>
      <c r="C34" s="12" t="s">
        <v>2293</v>
      </c>
      <c r="D34" s="12" t="s">
        <v>57</v>
      </c>
      <c r="E34" s="14" t="str" cm="1">
        <f t="array" aca="1" ref="E34" ca="1">HYPERLINK("#"&amp;CELL("address", INDEX(ControlledTerms!E:E,MATCH("C71113",ControlledTerms!E:E,0))),"(FREQ)")</f>
        <v>(FREQ)</v>
      </c>
      <c r="F34" s="12">
        <v>21</v>
      </c>
      <c r="G34" s="12" t="s">
        <v>107</v>
      </c>
      <c r="H34" s="12"/>
      <c r="I34" s="12"/>
      <c r="J34" s="12"/>
      <c r="K34" s="12"/>
      <c r="L34" s="12" t="s">
        <v>13846</v>
      </c>
      <c r="M34" s="12" t="s">
        <v>114</v>
      </c>
    </row>
    <row r="35" spans="1:13" ht="39.6">
      <c r="A35" s="12" t="str">
        <f t="shared" si="0"/>
        <v>EC</v>
      </c>
      <c r="B35" s="12" t="s">
        <v>13808</v>
      </c>
      <c r="C35" s="12" t="s">
        <v>2295</v>
      </c>
      <c r="D35" s="12" t="s">
        <v>101</v>
      </c>
      <c r="E35" s="14"/>
      <c r="F35" s="12">
        <v>22</v>
      </c>
      <c r="G35" s="12" t="s">
        <v>107</v>
      </c>
      <c r="H35" s="12"/>
      <c r="I35" s="12"/>
      <c r="J35" s="12"/>
      <c r="K35" s="12"/>
      <c r="L35" s="12" t="s">
        <v>13847</v>
      </c>
      <c r="M35" s="12" t="s">
        <v>114</v>
      </c>
    </row>
    <row r="36" spans="1:13" ht="52.8">
      <c r="A36" s="12" t="str">
        <f t="shared" si="0"/>
        <v>EC</v>
      </c>
      <c r="B36" s="12" t="s">
        <v>13809</v>
      </c>
      <c r="C36" s="12" t="s">
        <v>2297</v>
      </c>
      <c r="D36" s="12" t="s">
        <v>57</v>
      </c>
      <c r="E36" s="14"/>
      <c r="F36" s="12">
        <v>23</v>
      </c>
      <c r="G36" s="12" t="s">
        <v>107</v>
      </c>
      <c r="H36" s="12"/>
      <c r="I36" s="12"/>
      <c r="J36" s="12"/>
      <c r="K36" s="12"/>
      <c r="L36" s="12" t="s">
        <v>13848</v>
      </c>
      <c r="M36" s="12" t="s">
        <v>114</v>
      </c>
    </row>
    <row r="37" spans="1:13" ht="39.6">
      <c r="A37" s="12" t="str">
        <f t="shared" si="0"/>
        <v>EC</v>
      </c>
      <c r="B37" s="12" t="s">
        <v>13810</v>
      </c>
      <c r="C37" s="12" t="s">
        <v>913</v>
      </c>
      <c r="D37" s="12" t="s">
        <v>57</v>
      </c>
      <c r="E37" s="14" t="str" cm="1">
        <f t="array" aca="1" ref="E37" ca="1">HYPERLINK("#"&amp;CELL("address", INDEX(ControlledTerms!E:E,MATCH("C66729",ControlledTerms!E:E,0))),"(ROUTE)")</f>
        <v>(ROUTE)</v>
      </c>
      <c r="F37" s="12">
        <v>24</v>
      </c>
      <c r="G37" s="12" t="s">
        <v>329</v>
      </c>
      <c r="H37" s="12"/>
      <c r="I37" s="12"/>
      <c r="J37" s="12"/>
      <c r="K37" s="12"/>
      <c r="L37" s="12" t="s">
        <v>2347</v>
      </c>
      <c r="M37" s="12" t="s">
        <v>114</v>
      </c>
    </row>
    <row r="38" spans="1:13" ht="26.4">
      <c r="A38" s="12" t="str">
        <f t="shared" si="0"/>
        <v>EC</v>
      </c>
      <c r="B38" s="12" t="s">
        <v>13811</v>
      </c>
      <c r="C38" s="12" t="s">
        <v>7883</v>
      </c>
      <c r="D38" s="12" t="s">
        <v>57</v>
      </c>
      <c r="E38" s="12"/>
      <c r="F38" s="12">
        <v>25</v>
      </c>
      <c r="G38" s="12" t="s">
        <v>107</v>
      </c>
      <c r="H38" s="12"/>
      <c r="I38" s="12"/>
      <c r="J38" s="12"/>
      <c r="K38" s="12"/>
      <c r="L38" s="12" t="s">
        <v>13849</v>
      </c>
      <c r="M38" s="12" t="s">
        <v>114</v>
      </c>
    </row>
    <row r="39" spans="1:13" ht="26.4">
      <c r="A39" s="12" t="str">
        <f t="shared" si="0"/>
        <v>EC</v>
      </c>
      <c r="B39" s="12" t="s">
        <v>13812</v>
      </c>
      <c r="C39" s="12" t="s">
        <v>7884</v>
      </c>
      <c r="D39" s="12" t="s">
        <v>57</v>
      </c>
      <c r="E39" s="14" t="str" cm="1">
        <f t="array" aca="1" ref="E39" ca="1">HYPERLINK("#"&amp;CELL("address", INDEX(ControlledTerms!E:E,MATCH("C74456",ControlledTerms!E:E,0))),"(LOC)")</f>
        <v>(LOC)</v>
      </c>
      <c r="F39" s="12">
        <v>26</v>
      </c>
      <c r="G39" s="12" t="s">
        <v>107</v>
      </c>
      <c r="H39" s="12"/>
      <c r="I39" s="12"/>
      <c r="J39" s="12"/>
      <c r="K39" s="12"/>
      <c r="L39" s="12" t="s">
        <v>13850</v>
      </c>
      <c r="M39" s="12" t="s">
        <v>114</v>
      </c>
    </row>
    <row r="40" spans="1:13" ht="52.8">
      <c r="A40" s="12" t="str">
        <f t="shared" si="0"/>
        <v>EC</v>
      </c>
      <c r="B40" s="12" t="s">
        <v>13813</v>
      </c>
      <c r="C40" s="12" t="s">
        <v>7885</v>
      </c>
      <c r="D40" s="12" t="s">
        <v>57</v>
      </c>
      <c r="E40" s="14" t="str" cm="1">
        <f t="array" aca="1" ref="E40" ca="1">HYPERLINK("#"&amp;CELL("address", INDEX(ControlledTerms!E:E,MATCH("C99073",ControlledTerms!E:E,0))),"(LAT)")</f>
        <v>(LAT)</v>
      </c>
      <c r="F40" s="12">
        <v>27</v>
      </c>
      <c r="G40" s="12" t="s">
        <v>329</v>
      </c>
      <c r="H40" s="12"/>
      <c r="I40" s="12"/>
      <c r="J40" s="12"/>
      <c r="K40" s="12"/>
      <c r="L40" s="12" t="s">
        <v>7914</v>
      </c>
      <c r="M40" s="12" t="s">
        <v>114</v>
      </c>
    </row>
    <row r="41" spans="1:13" ht="52.8">
      <c r="A41" s="12" t="str">
        <f t="shared" si="0"/>
        <v>EC</v>
      </c>
      <c r="B41" s="12" t="s">
        <v>13814</v>
      </c>
      <c r="C41" s="12" t="s">
        <v>7886</v>
      </c>
      <c r="D41" s="12" t="s">
        <v>57</v>
      </c>
      <c r="E41" s="14" t="str" cm="1">
        <f t="array" aca="1" ref="E41" ca="1">HYPERLINK("#"&amp;CELL("address", INDEX(ControlledTerms!E:E,MATCH("C99074",ControlledTerms!E:E,0))),"(DIR)")</f>
        <v>(DIR)</v>
      </c>
      <c r="F41" s="12">
        <v>28</v>
      </c>
      <c r="G41" s="12" t="s">
        <v>329</v>
      </c>
      <c r="H41" s="12"/>
      <c r="I41" s="12"/>
      <c r="J41" s="12"/>
      <c r="K41" s="12"/>
      <c r="L41" s="12" t="s">
        <v>7915</v>
      </c>
      <c r="M41" s="12" t="s">
        <v>114</v>
      </c>
    </row>
    <row r="42" spans="1:13" ht="52.8">
      <c r="A42" s="12" t="str">
        <f t="shared" si="0"/>
        <v>EC</v>
      </c>
      <c r="B42" s="12" t="s">
        <v>13815</v>
      </c>
      <c r="C42" s="12" t="s">
        <v>13832</v>
      </c>
      <c r="D42" s="12" t="s">
        <v>57</v>
      </c>
      <c r="E42" s="14" t="str" cm="1">
        <f t="array" aca="1" ref="E42" ca="1">HYPERLINK("#"&amp;CELL("address", INDEX(ControlledTerms!E:E,MATCH("C99075",ControlledTerms!E:E,0))),"(PORTOT)")</f>
        <v>(PORTOT)</v>
      </c>
      <c r="F42" s="12">
        <v>29</v>
      </c>
      <c r="G42" s="12" t="s">
        <v>329</v>
      </c>
      <c r="H42" s="12"/>
      <c r="I42" s="12"/>
      <c r="J42" s="12"/>
      <c r="K42" s="12"/>
      <c r="L42" s="12" t="s">
        <v>13851</v>
      </c>
      <c r="M42" s="12" t="s">
        <v>114</v>
      </c>
    </row>
    <row r="43" spans="1:13" ht="26.4">
      <c r="A43" s="12" t="str">
        <f t="shared" si="0"/>
        <v>EC</v>
      </c>
      <c r="B43" s="12" t="s">
        <v>13816</v>
      </c>
      <c r="C43" s="12" t="s">
        <v>7887</v>
      </c>
      <c r="D43" s="12" t="s">
        <v>57</v>
      </c>
      <c r="E43" s="14" t="str" cm="1">
        <f t="array" aca="1" ref="E43" ca="1">HYPERLINK("#"&amp;CELL("address", INDEX(ControlledTerms!E:E,MATCH("C66742",ControlledTerms!E:E,0))),"(NY)")</f>
        <v>(NY)</v>
      </c>
      <c r="F43" s="12">
        <v>30</v>
      </c>
      <c r="G43" s="12" t="s">
        <v>107</v>
      </c>
      <c r="H43" s="12"/>
      <c r="I43" s="12"/>
      <c r="J43" s="12"/>
      <c r="K43" s="12"/>
      <c r="L43" s="12" t="s">
        <v>7916</v>
      </c>
      <c r="M43" s="12" t="s">
        <v>114</v>
      </c>
    </row>
    <row r="44" spans="1:13" ht="66">
      <c r="A44" s="12" t="str">
        <f t="shared" si="0"/>
        <v>EC</v>
      </c>
      <c r="B44" s="12" t="s">
        <v>13817</v>
      </c>
      <c r="C44" s="12" t="s">
        <v>13833</v>
      </c>
      <c r="D44" s="12" t="s">
        <v>101</v>
      </c>
      <c r="E44" s="14"/>
      <c r="F44" s="12">
        <v>31</v>
      </c>
      <c r="G44" s="12" t="s">
        <v>107</v>
      </c>
      <c r="H44" s="12"/>
      <c r="I44" s="12"/>
      <c r="J44" s="12"/>
      <c r="K44" s="12"/>
      <c r="L44" s="12" t="s">
        <v>13852</v>
      </c>
      <c r="M44" s="12" t="s">
        <v>114</v>
      </c>
    </row>
    <row r="45" spans="1:13" ht="26.4">
      <c r="A45" s="12" t="str">
        <f t="shared" si="0"/>
        <v>EC</v>
      </c>
      <c r="B45" s="12" t="s">
        <v>13818</v>
      </c>
      <c r="C45" s="12" t="s">
        <v>13834</v>
      </c>
      <c r="D45" s="12" t="s">
        <v>57</v>
      </c>
      <c r="E45" s="14" t="str" cm="1">
        <f t="array" aca="1" ref="E45" ca="1">HYPERLINK("#"&amp;CELL("address", INDEX(ControlledTerms!E:E,MATCH("C71620",ControlledTerms!E:E,0))),"(UNIT)")</f>
        <v>(UNIT)</v>
      </c>
      <c r="F45" s="12">
        <v>32</v>
      </c>
      <c r="G45" s="12" t="s">
        <v>329</v>
      </c>
      <c r="H45" s="12"/>
      <c r="I45" s="12"/>
      <c r="J45" s="12"/>
      <c r="K45" s="12"/>
      <c r="L45" s="12" t="s">
        <v>13853</v>
      </c>
      <c r="M45" s="12" t="s">
        <v>114</v>
      </c>
    </row>
    <row r="46" spans="1:13" ht="26.4">
      <c r="A46" s="12" t="str">
        <f t="shared" si="0"/>
        <v>EC</v>
      </c>
      <c r="B46" s="12" t="s">
        <v>13819</v>
      </c>
      <c r="C46" s="12" t="s">
        <v>2300</v>
      </c>
      <c r="D46" s="12" t="s">
        <v>57</v>
      </c>
      <c r="E46" s="12"/>
      <c r="F46" s="12">
        <v>33</v>
      </c>
      <c r="G46" s="12" t="s">
        <v>107</v>
      </c>
      <c r="H46" s="12"/>
      <c r="I46" s="12"/>
      <c r="J46" s="12"/>
      <c r="K46" s="12"/>
      <c r="L46" s="12" t="s">
        <v>7917</v>
      </c>
      <c r="M46" s="12" t="s">
        <v>114</v>
      </c>
    </row>
    <row r="47" spans="1:13" ht="26.4">
      <c r="A47" s="12" t="str">
        <f t="shared" si="0"/>
        <v>EC</v>
      </c>
      <c r="B47" s="12" t="s">
        <v>99</v>
      </c>
      <c r="C47" s="12" t="s">
        <v>100</v>
      </c>
      <c r="D47" s="12" t="s">
        <v>101</v>
      </c>
      <c r="E47" s="12"/>
      <c r="F47" s="12">
        <v>34</v>
      </c>
      <c r="G47" s="12" t="s">
        <v>102</v>
      </c>
      <c r="H47" s="12"/>
      <c r="I47" s="12"/>
      <c r="J47" s="12"/>
      <c r="K47" s="12"/>
      <c r="L47" s="12" t="s">
        <v>7918</v>
      </c>
      <c r="M47" s="12" t="s">
        <v>114</v>
      </c>
    </row>
    <row r="48" spans="1:13" ht="39.6">
      <c r="A48" s="12" t="str">
        <f t="shared" si="0"/>
        <v>EC</v>
      </c>
      <c r="B48" s="12" t="s">
        <v>119</v>
      </c>
      <c r="C48" s="12" t="s">
        <v>122</v>
      </c>
      <c r="D48" s="12" t="s">
        <v>57</v>
      </c>
      <c r="E48" s="14" t="str" cm="1">
        <f t="array" aca="1" ref="E48" ca="1">HYPERLINK("#"&amp;CELL("address", INDEX(ControlledTerms!E:E,MATCH("C99079",ControlledTerms!E:E,0))),"(EPOCH)")</f>
        <v>(EPOCH)</v>
      </c>
      <c r="F48" s="12">
        <v>35</v>
      </c>
      <c r="G48" s="12" t="s">
        <v>102</v>
      </c>
      <c r="H48" s="12"/>
      <c r="I48" s="12"/>
      <c r="J48" s="12"/>
      <c r="K48" s="12"/>
      <c r="L48" s="12" t="s">
        <v>13854</v>
      </c>
      <c r="M48" s="12" t="s">
        <v>114</v>
      </c>
    </row>
    <row r="49" spans="1:13" ht="39.6">
      <c r="A49" s="12" t="str">
        <f t="shared" si="0"/>
        <v>EC</v>
      </c>
      <c r="B49" s="12" t="s">
        <v>13820</v>
      </c>
      <c r="C49" s="12" t="s">
        <v>7888</v>
      </c>
      <c r="D49" s="12" t="s">
        <v>57</v>
      </c>
      <c r="E49" s="14" t="str" cm="1">
        <f t="array" aca="1" ref="E49" ca="1">HYPERLINK("#"&amp;CELL("address", INDEX(Format!A:A,MATCH("ISO 8601 datetime or interval",Format!A:A,0))),"ISO 8601 datetime or interval")</f>
        <v>ISO 8601 datetime or interval</v>
      </c>
      <c r="F49" s="12">
        <v>36</v>
      </c>
      <c r="G49" s="12" t="s">
        <v>102</v>
      </c>
      <c r="H49" s="12"/>
      <c r="I49" s="12"/>
      <c r="J49" s="12"/>
      <c r="K49" s="12"/>
      <c r="L49" s="12" t="s">
        <v>13855</v>
      </c>
      <c r="M49" s="12" t="s">
        <v>126</v>
      </c>
    </row>
    <row r="50" spans="1:13" ht="118.8">
      <c r="A50" s="12" t="str">
        <f t="shared" si="0"/>
        <v>EC</v>
      </c>
      <c r="B50" s="12" t="s">
        <v>13821</v>
      </c>
      <c r="C50" s="12" t="s">
        <v>7889</v>
      </c>
      <c r="D50" s="12" t="s">
        <v>57</v>
      </c>
      <c r="E50" s="14" t="str" cm="1">
        <f t="array" aca="1" ref="E50" ca="1">HYPERLINK("#"&amp;CELL("address", INDEX(Format!A:A,MATCH("ISO 8601 datetime or interval",Format!A:A,0))),"ISO 8601 datetime or interval")</f>
        <v>ISO 8601 datetime or interval</v>
      </c>
      <c r="F50" s="12">
        <v>37</v>
      </c>
      <c r="G50" s="12" t="s">
        <v>102</v>
      </c>
      <c r="H50" s="12"/>
      <c r="I50" s="12"/>
      <c r="J50" s="12"/>
      <c r="K50" s="12"/>
      <c r="L50" s="12" t="s">
        <v>13856</v>
      </c>
      <c r="M50" s="12" t="s">
        <v>126</v>
      </c>
    </row>
    <row r="51" spans="1:13" ht="26.4">
      <c r="A51" s="12" t="str">
        <f t="shared" si="0"/>
        <v>EC</v>
      </c>
      <c r="B51" s="12" t="s">
        <v>13822</v>
      </c>
      <c r="C51" s="12" t="s">
        <v>7890</v>
      </c>
      <c r="D51" s="12" t="s">
        <v>101</v>
      </c>
      <c r="E51" s="12"/>
      <c r="F51" s="12">
        <v>38</v>
      </c>
      <c r="G51" s="12" t="s">
        <v>102</v>
      </c>
      <c r="H51" s="12"/>
      <c r="I51" s="12"/>
      <c r="J51" s="12"/>
      <c r="K51" s="12"/>
      <c r="L51" s="12" t="s">
        <v>13857</v>
      </c>
      <c r="M51" s="12" t="s">
        <v>114</v>
      </c>
    </row>
    <row r="52" spans="1:13" ht="26.4">
      <c r="A52" s="12" t="str">
        <f t="shared" si="0"/>
        <v>EC</v>
      </c>
      <c r="B52" s="12" t="s">
        <v>13823</v>
      </c>
      <c r="C52" s="12" t="s">
        <v>7891</v>
      </c>
      <c r="D52" s="12" t="s">
        <v>101</v>
      </c>
      <c r="E52" s="12"/>
      <c r="F52" s="12">
        <v>39</v>
      </c>
      <c r="G52" s="12" t="s">
        <v>102</v>
      </c>
      <c r="H52" s="12"/>
      <c r="I52" s="12"/>
      <c r="J52" s="12"/>
      <c r="K52" s="12"/>
      <c r="L52" s="12" t="s">
        <v>13858</v>
      </c>
      <c r="M52" s="12" t="s">
        <v>114</v>
      </c>
    </row>
    <row r="53" spans="1:13" ht="52.8">
      <c r="A53" s="12" t="str">
        <f t="shared" si="0"/>
        <v>EC</v>
      </c>
      <c r="B53" s="12" t="s">
        <v>13824</v>
      </c>
      <c r="C53" s="12" t="s">
        <v>7892</v>
      </c>
      <c r="D53" s="12" t="s">
        <v>57</v>
      </c>
      <c r="E53" s="14" t="str" cm="1">
        <f t="array" aca="1" ref="E53" ca="1">HYPERLINK("#"&amp;CELL("address", INDEX(Format!A:A,MATCH("ISO 8601 duration",Format!A:A,0))),"ISO 8601 duration")</f>
        <v>ISO 8601 duration</v>
      </c>
      <c r="F53" s="12">
        <v>40</v>
      </c>
      <c r="G53" s="12" t="s">
        <v>102</v>
      </c>
      <c r="H53" s="12"/>
      <c r="I53" s="12"/>
      <c r="J53" s="12"/>
      <c r="K53" s="12"/>
      <c r="L53" s="12" t="s">
        <v>7924</v>
      </c>
      <c r="M53" s="12" t="s">
        <v>114</v>
      </c>
    </row>
    <row r="54" spans="1:13" ht="79.2">
      <c r="A54" s="12" t="str">
        <f t="shared" si="0"/>
        <v>EC</v>
      </c>
      <c r="B54" s="12" t="s">
        <v>13825</v>
      </c>
      <c r="C54" s="12" t="s">
        <v>7893</v>
      </c>
      <c r="D54" s="12" t="s">
        <v>57</v>
      </c>
      <c r="E54" s="12"/>
      <c r="F54" s="12">
        <v>41</v>
      </c>
      <c r="G54" s="12" t="s">
        <v>102</v>
      </c>
      <c r="H54" s="12"/>
      <c r="I54" s="12"/>
      <c r="J54" s="12"/>
      <c r="K54" s="12"/>
      <c r="L54" s="12" t="s">
        <v>13859</v>
      </c>
      <c r="M54" s="12" t="s">
        <v>114</v>
      </c>
    </row>
    <row r="55" spans="1:13" ht="26.4">
      <c r="A55" s="12" t="str">
        <f t="shared" si="0"/>
        <v>EC</v>
      </c>
      <c r="B55" s="12" t="s">
        <v>13826</v>
      </c>
      <c r="C55" s="12" t="s">
        <v>7894</v>
      </c>
      <c r="D55" s="12" t="s">
        <v>101</v>
      </c>
      <c r="E55" s="12"/>
      <c r="F55" s="12">
        <v>42</v>
      </c>
      <c r="G55" s="12" t="s">
        <v>102</v>
      </c>
      <c r="H55" s="12"/>
      <c r="I55" s="12"/>
      <c r="J55" s="12"/>
      <c r="K55" s="12"/>
      <c r="L55" s="12" t="s">
        <v>13860</v>
      </c>
      <c r="M55" s="12" t="s">
        <v>114</v>
      </c>
    </row>
    <row r="56" spans="1:13" ht="52.8">
      <c r="A56" s="12" t="str">
        <f t="shared" si="0"/>
        <v>EC</v>
      </c>
      <c r="B56" s="12" t="s">
        <v>13827</v>
      </c>
      <c r="C56" s="12" t="s">
        <v>7895</v>
      </c>
      <c r="D56" s="12" t="s">
        <v>57</v>
      </c>
      <c r="E56" s="14" t="str" cm="1">
        <f t="array" aca="1" ref="E56" ca="1">HYPERLINK("#"&amp;CELL("address", INDEX(Format!A:A,MATCH("ISO 8601 duration",Format!A:A,0))),"ISO 8601 duration")</f>
        <v>ISO 8601 duration</v>
      </c>
      <c r="F56" s="12">
        <v>43</v>
      </c>
      <c r="G56" s="12" t="s">
        <v>102</v>
      </c>
      <c r="H56" s="12"/>
      <c r="I56" s="12"/>
      <c r="J56" s="12"/>
      <c r="K56" s="12"/>
      <c r="L56" s="12" t="s">
        <v>13861</v>
      </c>
      <c r="M56" s="12" t="s">
        <v>114</v>
      </c>
    </row>
    <row r="57" spans="1:13" ht="52.8">
      <c r="A57" s="12" t="str">
        <f t="shared" si="0"/>
        <v>EC</v>
      </c>
      <c r="B57" s="12" t="s">
        <v>13828</v>
      </c>
      <c r="C57" s="12" t="s">
        <v>7896</v>
      </c>
      <c r="D57" s="12" t="s">
        <v>57</v>
      </c>
      <c r="E57" s="12"/>
      <c r="F57" s="12">
        <v>44</v>
      </c>
      <c r="G57" s="12" t="s">
        <v>102</v>
      </c>
      <c r="H57" s="12"/>
      <c r="I57" s="12"/>
      <c r="J57" s="12"/>
      <c r="K57" s="12"/>
      <c r="L57" s="12" t="s">
        <v>13862</v>
      </c>
      <c r="M57" s="12" t="s">
        <v>114</v>
      </c>
    </row>
    <row r="58" spans="1:13" ht="39.6">
      <c r="A58" s="12" t="str">
        <f t="shared" si="0"/>
        <v>EC</v>
      </c>
      <c r="B58" s="12" t="s">
        <v>13829</v>
      </c>
      <c r="C58" s="12" t="s">
        <v>7897</v>
      </c>
      <c r="D58" s="12" t="s">
        <v>57</v>
      </c>
      <c r="E58" s="14" t="str" cm="1">
        <f t="array" aca="1" ref="E58" ca="1">HYPERLINK("#"&amp;CELL("address", INDEX(Format!A:A,MATCH("ISO 8601 datetime or interval",Format!A:A,0))),"ISO 8601 datetime or interval")</f>
        <v>ISO 8601 datetime or interval</v>
      </c>
      <c r="F58" s="12">
        <v>45</v>
      </c>
      <c r="G58" s="12" t="s">
        <v>102</v>
      </c>
      <c r="H58" s="12"/>
      <c r="I58" s="12"/>
      <c r="J58" s="12"/>
      <c r="K58" s="12"/>
      <c r="L58" s="12" t="s">
        <v>13863</v>
      </c>
      <c r="M58" s="12" t="s">
        <v>114</v>
      </c>
    </row>
  </sheetData>
  <autoFilter ref="A13:M50" xr:uid="{C0116BDF-748C-41FF-8411-4EB62BE4D9FB}"/>
  <mergeCells count="11">
    <mergeCell ref="B7:M7"/>
    <mergeCell ref="B8:M8"/>
    <mergeCell ref="B9:M9"/>
    <mergeCell ref="B10:M10"/>
    <mergeCell ref="B11:M11"/>
    <mergeCell ref="B6:M6"/>
    <mergeCell ref="B1:M1"/>
    <mergeCell ref="B2:M2"/>
    <mergeCell ref="B3:M3"/>
    <mergeCell ref="B4:M4"/>
    <mergeCell ref="B5:M5"/>
  </mergeCells>
  <hyperlinks>
    <hyperlink ref="B11" r:id="rId1" location="page=107" xr:uid="{B31D1DBF-7BC7-4198-9D25-B0EDF1605D57}"/>
  </hyperlink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D6B2-DD25-4FE1-A91B-E5A4B1C620BB}">
  <sheetPr codeName="Sheet22">
    <tabColor rgb="FF00B050"/>
  </sheetPr>
  <dimension ref="A1:M58"/>
  <sheetViews>
    <sheetView showGridLines="0" topLeftCell="A34" workbookViewId="0">
      <selection activeCell="E55" sqref="E55"/>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1144</v>
      </c>
      <c r="C1" s="37"/>
      <c r="D1" s="37"/>
      <c r="E1" s="37"/>
      <c r="F1" s="37"/>
      <c r="G1" s="37"/>
      <c r="H1" s="37"/>
      <c r="I1" s="37"/>
      <c r="J1" s="37"/>
      <c r="K1" s="37"/>
      <c r="L1" s="37"/>
      <c r="M1" s="37"/>
    </row>
    <row r="2" spans="1:13">
      <c r="A2" s="13" t="str">
        <f>DatasetsName!$C$1</f>
        <v>Dataset Description</v>
      </c>
      <c r="B2" s="37" t="str">
        <f>INDEX(DatasetsName!A1:J118,MATCH(B1,DatasetsName!B:B, 0),3)</f>
        <v>Procedures</v>
      </c>
      <c r="C2" s="37"/>
      <c r="D2" s="37"/>
      <c r="E2" s="37"/>
      <c r="F2" s="37"/>
      <c r="G2" s="37"/>
      <c r="H2" s="37"/>
      <c r="I2" s="37"/>
      <c r="J2" s="37"/>
      <c r="K2" s="37"/>
      <c r="L2" s="37"/>
      <c r="M2" s="37"/>
    </row>
    <row r="3" spans="1:13">
      <c r="A3" s="13" t="str">
        <f>DatasetsName!$D$1</f>
        <v>Dataset Class</v>
      </c>
      <c r="B3" s="37" t="str">
        <f>INDEX(DatasetsName!A1:J118,MATCH(B1,DatasetsName!B:B, 0),4)</f>
        <v>Interventions</v>
      </c>
      <c r="C3" s="37"/>
      <c r="D3" s="37"/>
      <c r="E3" s="37"/>
      <c r="F3" s="37"/>
      <c r="G3" s="37"/>
      <c r="H3" s="37"/>
      <c r="I3" s="37"/>
      <c r="J3" s="37"/>
      <c r="K3" s="37"/>
      <c r="L3" s="37"/>
      <c r="M3" s="37"/>
    </row>
    <row r="4" spans="1:13">
      <c r="A4" s="13" t="str">
        <f>DatasetsName!$E$1</f>
        <v>Dataset Structure</v>
      </c>
      <c r="B4" s="37" t="str">
        <f>INDEX(DatasetsName!A1:J118,MATCH(B1,DatasetsName!B:B, 0),5)</f>
        <v>One record per recorded procedure per occurrence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PRTRT, PRSTDTC</v>
      </c>
      <c r="C6" s="37"/>
      <c r="D6" s="37"/>
      <c r="E6" s="37"/>
      <c r="F6" s="37"/>
      <c r="G6" s="37"/>
      <c r="H6" s="37"/>
      <c r="I6" s="37"/>
      <c r="J6" s="37"/>
      <c r="K6" s="37"/>
      <c r="L6" s="37"/>
      <c r="M6" s="37"/>
    </row>
    <row r="7" spans="1:13">
      <c r="A7" s="13" t="str">
        <f>DatasetsName!$H$1</f>
        <v>Dataset Location</v>
      </c>
      <c r="B7" s="37" t="str">
        <f>INDEX(DatasetsName!A1:J118,MATCH(B1,DatasetsName!B:B, 0),8)</f>
        <v>pr.xpt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13917</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PR</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PR</v>
      </c>
      <c r="B15" s="12" t="s">
        <v>63</v>
      </c>
      <c r="C15" s="12" t="s">
        <v>64</v>
      </c>
      <c r="D15" s="12" t="s">
        <v>57</v>
      </c>
      <c r="E15" s="14" t="str" cm="1">
        <f t="array" aca="1" ref="E15" ca="1">HYPERLINK("#"&amp;CELL("address", INDEX(ControlledTerms!I:I,MATCH(B1,ControlledTerms!I:I,0))),B1)</f>
        <v>PR</v>
      </c>
      <c r="F15" s="12">
        <v>2</v>
      </c>
      <c r="G15" s="12" t="s">
        <v>58</v>
      </c>
      <c r="H15" s="12" t="s">
        <v>82</v>
      </c>
      <c r="I15" s="12">
        <v>2</v>
      </c>
      <c r="J15" s="21" t="s">
        <v>13916</v>
      </c>
      <c r="K15" s="12"/>
      <c r="L15" s="12" t="s">
        <v>84</v>
      </c>
      <c r="M15" s="12" t="s">
        <v>62</v>
      </c>
    </row>
    <row r="16" spans="1:13" ht="52.8">
      <c r="A16" s="12" t="str">
        <f t="shared" ref="A16:A58" si="0">A15</f>
        <v>PR</v>
      </c>
      <c r="B16" s="21" t="s">
        <v>1437</v>
      </c>
      <c r="C16" s="21" t="s">
        <v>1448</v>
      </c>
      <c r="D16" s="12" t="s">
        <v>57</v>
      </c>
      <c r="E16" s="12"/>
      <c r="F16" s="12">
        <v>3</v>
      </c>
      <c r="G16" s="21" t="s">
        <v>58</v>
      </c>
      <c r="H16" s="21"/>
      <c r="I16" s="12"/>
      <c r="J16" s="6"/>
      <c r="K16" s="12"/>
      <c r="L16" s="12" t="s">
        <v>1458</v>
      </c>
      <c r="M16" s="12" t="s">
        <v>62</v>
      </c>
    </row>
    <row r="17" spans="1:13" ht="39.6">
      <c r="A17" s="12" t="str">
        <f t="shared" si="0"/>
        <v>PR</v>
      </c>
      <c r="B17" s="21" t="s">
        <v>13918</v>
      </c>
      <c r="C17" s="21" t="s">
        <v>413</v>
      </c>
      <c r="D17" s="12" t="s">
        <v>101</v>
      </c>
      <c r="E17" s="12"/>
      <c r="F17" s="12">
        <v>4</v>
      </c>
      <c r="G17" s="21" t="s">
        <v>58</v>
      </c>
      <c r="H17" s="21"/>
      <c r="I17" s="12"/>
      <c r="J17" s="6"/>
      <c r="K17" s="12"/>
      <c r="L17" s="12" t="s">
        <v>7898</v>
      </c>
      <c r="M17" s="12" t="s">
        <v>62</v>
      </c>
    </row>
    <row r="18" spans="1:13" ht="26.4">
      <c r="A18" s="12" t="str">
        <f t="shared" si="0"/>
        <v>PR</v>
      </c>
      <c r="B18" s="21" t="s">
        <v>13919</v>
      </c>
      <c r="C18" s="21" t="s">
        <v>414</v>
      </c>
      <c r="D18" s="12" t="s">
        <v>57</v>
      </c>
      <c r="E18" s="12"/>
      <c r="F18" s="12">
        <v>5</v>
      </c>
      <c r="G18" s="21" t="s">
        <v>58</v>
      </c>
      <c r="H18" s="21"/>
      <c r="I18" s="12"/>
      <c r="J18" s="21"/>
      <c r="K18" s="12"/>
      <c r="L18" s="12" t="s">
        <v>13965</v>
      </c>
      <c r="M18" s="12" t="s">
        <v>114</v>
      </c>
    </row>
    <row r="19" spans="1:13" ht="52.8">
      <c r="A19" s="12" t="str">
        <f t="shared" si="0"/>
        <v>PR</v>
      </c>
      <c r="B19" s="21" t="s">
        <v>13920</v>
      </c>
      <c r="C19" s="21" t="s">
        <v>2262</v>
      </c>
      <c r="D19" s="12" t="s">
        <v>57</v>
      </c>
      <c r="E19" s="14"/>
      <c r="F19" s="12">
        <v>6</v>
      </c>
      <c r="G19" s="21" t="s">
        <v>58</v>
      </c>
      <c r="H19" s="21"/>
      <c r="I19" s="12"/>
      <c r="J19" s="21"/>
      <c r="K19" s="12"/>
      <c r="L19" s="12" t="s">
        <v>13966</v>
      </c>
      <c r="M19" s="12" t="s">
        <v>114</v>
      </c>
    </row>
    <row r="20" spans="1:13" ht="26.4">
      <c r="A20" s="12" t="str">
        <f t="shared" si="0"/>
        <v>PR</v>
      </c>
      <c r="B20" s="21" t="s">
        <v>13921</v>
      </c>
      <c r="C20" s="21" t="s">
        <v>7878</v>
      </c>
      <c r="D20" s="12" t="s">
        <v>57</v>
      </c>
      <c r="E20" s="14"/>
      <c r="F20" s="12">
        <v>7</v>
      </c>
      <c r="G20" s="21" t="s">
        <v>58</v>
      </c>
      <c r="H20" s="21"/>
      <c r="I20" s="12"/>
      <c r="J20" s="21"/>
      <c r="K20" s="12"/>
      <c r="L20" s="12" t="s">
        <v>13967</v>
      </c>
      <c r="M20" s="12" t="s">
        <v>114</v>
      </c>
    </row>
    <row r="21" spans="1:13" ht="26.4">
      <c r="A21" s="12" t="str">
        <f t="shared" si="0"/>
        <v>PR</v>
      </c>
      <c r="B21" s="21" t="s">
        <v>13922</v>
      </c>
      <c r="C21" s="21" t="s">
        <v>7879</v>
      </c>
      <c r="D21" s="12" t="s">
        <v>57</v>
      </c>
      <c r="E21" s="14"/>
      <c r="F21" s="12">
        <v>8</v>
      </c>
      <c r="G21" s="21" t="s">
        <v>58</v>
      </c>
      <c r="H21" s="21"/>
      <c r="I21" s="12"/>
      <c r="J21" s="21"/>
      <c r="K21" s="12"/>
      <c r="L21" s="12" t="s">
        <v>13967</v>
      </c>
      <c r="M21" s="12" t="s">
        <v>114</v>
      </c>
    </row>
    <row r="22" spans="1:13" ht="26.4">
      <c r="A22" s="12" t="str">
        <f t="shared" si="0"/>
        <v>PR</v>
      </c>
      <c r="B22" s="12" t="s">
        <v>13923</v>
      </c>
      <c r="C22" s="12" t="s">
        <v>13924</v>
      </c>
      <c r="D22" s="12" t="s">
        <v>57</v>
      </c>
      <c r="E22" s="12"/>
      <c r="F22" s="12">
        <v>9</v>
      </c>
      <c r="G22" s="12" t="s">
        <v>88</v>
      </c>
      <c r="H22" s="12"/>
      <c r="I22" s="12"/>
      <c r="J22" s="12"/>
      <c r="K22" s="12"/>
      <c r="L22" s="12" t="s">
        <v>13968</v>
      </c>
      <c r="M22" s="12" t="s">
        <v>62</v>
      </c>
    </row>
    <row r="23" spans="1:13" ht="132">
      <c r="A23" s="12" t="str">
        <f t="shared" si="0"/>
        <v>PR</v>
      </c>
      <c r="B23" s="12" t="s">
        <v>13925</v>
      </c>
      <c r="C23" s="12" t="s">
        <v>13926</v>
      </c>
      <c r="D23" s="12" t="s">
        <v>57</v>
      </c>
      <c r="E23" s="14" t="str" cm="1">
        <f t="array" aca="1" ref="E23" ca="1">HYPERLINK("#"&amp;CELL("address", INDEX(ControlledTerms!E:E,MATCH("C101858",ControlledTerms!E:E,0))),"(PROCEDUR)")</f>
        <v>(PROCEDUR)</v>
      </c>
      <c r="F23" s="12">
        <v>10</v>
      </c>
      <c r="G23" s="12" t="s">
        <v>92</v>
      </c>
      <c r="H23" s="12"/>
      <c r="I23" s="12"/>
      <c r="J23" s="12"/>
      <c r="K23" s="12"/>
      <c r="L23" s="12" t="s">
        <v>13969</v>
      </c>
      <c r="M23" s="12" t="s">
        <v>114</v>
      </c>
    </row>
    <row r="24" spans="1:13" ht="26.4">
      <c r="A24" s="12" t="str">
        <f t="shared" si="0"/>
        <v>PR</v>
      </c>
      <c r="B24" s="12" t="s">
        <v>13927</v>
      </c>
      <c r="C24" s="12" t="s">
        <v>13928</v>
      </c>
      <c r="D24" s="12" t="s">
        <v>57</v>
      </c>
      <c r="E24" s="12" t="s">
        <v>87</v>
      </c>
      <c r="F24" s="12">
        <v>11</v>
      </c>
      <c r="G24" s="12" t="s">
        <v>387</v>
      </c>
      <c r="H24" s="12"/>
      <c r="I24" s="12"/>
      <c r="J24" s="12"/>
      <c r="K24" s="12"/>
      <c r="L24" s="12" t="s">
        <v>13970</v>
      </c>
      <c r="M24" s="12" t="s">
        <v>114</v>
      </c>
    </row>
    <row r="25" spans="1:13" ht="26.4">
      <c r="A25" s="12" t="str">
        <f t="shared" si="0"/>
        <v>PR</v>
      </c>
      <c r="B25" s="12" t="s">
        <v>13929</v>
      </c>
      <c r="C25" s="12" t="s">
        <v>13930</v>
      </c>
      <c r="D25" s="12" t="s">
        <v>57</v>
      </c>
      <c r="E25" s="12" t="s">
        <v>87</v>
      </c>
      <c r="F25" s="12">
        <v>12</v>
      </c>
      <c r="G25" s="12" t="s">
        <v>387</v>
      </c>
      <c r="H25" s="12"/>
      <c r="I25" s="12"/>
      <c r="J25" s="12"/>
      <c r="K25" s="12"/>
      <c r="L25" s="12" t="s">
        <v>13971</v>
      </c>
      <c r="M25" s="12" t="s">
        <v>114</v>
      </c>
    </row>
    <row r="26" spans="1:13" ht="39.6">
      <c r="A26" s="12" t="str">
        <f t="shared" si="0"/>
        <v>PR</v>
      </c>
      <c r="B26" s="12" t="s">
        <v>13931</v>
      </c>
      <c r="C26" s="12" t="s">
        <v>2192</v>
      </c>
      <c r="D26" s="12" t="s">
        <v>57</v>
      </c>
      <c r="E26" s="14" t="str" cm="1">
        <f t="array" aca="1" ref="E26" ca="1">HYPERLINK("#"&amp;CELL("address", INDEX(ControlledTerms!E:E,MATCH("C66742",ControlledTerms!E:E,0))),"(NY)")</f>
        <v>(NY)</v>
      </c>
      <c r="F26" s="12">
        <v>13</v>
      </c>
      <c r="G26" s="12" t="s">
        <v>329</v>
      </c>
      <c r="H26" s="12"/>
      <c r="I26" s="12"/>
      <c r="J26" s="12"/>
      <c r="K26" s="12"/>
      <c r="L26" s="12" t="s">
        <v>13972</v>
      </c>
      <c r="M26" s="12" t="s">
        <v>114</v>
      </c>
    </row>
    <row r="27" spans="1:13" ht="52.8">
      <c r="A27" s="12" t="str">
        <f t="shared" si="0"/>
        <v>PR</v>
      </c>
      <c r="B27" s="12" t="s">
        <v>13932</v>
      </c>
      <c r="C27" s="12" t="s">
        <v>2194</v>
      </c>
      <c r="D27" s="12" t="s">
        <v>57</v>
      </c>
      <c r="E27" s="14" t="str" cm="1">
        <f t="array" aca="1" ref="E27" ca="1">HYPERLINK("#"&amp;CELL("address", INDEX(ControlledTerms!E:E,MATCH("C66742",ControlledTerms!E:E,0))),"(NY)")</f>
        <v>(NY)</v>
      </c>
      <c r="F27" s="12">
        <v>14</v>
      </c>
      <c r="G27" s="12" t="s">
        <v>107</v>
      </c>
      <c r="H27" s="12"/>
      <c r="I27" s="12"/>
      <c r="J27" s="12"/>
      <c r="K27" s="12"/>
      <c r="L27" s="12" t="s">
        <v>13973</v>
      </c>
      <c r="M27" s="12" t="s">
        <v>114</v>
      </c>
    </row>
    <row r="28" spans="1:13" ht="39.6">
      <c r="A28" s="12" t="str">
        <f t="shared" si="0"/>
        <v>PR</v>
      </c>
      <c r="B28" s="12" t="s">
        <v>13933</v>
      </c>
      <c r="C28" s="12" t="s">
        <v>2282</v>
      </c>
      <c r="D28" s="12" t="s">
        <v>57</v>
      </c>
      <c r="E28" s="14"/>
      <c r="F28" s="12">
        <v>15</v>
      </c>
      <c r="G28" s="12" t="s">
        <v>107</v>
      </c>
      <c r="H28" s="12"/>
      <c r="I28" s="12"/>
      <c r="J28" s="12"/>
      <c r="K28" s="12"/>
      <c r="L28" s="12" t="s">
        <v>13974</v>
      </c>
      <c r="M28" s="12" t="s">
        <v>114</v>
      </c>
    </row>
    <row r="29" spans="1:13" ht="39.6">
      <c r="A29" s="12" t="str">
        <f t="shared" si="0"/>
        <v>PR</v>
      </c>
      <c r="B29" s="12" t="s">
        <v>13934</v>
      </c>
      <c r="C29" s="12" t="s">
        <v>745</v>
      </c>
      <c r="D29" s="12" t="s">
        <v>101</v>
      </c>
      <c r="E29" s="14"/>
      <c r="F29" s="12">
        <v>16</v>
      </c>
      <c r="G29" s="12" t="s">
        <v>107</v>
      </c>
      <c r="H29" s="12"/>
      <c r="I29" s="12"/>
      <c r="J29" s="12"/>
      <c r="K29" s="12"/>
      <c r="L29" s="12" t="s">
        <v>13975</v>
      </c>
      <c r="M29" s="12" t="s">
        <v>114</v>
      </c>
    </row>
    <row r="30" spans="1:13" ht="39.6">
      <c r="A30" s="12" t="str">
        <f t="shared" si="0"/>
        <v>PR</v>
      </c>
      <c r="B30" s="12" t="s">
        <v>13935</v>
      </c>
      <c r="C30" s="12" t="s">
        <v>2289</v>
      </c>
      <c r="D30" s="12" t="s">
        <v>57</v>
      </c>
      <c r="E30" s="14"/>
      <c r="F30" s="12">
        <v>17</v>
      </c>
      <c r="G30" s="12" t="s">
        <v>107</v>
      </c>
      <c r="H30" s="12"/>
      <c r="I30" s="12"/>
      <c r="J30" s="12"/>
      <c r="K30" s="12"/>
      <c r="L30" s="12" t="s">
        <v>13976</v>
      </c>
      <c r="M30" s="12" t="s">
        <v>114</v>
      </c>
    </row>
    <row r="31" spans="1:13" ht="26.4">
      <c r="A31" s="12" t="str">
        <f t="shared" si="0"/>
        <v>PR</v>
      </c>
      <c r="B31" s="12" t="s">
        <v>13936</v>
      </c>
      <c r="C31" s="12" t="s">
        <v>754</v>
      </c>
      <c r="D31" s="12" t="s">
        <v>57</v>
      </c>
      <c r="E31" s="14" t="str" cm="1">
        <f t="array" aca="1" ref="E31" ca="1">HYPERLINK("#"&amp;CELL("address", INDEX(ControlledTerms!E:E,MATCH("C71620",ControlledTerms!E:E,0))),"(UNIT)")</f>
        <v>(UNIT)</v>
      </c>
      <c r="F31" s="12">
        <v>18</v>
      </c>
      <c r="G31" s="12" t="s">
        <v>329</v>
      </c>
      <c r="H31" s="12"/>
      <c r="I31" s="12"/>
      <c r="J31" s="12"/>
      <c r="K31" s="12"/>
      <c r="L31" s="12" t="s">
        <v>13977</v>
      </c>
      <c r="M31" s="12" t="s">
        <v>114</v>
      </c>
    </row>
    <row r="32" spans="1:13" ht="26.4">
      <c r="A32" s="12" t="str">
        <f t="shared" si="0"/>
        <v>PR</v>
      </c>
      <c r="B32" s="12" t="s">
        <v>13937</v>
      </c>
      <c r="C32" s="12" t="s">
        <v>746</v>
      </c>
      <c r="D32" s="12" t="s">
        <v>57</v>
      </c>
      <c r="E32" s="14" t="str" cm="1">
        <f t="array" aca="1" ref="E32" ca="1">HYPERLINK("#"&amp;CELL("address", INDEX(ControlledTerms!E:E,MATCH("C66726",ControlledTerms!E:E,0))),"(FRM)")</f>
        <v>(FRM)</v>
      </c>
      <c r="F32" s="12">
        <v>19</v>
      </c>
      <c r="G32" s="12" t="s">
        <v>329</v>
      </c>
      <c r="H32" s="12"/>
      <c r="I32" s="12"/>
      <c r="J32" s="12"/>
      <c r="K32" s="12"/>
      <c r="L32" s="12" t="s">
        <v>13978</v>
      </c>
      <c r="M32" s="12" t="s">
        <v>114</v>
      </c>
    </row>
    <row r="33" spans="1:13" ht="26.4">
      <c r="A33" s="12" t="str">
        <f t="shared" si="0"/>
        <v>PR</v>
      </c>
      <c r="B33" s="12" t="s">
        <v>13938</v>
      </c>
      <c r="C33" s="12" t="s">
        <v>2293</v>
      </c>
      <c r="D33" s="12" t="s">
        <v>57</v>
      </c>
      <c r="E33" s="14" t="str" cm="1">
        <f t="array" aca="1" ref="E33" ca="1">HYPERLINK("#"&amp;CELL("address", INDEX(ControlledTerms!E:E,MATCH("C71113",ControlledTerms!E:E,0))),"(FREQ)")</f>
        <v>(FREQ)</v>
      </c>
      <c r="F33" s="12">
        <v>20</v>
      </c>
      <c r="G33" s="12" t="s">
        <v>107</v>
      </c>
      <c r="H33" s="12"/>
      <c r="I33" s="12"/>
      <c r="J33" s="12"/>
      <c r="K33" s="12"/>
      <c r="L33" s="12" t="s">
        <v>13979</v>
      </c>
      <c r="M33" s="12" t="s">
        <v>114</v>
      </c>
    </row>
    <row r="34" spans="1:13" ht="26.4">
      <c r="A34" s="12" t="str">
        <f t="shared" si="0"/>
        <v>PR</v>
      </c>
      <c r="B34" s="12" t="s">
        <v>13939</v>
      </c>
      <c r="C34" s="12" t="s">
        <v>2297</v>
      </c>
      <c r="D34" s="12" t="s">
        <v>57</v>
      </c>
      <c r="E34" s="14"/>
      <c r="F34" s="12">
        <v>21</v>
      </c>
      <c r="G34" s="12" t="s">
        <v>107</v>
      </c>
      <c r="H34" s="12"/>
      <c r="I34" s="12"/>
      <c r="J34" s="12"/>
      <c r="K34" s="12"/>
      <c r="L34" s="12" t="s">
        <v>13980</v>
      </c>
      <c r="M34" s="12" t="s">
        <v>114</v>
      </c>
    </row>
    <row r="35" spans="1:13" ht="26.4">
      <c r="A35" s="12" t="str">
        <f t="shared" si="0"/>
        <v>PR</v>
      </c>
      <c r="B35" s="12" t="s">
        <v>13940</v>
      </c>
      <c r="C35" s="12" t="s">
        <v>913</v>
      </c>
      <c r="D35" s="12" t="s">
        <v>57</v>
      </c>
      <c r="E35" s="14" t="str" cm="1">
        <f t="array" aca="1" ref="E35" ca="1">HYPERLINK("#"&amp;CELL("address", INDEX(ControlledTerms!E:E,MATCH("C66729",ControlledTerms!E:E,0))),"(ROUTE)")</f>
        <v>(ROUTE)</v>
      </c>
      <c r="F35" s="12">
        <v>22</v>
      </c>
      <c r="G35" s="12" t="s">
        <v>329</v>
      </c>
      <c r="H35" s="12"/>
      <c r="I35" s="12"/>
      <c r="J35" s="12"/>
      <c r="K35" s="12"/>
      <c r="L35" s="12" t="s">
        <v>13981</v>
      </c>
      <c r="M35" s="12" t="s">
        <v>114</v>
      </c>
    </row>
    <row r="36" spans="1:13" ht="26.4">
      <c r="A36" s="12" t="str">
        <f t="shared" si="0"/>
        <v>PR</v>
      </c>
      <c r="B36" s="12" t="s">
        <v>13941</v>
      </c>
      <c r="C36" s="12" t="s">
        <v>13942</v>
      </c>
      <c r="D36" s="12" t="s">
        <v>57</v>
      </c>
      <c r="E36" s="14" t="str" cm="1">
        <f t="array" aca="1" ref="E36" ca="1">HYPERLINK("#"&amp;CELL("address", INDEX(ControlledTerms!E:E,MATCH("C74456",ControlledTerms!E:E,0))),"(LOC)")</f>
        <v>(LOC)</v>
      </c>
      <c r="F36" s="12">
        <v>23</v>
      </c>
      <c r="G36" s="12" t="s">
        <v>107</v>
      </c>
      <c r="H36" s="12"/>
      <c r="I36" s="12"/>
      <c r="J36" s="12"/>
      <c r="K36" s="12"/>
      <c r="L36" s="12" t="s">
        <v>13982</v>
      </c>
      <c r="M36" s="12" t="s">
        <v>114</v>
      </c>
    </row>
    <row r="37" spans="1:13" ht="26.4">
      <c r="A37" s="12" t="str">
        <f t="shared" si="0"/>
        <v>PR</v>
      </c>
      <c r="B37" s="12" t="s">
        <v>13943</v>
      </c>
      <c r="C37" s="12" t="s">
        <v>7885</v>
      </c>
      <c r="D37" s="12" t="s">
        <v>57</v>
      </c>
      <c r="E37" s="14" t="str" cm="1">
        <f t="array" aca="1" ref="E37" ca="1">HYPERLINK("#"&amp;CELL("address", INDEX(ControlledTerms!E:E,MATCH("C99073",ControlledTerms!E:E,0))),"(LAT)")</f>
        <v>(LAT)</v>
      </c>
      <c r="F37" s="12">
        <v>24</v>
      </c>
      <c r="G37" s="12" t="s">
        <v>329</v>
      </c>
      <c r="H37" s="12"/>
      <c r="I37" s="12"/>
      <c r="J37" s="12"/>
      <c r="K37" s="12"/>
      <c r="L37" s="12" t="s">
        <v>13983</v>
      </c>
      <c r="M37" s="12" t="s">
        <v>114</v>
      </c>
    </row>
    <row r="38" spans="1:13" ht="39.6">
      <c r="A38" s="12" t="str">
        <f t="shared" si="0"/>
        <v>PR</v>
      </c>
      <c r="B38" s="12" t="s">
        <v>13944</v>
      </c>
      <c r="C38" s="12" t="s">
        <v>7886</v>
      </c>
      <c r="D38" s="12" t="s">
        <v>57</v>
      </c>
      <c r="E38" s="14" t="str" cm="1">
        <f t="array" aca="1" ref="E38" ca="1">HYPERLINK("#"&amp;CELL("address", INDEX(ControlledTerms!E:E,MATCH("C99074",ControlledTerms!E:E,0))),"(DIR)")</f>
        <v>(DIR)</v>
      </c>
      <c r="F38" s="12">
        <v>25</v>
      </c>
      <c r="G38" s="12" t="s">
        <v>329</v>
      </c>
      <c r="H38" s="12"/>
      <c r="I38" s="12"/>
      <c r="J38" s="12"/>
      <c r="K38" s="12"/>
      <c r="L38" s="12" t="s">
        <v>13984</v>
      </c>
      <c r="M38" s="12" t="s">
        <v>114</v>
      </c>
    </row>
    <row r="39" spans="1:13" ht="52.8">
      <c r="A39" s="12" t="str">
        <f t="shared" si="0"/>
        <v>PR</v>
      </c>
      <c r="B39" s="12" t="s">
        <v>13945</v>
      </c>
      <c r="C39" s="12" t="s">
        <v>13832</v>
      </c>
      <c r="D39" s="12" t="s">
        <v>57</v>
      </c>
      <c r="E39" s="14" t="str" cm="1">
        <f t="array" aca="1" ref="E39" ca="1">HYPERLINK("#"&amp;CELL("address", INDEX(ControlledTerms!E:E,MATCH("C99075",ControlledTerms!E:E,0))),"(PORTOT)")</f>
        <v>(PORTOT)</v>
      </c>
      <c r="F39" s="12">
        <v>26</v>
      </c>
      <c r="G39" s="12" t="s">
        <v>329</v>
      </c>
      <c r="H39" s="12"/>
      <c r="I39" s="12"/>
      <c r="J39" s="12"/>
      <c r="K39" s="12"/>
      <c r="L39" s="12" t="s">
        <v>13985</v>
      </c>
      <c r="M39" s="12" t="s">
        <v>114</v>
      </c>
    </row>
    <row r="40" spans="1:13" ht="26.4">
      <c r="A40" s="12" t="str">
        <f t="shared" si="0"/>
        <v>PR</v>
      </c>
      <c r="B40" s="12" t="s">
        <v>257</v>
      </c>
      <c r="C40" s="12" t="s">
        <v>262</v>
      </c>
      <c r="D40" s="12" t="s">
        <v>101</v>
      </c>
      <c r="E40" s="14"/>
      <c r="F40" s="12">
        <v>27</v>
      </c>
      <c r="G40" s="12" t="s">
        <v>102</v>
      </c>
      <c r="H40" s="12"/>
      <c r="I40" s="12"/>
      <c r="J40" s="12"/>
      <c r="K40" s="12"/>
      <c r="L40" s="12" t="s">
        <v>267</v>
      </c>
      <c r="M40" s="12" t="s">
        <v>114</v>
      </c>
    </row>
    <row r="41" spans="1:13" ht="26.4">
      <c r="A41" s="12" t="str">
        <f t="shared" si="0"/>
        <v>PR</v>
      </c>
      <c r="B41" s="12" t="s">
        <v>258</v>
      </c>
      <c r="C41" s="12" t="s">
        <v>263</v>
      </c>
      <c r="D41" s="12" t="s">
        <v>57</v>
      </c>
      <c r="E41" s="14"/>
      <c r="F41" s="12">
        <v>28</v>
      </c>
      <c r="G41" s="12" t="s">
        <v>102</v>
      </c>
      <c r="H41" s="12"/>
      <c r="I41" s="12"/>
      <c r="J41" s="12"/>
      <c r="K41" s="12"/>
      <c r="L41" s="12" t="s">
        <v>2211</v>
      </c>
      <c r="M41" s="12" t="s">
        <v>114</v>
      </c>
    </row>
    <row r="42" spans="1:13" ht="26.4">
      <c r="A42" s="12" t="str">
        <f t="shared" si="0"/>
        <v>PR</v>
      </c>
      <c r="B42" s="12" t="s">
        <v>259</v>
      </c>
      <c r="C42" s="12" t="s">
        <v>264</v>
      </c>
      <c r="D42" s="12" t="s">
        <v>101</v>
      </c>
      <c r="E42" s="14"/>
      <c r="F42" s="12">
        <v>29</v>
      </c>
      <c r="G42" s="12" t="s">
        <v>102</v>
      </c>
      <c r="H42" s="12"/>
      <c r="I42" s="12"/>
      <c r="J42" s="12"/>
      <c r="K42" s="12"/>
      <c r="L42" s="12" t="s">
        <v>2217</v>
      </c>
      <c r="M42" s="12" t="s">
        <v>114</v>
      </c>
    </row>
    <row r="43" spans="1:13" ht="26.4">
      <c r="A43" s="12" t="str">
        <f t="shared" si="0"/>
        <v>PR</v>
      </c>
      <c r="B43" s="12" t="s">
        <v>99</v>
      </c>
      <c r="C43" s="12" t="s">
        <v>100</v>
      </c>
      <c r="D43" s="12" t="s">
        <v>101</v>
      </c>
      <c r="E43" s="14"/>
      <c r="F43" s="12">
        <v>30</v>
      </c>
      <c r="G43" s="12" t="s">
        <v>102</v>
      </c>
      <c r="H43" s="12"/>
      <c r="I43" s="12"/>
      <c r="J43" s="12"/>
      <c r="K43" s="12"/>
      <c r="L43" s="12" t="s">
        <v>7918</v>
      </c>
      <c r="M43" s="12" t="s">
        <v>114</v>
      </c>
    </row>
    <row r="44" spans="1:13" ht="26.4">
      <c r="A44" s="12" t="str">
        <f t="shared" si="0"/>
        <v>PR</v>
      </c>
      <c r="B44" s="12" t="s">
        <v>119</v>
      </c>
      <c r="C44" s="12" t="s">
        <v>122</v>
      </c>
      <c r="D44" s="12" t="s">
        <v>57</v>
      </c>
      <c r="E44" s="14" t="str" cm="1">
        <f t="array" aca="1" ref="E44" ca="1">HYPERLINK("#"&amp;CELL("address", INDEX(ControlledTerms!E:E,MATCH("C99079",ControlledTerms!E:E,0))),"(EPOCH)")</f>
        <v>(EPOCH)</v>
      </c>
      <c r="F44" s="12">
        <v>31</v>
      </c>
      <c r="G44" s="12" t="s">
        <v>102</v>
      </c>
      <c r="H44" s="12"/>
      <c r="I44" s="12"/>
      <c r="J44" s="12"/>
      <c r="K44" s="12"/>
      <c r="L44" s="12" t="s">
        <v>13986</v>
      </c>
      <c r="M44" s="12" t="s">
        <v>114</v>
      </c>
    </row>
    <row r="45" spans="1:13" ht="39.6">
      <c r="A45" s="12" t="str">
        <f t="shared" si="0"/>
        <v>PR</v>
      </c>
      <c r="B45" s="12" t="s">
        <v>13946</v>
      </c>
      <c r="C45" s="12" t="s">
        <v>13947</v>
      </c>
      <c r="D45" s="12" t="s">
        <v>57</v>
      </c>
      <c r="E45" s="14" t="str" cm="1">
        <f t="array" aca="1" ref="E45" ca="1">HYPERLINK("#"&amp;CELL("address", INDEX(Format!A:A,MATCH("ISO 8601 datetime or interval",Format!A:A,0))),"ISO 8601 datetime or interval")</f>
        <v>ISO 8601 datetime or interval</v>
      </c>
      <c r="F45" s="12">
        <v>32</v>
      </c>
      <c r="G45" s="12" t="s">
        <v>102</v>
      </c>
      <c r="H45" s="12"/>
      <c r="I45" s="12"/>
      <c r="J45" s="12"/>
      <c r="K45" s="12"/>
      <c r="L45" s="12" t="s">
        <v>13987</v>
      </c>
      <c r="M45" s="12" t="s">
        <v>126</v>
      </c>
    </row>
    <row r="46" spans="1:13" ht="39.6">
      <c r="A46" s="12" t="str">
        <f t="shared" si="0"/>
        <v>PR</v>
      </c>
      <c r="B46" s="12" t="s">
        <v>13948</v>
      </c>
      <c r="C46" s="12" t="s">
        <v>13949</v>
      </c>
      <c r="D46" s="12" t="s">
        <v>57</v>
      </c>
      <c r="E46" s="14" t="str" cm="1">
        <f t="array" aca="1" ref="E46" ca="1">HYPERLINK("#"&amp;CELL("address", INDEX(Format!A:A,MATCH("ISO 8601 datetime or interval",Format!A:A,0))),"ISO 8601 datetime or interval")</f>
        <v>ISO 8601 datetime or interval</v>
      </c>
      <c r="F46" s="12">
        <v>33</v>
      </c>
      <c r="G46" s="12" t="s">
        <v>102</v>
      </c>
      <c r="H46" s="12"/>
      <c r="I46" s="12"/>
      <c r="J46" s="12"/>
      <c r="K46" s="12"/>
      <c r="L46" s="12" t="s">
        <v>13988</v>
      </c>
      <c r="M46" s="12" t="s">
        <v>114</v>
      </c>
    </row>
    <row r="47" spans="1:13" ht="52.8">
      <c r="A47" s="12" t="str">
        <f t="shared" si="0"/>
        <v>PR</v>
      </c>
      <c r="B47" s="12" t="s">
        <v>13950</v>
      </c>
      <c r="C47" s="12" t="s">
        <v>13951</v>
      </c>
      <c r="D47" s="12" t="s">
        <v>101</v>
      </c>
      <c r="E47" s="12"/>
      <c r="F47" s="12">
        <v>34</v>
      </c>
      <c r="G47" s="12" t="s">
        <v>102</v>
      </c>
      <c r="H47" s="12"/>
      <c r="I47" s="12"/>
      <c r="J47" s="12"/>
      <c r="K47" s="12"/>
      <c r="L47" s="12" t="s">
        <v>13989</v>
      </c>
      <c r="M47" s="12" t="s">
        <v>114</v>
      </c>
    </row>
    <row r="48" spans="1:13" ht="52.8">
      <c r="A48" s="12" t="str">
        <f t="shared" si="0"/>
        <v>PR</v>
      </c>
      <c r="B48" s="12" t="s">
        <v>13952</v>
      </c>
      <c r="C48" s="12" t="s">
        <v>13953</v>
      </c>
      <c r="D48" s="12" t="s">
        <v>101</v>
      </c>
      <c r="E48" s="14"/>
      <c r="F48" s="12">
        <v>35</v>
      </c>
      <c r="G48" s="12" t="s">
        <v>102</v>
      </c>
      <c r="H48" s="12"/>
      <c r="I48" s="12"/>
      <c r="J48" s="12"/>
      <c r="K48" s="12"/>
      <c r="L48" s="12" t="s">
        <v>13990</v>
      </c>
      <c r="M48" s="12" t="s">
        <v>114</v>
      </c>
    </row>
    <row r="49" spans="1:13" ht="66">
      <c r="A49" s="12" t="str">
        <f t="shared" si="0"/>
        <v>PR</v>
      </c>
      <c r="B49" s="12" t="s">
        <v>13954</v>
      </c>
      <c r="C49" s="12" t="s">
        <v>13955</v>
      </c>
      <c r="D49" s="12" t="s">
        <v>57</v>
      </c>
      <c r="E49" s="14" t="str" cm="1">
        <f t="array" aca="1" ref="E49" ca="1">HYPERLINK("#"&amp;CELL("address", INDEX(Format!A:A,MATCH("ISO 8601 duration",Format!A:A,0))),"ISO 8601 duration")</f>
        <v>ISO 8601 duration</v>
      </c>
      <c r="F49" s="12">
        <v>36</v>
      </c>
      <c r="G49" s="12" t="s">
        <v>102</v>
      </c>
      <c r="H49" s="12"/>
      <c r="I49" s="12"/>
      <c r="J49" s="12"/>
      <c r="K49" s="12"/>
      <c r="L49" s="12" t="s">
        <v>13991</v>
      </c>
      <c r="M49" s="12" t="s">
        <v>114</v>
      </c>
    </row>
    <row r="50" spans="1:13" ht="79.2">
      <c r="A50" s="12" t="str">
        <f t="shared" si="0"/>
        <v>PR</v>
      </c>
      <c r="B50" s="12" t="s">
        <v>13956</v>
      </c>
      <c r="C50" s="12" t="s">
        <v>7893</v>
      </c>
      <c r="D50" s="12" t="s">
        <v>57</v>
      </c>
      <c r="E50" s="14"/>
      <c r="F50" s="12">
        <v>37</v>
      </c>
      <c r="G50" s="12" t="s">
        <v>102</v>
      </c>
      <c r="H50" s="12"/>
      <c r="I50" s="12"/>
      <c r="J50" s="12"/>
      <c r="K50" s="12"/>
      <c r="L50" s="12" t="s">
        <v>13992</v>
      </c>
      <c r="M50" s="12" t="s">
        <v>114</v>
      </c>
    </row>
    <row r="51" spans="1:13" ht="26.4">
      <c r="A51" s="12" t="str">
        <f t="shared" si="0"/>
        <v>PR</v>
      </c>
      <c r="B51" s="12" t="s">
        <v>13957</v>
      </c>
      <c r="C51" s="12" t="s">
        <v>7894</v>
      </c>
      <c r="D51" s="12" t="s">
        <v>101</v>
      </c>
      <c r="E51" s="12"/>
      <c r="F51" s="12">
        <v>38</v>
      </c>
      <c r="G51" s="12" t="s">
        <v>102</v>
      </c>
      <c r="H51" s="12"/>
      <c r="I51" s="12"/>
      <c r="J51" s="12"/>
      <c r="K51" s="12"/>
      <c r="L51" s="12" t="s">
        <v>13993</v>
      </c>
      <c r="M51" s="12" t="s">
        <v>114</v>
      </c>
    </row>
    <row r="52" spans="1:13" ht="92.4">
      <c r="A52" s="12" t="str">
        <f t="shared" si="0"/>
        <v>PR</v>
      </c>
      <c r="B52" s="12" t="s">
        <v>13958</v>
      </c>
      <c r="C52" s="12" t="s">
        <v>7895</v>
      </c>
      <c r="D52" s="12" t="s">
        <v>57</v>
      </c>
      <c r="E52" s="14" t="str" cm="1">
        <f t="array" aca="1" ref="E52" ca="1">HYPERLINK("#"&amp;CELL("address", INDEX(Format!A:A,MATCH("ISO 8601 duration",Format!A:A,0))),"ISO 8601 duration")</f>
        <v>ISO 8601 duration</v>
      </c>
      <c r="F52" s="12">
        <v>39</v>
      </c>
      <c r="G52" s="12" t="s">
        <v>102</v>
      </c>
      <c r="H52" s="12"/>
      <c r="I52" s="12"/>
      <c r="J52" s="12"/>
      <c r="K52" s="12"/>
      <c r="L52" s="12" t="s">
        <v>13994</v>
      </c>
      <c r="M52" s="12" t="s">
        <v>114</v>
      </c>
    </row>
    <row r="53" spans="1:13" ht="39.6">
      <c r="A53" s="12" t="str">
        <f t="shared" si="0"/>
        <v>PR</v>
      </c>
      <c r="B53" s="12" t="s">
        <v>13959</v>
      </c>
      <c r="C53" s="12" t="s">
        <v>7896</v>
      </c>
      <c r="D53" s="12" t="s">
        <v>57</v>
      </c>
      <c r="E53" s="14"/>
      <c r="F53" s="12">
        <v>40</v>
      </c>
      <c r="G53" s="12" t="s">
        <v>102</v>
      </c>
      <c r="H53" s="12"/>
      <c r="I53" s="12"/>
      <c r="J53" s="12"/>
      <c r="K53" s="12"/>
      <c r="L53" s="12" t="s">
        <v>13995</v>
      </c>
      <c r="M53" s="12" t="s">
        <v>114</v>
      </c>
    </row>
    <row r="54" spans="1:13" ht="39.6">
      <c r="A54" s="12" t="str">
        <f t="shared" si="0"/>
        <v>PR</v>
      </c>
      <c r="B54" s="12" t="s">
        <v>13960</v>
      </c>
      <c r="C54" s="12" t="s">
        <v>7897</v>
      </c>
      <c r="D54" s="12" t="s">
        <v>57</v>
      </c>
      <c r="E54" s="14" t="str" cm="1">
        <f t="array" aca="1" ref="E54" ca="1">HYPERLINK("#"&amp;CELL("address", INDEX(Format!A:A,MATCH("ISO 8601 datetime or interval",Format!A:A,0))),"ISO 8601 datetime or interval")</f>
        <v>ISO 8601 datetime or interval</v>
      </c>
      <c r="F54" s="12">
        <v>41</v>
      </c>
      <c r="G54" s="12" t="s">
        <v>102</v>
      </c>
      <c r="H54" s="12"/>
      <c r="I54" s="12"/>
      <c r="J54" s="12"/>
      <c r="K54" s="12"/>
      <c r="L54" s="12" t="s">
        <v>13996</v>
      </c>
      <c r="M54" s="12" t="s">
        <v>114</v>
      </c>
    </row>
    <row r="55" spans="1:13" ht="92.4">
      <c r="A55" s="12" t="str">
        <f t="shared" si="0"/>
        <v>PR</v>
      </c>
      <c r="B55" s="12" t="s">
        <v>13961</v>
      </c>
      <c r="C55" s="12" t="s">
        <v>2318</v>
      </c>
      <c r="D55" s="12" t="s">
        <v>57</v>
      </c>
      <c r="E55" s="14" t="str" cm="1">
        <f t="array" aca="1" ref="E55" ca="1">HYPERLINK("#"&amp;CELL("address", INDEX(ControlledTerms!E:E,MATCH("C66728",ControlledTerms!E:E,0))),"(STENRF)")</f>
        <v>(STENRF)</v>
      </c>
      <c r="F55" s="12">
        <v>42</v>
      </c>
      <c r="G55" s="12" t="s">
        <v>102</v>
      </c>
      <c r="H55" s="12"/>
      <c r="I55" s="12"/>
      <c r="J55" s="12"/>
      <c r="K55" s="12"/>
      <c r="L55" s="12" t="s">
        <v>13997</v>
      </c>
      <c r="M55" s="12" t="s">
        <v>114</v>
      </c>
    </row>
    <row r="56" spans="1:13" ht="66">
      <c r="A56" s="12" t="str">
        <f t="shared" si="0"/>
        <v>PR</v>
      </c>
      <c r="B56" s="12" t="s">
        <v>13962</v>
      </c>
      <c r="C56" s="12" t="s">
        <v>2320</v>
      </c>
      <c r="D56" s="12" t="s">
        <v>57</v>
      </c>
      <c r="E56" s="14"/>
      <c r="F56" s="12">
        <v>43</v>
      </c>
      <c r="G56" s="12" t="s">
        <v>102</v>
      </c>
      <c r="H56" s="12"/>
      <c r="I56" s="12"/>
      <c r="J56" s="12"/>
      <c r="K56" s="12"/>
      <c r="L56" s="12" t="s">
        <v>13998</v>
      </c>
      <c r="M56" s="12" t="s">
        <v>114</v>
      </c>
    </row>
    <row r="57" spans="1:13" ht="92.4">
      <c r="A57" s="12" t="str">
        <f t="shared" si="0"/>
        <v>PR</v>
      </c>
      <c r="B57" s="12" t="s">
        <v>13963</v>
      </c>
      <c r="C57" s="12" t="s">
        <v>2322</v>
      </c>
      <c r="D57" s="12" t="s">
        <v>57</v>
      </c>
      <c r="E57" s="14" t="str" cm="1">
        <f t="array" aca="1" ref="E57" ca="1">HYPERLINK("#"&amp;CELL("address", INDEX(ControlledTerms!E:E,MATCH("C66728",ControlledTerms!E:E,0))),"(STENRF)")</f>
        <v>(STENRF)</v>
      </c>
      <c r="F57" s="12">
        <v>44</v>
      </c>
      <c r="G57" s="12" t="s">
        <v>102</v>
      </c>
      <c r="H57" s="12"/>
      <c r="I57" s="12"/>
      <c r="J57" s="12"/>
      <c r="K57" s="12"/>
      <c r="L57" s="12" t="s">
        <v>13999</v>
      </c>
      <c r="M57" s="12" t="s">
        <v>114</v>
      </c>
    </row>
    <row r="58" spans="1:13" ht="66">
      <c r="A58" s="12" t="str">
        <f t="shared" si="0"/>
        <v>PR</v>
      </c>
      <c r="B58" s="12" t="s">
        <v>13964</v>
      </c>
      <c r="C58" s="12" t="s">
        <v>2324</v>
      </c>
      <c r="D58" s="12" t="s">
        <v>57</v>
      </c>
      <c r="E58" s="14"/>
      <c r="F58" s="12">
        <v>45</v>
      </c>
      <c r="G58" s="12" t="s">
        <v>102</v>
      </c>
      <c r="H58" s="12"/>
      <c r="I58" s="12"/>
      <c r="J58" s="12"/>
      <c r="K58" s="12"/>
      <c r="L58" s="12" t="s">
        <v>14000</v>
      </c>
      <c r="M58" s="12" t="s">
        <v>114</v>
      </c>
    </row>
  </sheetData>
  <autoFilter ref="A13:M50"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25" xr:uid="{0C4034EE-D4BA-441F-AEAD-29F46740CB40}"/>
  </hyperlink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0DDD2-BDC0-4F58-8F61-903808CA7A5E}">
  <sheetPr codeName="Sheet23">
    <tabColor rgb="FF00B0F0"/>
  </sheetPr>
  <dimension ref="A1:M73"/>
  <sheetViews>
    <sheetView showGridLines="0" topLeftCell="A61" workbookViewId="0">
      <selection activeCell="E65" sqref="E65"/>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1097</v>
      </c>
      <c r="C1" s="37"/>
      <c r="D1" s="37"/>
      <c r="E1" s="37"/>
      <c r="F1" s="37"/>
      <c r="G1" s="37"/>
      <c r="H1" s="37"/>
      <c r="I1" s="37"/>
      <c r="J1" s="37"/>
      <c r="K1" s="37"/>
      <c r="L1" s="37"/>
      <c r="M1" s="37"/>
    </row>
    <row r="2" spans="1:13">
      <c r="A2" s="13" t="str">
        <f>DatasetsName!$C$1</f>
        <v>Dataset Description</v>
      </c>
      <c r="B2" s="37" t="str">
        <f>INDEX(DatasetsName!A1:J118,MATCH(B1,DatasetsName!B:B, 0),3)</f>
        <v>Adverse Events</v>
      </c>
      <c r="C2" s="37"/>
      <c r="D2" s="37"/>
      <c r="E2" s="37"/>
      <c r="F2" s="37"/>
      <c r="G2" s="37"/>
      <c r="H2" s="37"/>
      <c r="I2" s="37"/>
      <c r="J2" s="37"/>
      <c r="K2" s="37"/>
      <c r="L2" s="37"/>
      <c r="M2" s="37"/>
    </row>
    <row r="3" spans="1:13">
      <c r="A3" s="13" t="str">
        <f>DatasetsName!$D$1</f>
        <v>Dataset Class</v>
      </c>
      <c r="B3" s="37" t="str">
        <f>INDEX(DatasetsName!A1:J118,MATCH(B1,DatasetsName!B:B, 0),4)</f>
        <v>Events</v>
      </c>
      <c r="C3" s="37"/>
      <c r="D3" s="37"/>
      <c r="E3" s="37"/>
      <c r="F3" s="37"/>
      <c r="G3" s="37"/>
      <c r="H3" s="37"/>
      <c r="I3" s="37"/>
      <c r="J3" s="37"/>
      <c r="K3" s="37"/>
      <c r="L3" s="37"/>
      <c r="M3" s="37"/>
    </row>
    <row r="4" spans="1:13">
      <c r="A4" s="13" t="str">
        <f>DatasetsName!$E$1</f>
        <v>Dataset Structure</v>
      </c>
      <c r="B4" s="37" t="str">
        <f>INDEX(DatasetsName!A1:J118,MATCH(B1,DatasetsName!B:B, 0),5)</f>
        <v>One record per adverse event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AEDECOD, AESTDTC</v>
      </c>
      <c r="C6" s="37"/>
      <c r="D6" s="37"/>
      <c r="E6" s="37"/>
      <c r="F6" s="37"/>
      <c r="G6" s="37"/>
      <c r="H6" s="37"/>
      <c r="I6" s="37"/>
      <c r="J6" s="37"/>
      <c r="K6" s="37"/>
      <c r="L6" s="37"/>
      <c r="M6" s="37"/>
    </row>
    <row r="7" spans="1:13">
      <c r="A7" s="13" t="str">
        <f>DatasetsName!$H$1</f>
        <v>Dataset Location</v>
      </c>
      <c r="B7" s="37" t="str">
        <f>INDEX(DatasetsName!A1:J118,MATCH(B1,DatasetsName!B:B, 0),8)</f>
        <v>ae.xpt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14612</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AE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AE</v>
      </c>
      <c r="B15" s="12" t="s">
        <v>63</v>
      </c>
      <c r="C15" s="12" t="s">
        <v>64</v>
      </c>
      <c r="D15" s="12" t="s">
        <v>57</v>
      </c>
      <c r="E15" s="14" t="str" cm="1">
        <f t="array" aca="1" ref="E15" ca="1">HYPERLINK("#"&amp;CELL("address", INDEX(ControlledTerms!I:I,MATCH(B1,ControlledTerms!I:I,0))),B1)</f>
        <v>AE</v>
      </c>
      <c r="F15" s="12">
        <v>2</v>
      </c>
      <c r="G15" s="12" t="s">
        <v>58</v>
      </c>
      <c r="H15" s="12" t="s">
        <v>82</v>
      </c>
      <c r="I15" s="12">
        <v>2</v>
      </c>
      <c r="J15" s="21" t="s">
        <v>14607</v>
      </c>
      <c r="K15" s="12"/>
      <c r="L15" s="12" t="s">
        <v>84</v>
      </c>
      <c r="M15" s="12" t="s">
        <v>62</v>
      </c>
    </row>
    <row r="16" spans="1:13" ht="52.8">
      <c r="A16" s="12" t="str">
        <f t="shared" ref="A16:A73" si="0">A15</f>
        <v>AE</v>
      </c>
      <c r="B16" s="21" t="s">
        <v>1437</v>
      </c>
      <c r="C16" s="21" t="s">
        <v>1448</v>
      </c>
      <c r="D16" s="12" t="s">
        <v>57</v>
      </c>
      <c r="E16" s="12"/>
      <c r="F16" s="12">
        <v>3</v>
      </c>
      <c r="G16" s="21" t="s">
        <v>58</v>
      </c>
      <c r="H16" s="21"/>
      <c r="I16" s="12"/>
      <c r="J16" s="6"/>
      <c r="K16" s="12"/>
      <c r="L16" s="12" t="s">
        <v>1458</v>
      </c>
      <c r="M16" s="12" t="s">
        <v>62</v>
      </c>
    </row>
    <row r="17" spans="1:13" ht="92.4">
      <c r="A17" s="12" t="str">
        <f t="shared" si="0"/>
        <v>AE</v>
      </c>
      <c r="B17" s="21" t="s">
        <v>14613</v>
      </c>
      <c r="C17" s="21" t="s">
        <v>14668</v>
      </c>
      <c r="D17" s="12" t="s">
        <v>57</v>
      </c>
      <c r="E17" s="12"/>
      <c r="F17" s="12">
        <v>4</v>
      </c>
      <c r="G17" s="21" t="s">
        <v>58</v>
      </c>
      <c r="H17" s="21"/>
      <c r="I17" s="12"/>
      <c r="J17" s="6"/>
      <c r="K17" s="12"/>
      <c r="L17" s="12" t="s">
        <v>14716</v>
      </c>
      <c r="M17" s="12" t="s">
        <v>114</v>
      </c>
    </row>
    <row r="18" spans="1:13" ht="39.6">
      <c r="A18" s="12" t="str">
        <f t="shared" si="0"/>
        <v>AE</v>
      </c>
      <c r="B18" s="21" t="s">
        <v>14614</v>
      </c>
      <c r="C18" s="21" t="s">
        <v>413</v>
      </c>
      <c r="D18" s="12" t="s">
        <v>101</v>
      </c>
      <c r="E18" s="12"/>
      <c r="F18" s="12">
        <v>5</v>
      </c>
      <c r="G18" s="21" t="s">
        <v>58</v>
      </c>
      <c r="H18" s="21"/>
      <c r="I18" s="12"/>
      <c r="J18" s="21"/>
      <c r="K18" s="12"/>
      <c r="L18" s="12" t="s">
        <v>7898</v>
      </c>
      <c r="M18" s="12" t="s">
        <v>62</v>
      </c>
    </row>
    <row r="19" spans="1:13" ht="39.6">
      <c r="A19" s="12" t="str">
        <f t="shared" si="0"/>
        <v>AE</v>
      </c>
      <c r="B19" s="21" t="s">
        <v>14615</v>
      </c>
      <c r="C19" s="21" t="s">
        <v>414</v>
      </c>
      <c r="D19" s="12" t="s">
        <v>57</v>
      </c>
      <c r="E19" s="14"/>
      <c r="F19" s="12">
        <v>6</v>
      </c>
      <c r="G19" s="21" t="s">
        <v>58</v>
      </c>
      <c r="H19" s="21"/>
      <c r="I19" s="12"/>
      <c r="J19" s="21"/>
      <c r="K19" s="12"/>
      <c r="L19" s="12" t="s">
        <v>2326</v>
      </c>
      <c r="M19" s="12" t="s">
        <v>114</v>
      </c>
    </row>
    <row r="20" spans="1:13" ht="39.6">
      <c r="A20" s="12" t="str">
        <f t="shared" si="0"/>
        <v>AE</v>
      </c>
      <c r="B20" s="21" t="s">
        <v>14616</v>
      </c>
      <c r="C20" s="21" t="s">
        <v>7877</v>
      </c>
      <c r="D20" s="12" t="s">
        <v>57</v>
      </c>
      <c r="E20" s="14"/>
      <c r="F20" s="12">
        <v>7</v>
      </c>
      <c r="G20" s="21" t="s">
        <v>58</v>
      </c>
      <c r="H20" s="21"/>
      <c r="I20" s="12"/>
      <c r="J20" s="21"/>
      <c r="K20" s="12"/>
      <c r="L20" s="12" t="s">
        <v>14717</v>
      </c>
      <c r="M20" s="12" t="s">
        <v>114</v>
      </c>
    </row>
    <row r="21" spans="1:13" ht="79.2">
      <c r="A21" s="12" t="str">
        <f t="shared" si="0"/>
        <v>AE</v>
      </c>
      <c r="B21" s="21" t="s">
        <v>14617</v>
      </c>
      <c r="C21" s="21" t="s">
        <v>2262</v>
      </c>
      <c r="D21" s="12" t="s">
        <v>57</v>
      </c>
      <c r="E21" s="14"/>
      <c r="F21" s="12">
        <v>8</v>
      </c>
      <c r="G21" s="21" t="s">
        <v>58</v>
      </c>
      <c r="H21" s="21"/>
      <c r="I21" s="12"/>
      <c r="J21" s="21"/>
      <c r="K21" s="12"/>
      <c r="L21" s="12" t="s">
        <v>14718</v>
      </c>
      <c r="M21" s="12" t="s">
        <v>114</v>
      </c>
    </row>
    <row r="22" spans="1:13">
      <c r="A22" s="12" t="str">
        <f t="shared" si="0"/>
        <v>AE</v>
      </c>
      <c r="B22" s="12" t="s">
        <v>14618</v>
      </c>
      <c r="C22" s="12" t="s">
        <v>14669</v>
      </c>
      <c r="D22" s="12" t="s">
        <v>57</v>
      </c>
      <c r="E22" s="12"/>
      <c r="F22" s="12">
        <v>9</v>
      </c>
      <c r="G22" s="12" t="s">
        <v>88</v>
      </c>
      <c r="H22" s="12"/>
      <c r="I22" s="12"/>
      <c r="J22" s="12"/>
      <c r="K22" s="12"/>
      <c r="L22" s="12" t="s">
        <v>14719</v>
      </c>
      <c r="M22" s="12" t="s">
        <v>62</v>
      </c>
    </row>
    <row r="23" spans="1:13" ht="39.6">
      <c r="A23" s="12" t="str">
        <f t="shared" si="0"/>
        <v>AE</v>
      </c>
      <c r="B23" s="12" t="s">
        <v>14619</v>
      </c>
      <c r="C23" s="12" t="s">
        <v>14670</v>
      </c>
      <c r="D23" s="12" t="s">
        <v>57</v>
      </c>
      <c r="E23" s="14"/>
      <c r="F23" s="12">
        <v>10</v>
      </c>
      <c r="G23" s="12" t="s">
        <v>92</v>
      </c>
      <c r="H23" s="12"/>
      <c r="I23" s="12"/>
      <c r="J23" s="12"/>
      <c r="K23" s="12"/>
      <c r="L23" s="12" t="s">
        <v>14720</v>
      </c>
      <c r="M23" s="12" t="s">
        <v>114</v>
      </c>
    </row>
    <row r="24" spans="1:13" ht="26.4">
      <c r="A24" s="12" t="str">
        <f t="shared" si="0"/>
        <v>AE</v>
      </c>
      <c r="B24" s="12" t="s">
        <v>14620</v>
      </c>
      <c r="C24" s="12" t="s">
        <v>14671</v>
      </c>
      <c r="D24" s="12" t="s">
        <v>57</v>
      </c>
      <c r="E24" s="14" t="str" cm="1">
        <f t="array" aca="1" ref="E24" ca="1">HYPERLINK("#"&amp;CELL("address", INDEX(Format!A:A,MATCH("MedDRA",Format!A:A,0))),"MedDRA")</f>
        <v>MedDRA</v>
      </c>
      <c r="F24" s="12">
        <v>11</v>
      </c>
      <c r="G24" s="12" t="s">
        <v>329</v>
      </c>
      <c r="H24" s="12"/>
      <c r="I24" s="12"/>
      <c r="J24" s="12"/>
      <c r="K24" s="12"/>
      <c r="L24" s="12" t="s">
        <v>14721</v>
      </c>
      <c r="M24" s="12" t="s">
        <v>126</v>
      </c>
    </row>
    <row r="25" spans="1:13" ht="26.4">
      <c r="A25" s="12" t="str">
        <f t="shared" si="0"/>
        <v>AE</v>
      </c>
      <c r="B25" s="12" t="s">
        <v>14621</v>
      </c>
      <c r="C25" s="12" t="s">
        <v>14672</v>
      </c>
      <c r="D25" s="12" t="s">
        <v>101</v>
      </c>
      <c r="E25" s="14" t="str" cm="1">
        <f t="array" aca="1" ref="E25" ca="1">HYPERLINK("#"&amp;CELL("address", INDEX(Format!A:A,MATCH("MedDRA",Format!A:A,0))),"MedDRA")</f>
        <v>MedDRA</v>
      </c>
      <c r="F25" s="12">
        <v>12</v>
      </c>
      <c r="G25" s="12" t="s">
        <v>329</v>
      </c>
      <c r="H25" s="12"/>
      <c r="I25" s="12"/>
      <c r="J25" s="12"/>
      <c r="K25" s="12"/>
      <c r="L25" s="12" t="s">
        <v>14722</v>
      </c>
      <c r="M25" s="12" t="s">
        <v>126</v>
      </c>
    </row>
    <row r="26" spans="1:13" ht="105.6">
      <c r="A26" s="12" t="str">
        <f t="shared" si="0"/>
        <v>AE</v>
      </c>
      <c r="B26" s="12" t="s">
        <v>14622</v>
      </c>
      <c r="C26" s="12" t="s">
        <v>14673</v>
      </c>
      <c r="D26" s="12" t="s">
        <v>57</v>
      </c>
      <c r="E26" s="14" t="str" cm="1">
        <f t="array" aca="1" ref="E26" ca="1">HYPERLINK("#"&amp;CELL("address", INDEX(Format!A:A,MATCH("MedDRA",Format!A:A,0))),"MedDRA")</f>
        <v>MedDRA</v>
      </c>
      <c r="F26" s="12">
        <v>13</v>
      </c>
      <c r="G26" s="12" t="s">
        <v>92</v>
      </c>
      <c r="H26" s="12"/>
      <c r="I26" s="12"/>
      <c r="J26" s="12"/>
      <c r="K26" s="12"/>
      <c r="L26" s="12" t="s">
        <v>14723</v>
      </c>
      <c r="M26" s="12" t="s">
        <v>62</v>
      </c>
    </row>
    <row r="27" spans="1:13" ht="26.4">
      <c r="A27" s="12" t="str">
        <f t="shared" si="0"/>
        <v>AE</v>
      </c>
      <c r="B27" s="12" t="s">
        <v>14623</v>
      </c>
      <c r="C27" s="12" t="s">
        <v>14674</v>
      </c>
      <c r="D27" s="12" t="s">
        <v>101</v>
      </c>
      <c r="E27" s="14" t="str" cm="1">
        <f t="array" aca="1" ref="E27" ca="1">HYPERLINK("#"&amp;CELL("address", INDEX(Format!A:A,MATCH("MedDRA",Format!A:A,0))),"MedDRA")</f>
        <v>MedDRA</v>
      </c>
      <c r="F27" s="12">
        <v>14</v>
      </c>
      <c r="G27" s="12" t="s">
        <v>329</v>
      </c>
      <c r="H27" s="12"/>
      <c r="I27" s="12"/>
      <c r="J27" s="12"/>
      <c r="K27" s="12"/>
      <c r="L27" s="12" t="s">
        <v>14724</v>
      </c>
      <c r="M27" s="12" t="s">
        <v>126</v>
      </c>
    </row>
    <row r="28" spans="1:13" ht="39.6">
      <c r="A28" s="12" t="str">
        <f t="shared" si="0"/>
        <v>AE</v>
      </c>
      <c r="B28" s="12" t="s">
        <v>14624</v>
      </c>
      <c r="C28" s="12" t="s">
        <v>14675</v>
      </c>
      <c r="D28" s="12" t="s">
        <v>57</v>
      </c>
      <c r="E28" s="14" t="str" cm="1">
        <f t="array" aca="1" ref="E28" ca="1">HYPERLINK("#"&amp;CELL("address", INDEX(Format!A:A,MATCH("MedDRA",Format!A:A,0))),"MedDRA")</f>
        <v>MedDRA</v>
      </c>
      <c r="F28" s="12">
        <v>15</v>
      </c>
      <c r="G28" s="12" t="s">
        <v>329</v>
      </c>
      <c r="H28" s="12"/>
      <c r="I28" s="12"/>
      <c r="J28" s="12"/>
      <c r="K28" s="12"/>
      <c r="L28" s="12" t="s">
        <v>14725</v>
      </c>
      <c r="M28" s="12" t="s">
        <v>126</v>
      </c>
    </row>
    <row r="29" spans="1:13" ht="26.4">
      <c r="A29" s="12" t="str">
        <f t="shared" si="0"/>
        <v>AE</v>
      </c>
      <c r="B29" s="12" t="s">
        <v>14625</v>
      </c>
      <c r="C29" s="12" t="s">
        <v>14676</v>
      </c>
      <c r="D29" s="12" t="s">
        <v>101</v>
      </c>
      <c r="E29" s="14" t="str" cm="1">
        <f t="array" aca="1" ref="E29" ca="1">HYPERLINK("#"&amp;CELL("address", INDEX(Format!A:A,MATCH("MedDRA",Format!A:A,0))),"MedDRA")</f>
        <v>MedDRA</v>
      </c>
      <c r="F29" s="12">
        <v>16</v>
      </c>
      <c r="G29" s="12" t="s">
        <v>329</v>
      </c>
      <c r="H29" s="12"/>
      <c r="I29" s="12"/>
      <c r="J29" s="12"/>
      <c r="K29" s="12"/>
      <c r="L29" s="12" t="s">
        <v>14726</v>
      </c>
      <c r="M29" s="12" t="s">
        <v>126</v>
      </c>
    </row>
    <row r="30" spans="1:13" ht="39.6">
      <c r="A30" s="12" t="str">
        <f t="shared" si="0"/>
        <v>AE</v>
      </c>
      <c r="B30" s="12" t="s">
        <v>14626</v>
      </c>
      <c r="C30" s="12" t="s">
        <v>14677</v>
      </c>
      <c r="D30" s="12" t="s">
        <v>57</v>
      </c>
      <c r="E30" s="14" t="str" cm="1">
        <f t="array" aca="1" ref="E30" ca="1">HYPERLINK("#"&amp;CELL("address", INDEX(Format!A:A,MATCH("MedDRA",Format!A:A,0))),"MedDRA")</f>
        <v>MedDRA</v>
      </c>
      <c r="F30" s="12">
        <v>17</v>
      </c>
      <c r="G30" s="12" t="s">
        <v>329</v>
      </c>
      <c r="H30" s="12"/>
      <c r="I30" s="12"/>
      <c r="J30" s="12"/>
      <c r="K30" s="12"/>
      <c r="L30" s="12" t="s">
        <v>14727</v>
      </c>
      <c r="M30" s="12" t="s">
        <v>126</v>
      </c>
    </row>
    <row r="31" spans="1:13" ht="26.4">
      <c r="A31" s="12" t="str">
        <f t="shared" si="0"/>
        <v>AE</v>
      </c>
      <c r="B31" s="12" t="s">
        <v>14627</v>
      </c>
      <c r="C31" s="12" t="s">
        <v>14678</v>
      </c>
      <c r="D31" s="12" t="s">
        <v>101</v>
      </c>
      <c r="E31" s="14" t="str" cm="1">
        <f t="array" aca="1" ref="E31" ca="1">HYPERLINK("#"&amp;CELL("address", INDEX(Format!A:A,MATCH("MedDRA",Format!A:A,0))),"MedDRA")</f>
        <v>MedDRA</v>
      </c>
      <c r="F31" s="12">
        <v>18</v>
      </c>
      <c r="G31" s="12" t="s">
        <v>329</v>
      </c>
      <c r="H31" s="12"/>
      <c r="I31" s="12"/>
      <c r="J31" s="12"/>
      <c r="K31" s="12"/>
      <c r="L31" s="12" t="s">
        <v>14728</v>
      </c>
      <c r="M31" s="12" t="s">
        <v>126</v>
      </c>
    </row>
    <row r="32" spans="1:13" ht="39.6">
      <c r="A32" s="12" t="str">
        <f t="shared" si="0"/>
        <v>AE</v>
      </c>
      <c r="B32" s="12" t="s">
        <v>14628</v>
      </c>
      <c r="C32" s="12" t="s">
        <v>14679</v>
      </c>
      <c r="D32" s="12" t="s">
        <v>57</v>
      </c>
      <c r="E32" s="12" t="s">
        <v>87</v>
      </c>
      <c r="F32" s="12">
        <v>19</v>
      </c>
      <c r="G32" s="12" t="s">
        <v>387</v>
      </c>
      <c r="H32" s="12"/>
      <c r="I32" s="12"/>
      <c r="J32" s="12"/>
      <c r="K32" s="12"/>
      <c r="L32" s="12" t="s">
        <v>14729</v>
      </c>
      <c r="M32" s="12" t="s">
        <v>114</v>
      </c>
    </row>
    <row r="33" spans="1:13" ht="26.4">
      <c r="A33" s="12" t="str">
        <f t="shared" si="0"/>
        <v>AE</v>
      </c>
      <c r="B33" s="12" t="s">
        <v>14629</v>
      </c>
      <c r="C33" s="12" t="s">
        <v>14680</v>
      </c>
      <c r="D33" s="12" t="s">
        <v>57</v>
      </c>
      <c r="E33" s="12" t="s">
        <v>87</v>
      </c>
      <c r="F33" s="12">
        <v>20</v>
      </c>
      <c r="G33" s="12" t="s">
        <v>387</v>
      </c>
      <c r="H33" s="12"/>
      <c r="I33" s="12"/>
      <c r="J33" s="12"/>
      <c r="K33" s="12"/>
      <c r="L33" s="12" t="s">
        <v>14730</v>
      </c>
      <c r="M33" s="12" t="s">
        <v>114</v>
      </c>
    </row>
    <row r="34" spans="1:13" ht="66">
      <c r="A34" s="12" t="str">
        <f t="shared" si="0"/>
        <v>AE</v>
      </c>
      <c r="B34" s="12" t="s">
        <v>14630</v>
      </c>
      <c r="C34" s="12" t="s">
        <v>14681</v>
      </c>
      <c r="D34" s="12" t="s">
        <v>57</v>
      </c>
      <c r="E34" s="14" t="str" cm="1">
        <f t="array" aca="1" ref="E34" ca="1">HYPERLINK("#"&amp;CELL("address", INDEX(ControlledTerms!E:E,MATCH("C66742",ControlledTerms!E:E,0))),"(NY)")</f>
        <v>(NY)</v>
      </c>
      <c r="F34" s="12">
        <v>21</v>
      </c>
      <c r="G34" s="12" t="s">
        <v>329</v>
      </c>
      <c r="H34" s="12"/>
      <c r="I34" s="12"/>
      <c r="J34" s="12"/>
      <c r="K34" s="12"/>
      <c r="L34" s="12" t="s">
        <v>14731</v>
      </c>
      <c r="M34" s="12" t="s">
        <v>114</v>
      </c>
    </row>
    <row r="35" spans="1:13" ht="118.8">
      <c r="A35" s="12" t="str">
        <f t="shared" si="0"/>
        <v>AE</v>
      </c>
      <c r="B35" s="12" t="s">
        <v>14631</v>
      </c>
      <c r="C35" s="12" t="s">
        <v>14682</v>
      </c>
      <c r="D35" s="12" t="s">
        <v>57</v>
      </c>
      <c r="E35" s="12" t="s">
        <v>87</v>
      </c>
      <c r="F35" s="12">
        <v>22</v>
      </c>
      <c r="G35" s="12" t="s">
        <v>107</v>
      </c>
      <c r="H35" s="12"/>
      <c r="I35" s="12"/>
      <c r="J35" s="12"/>
      <c r="K35" s="12"/>
      <c r="L35" s="12" t="s">
        <v>14732</v>
      </c>
      <c r="M35" s="12" t="s">
        <v>126</v>
      </c>
    </row>
    <row r="36" spans="1:13" ht="105.6">
      <c r="A36" s="12" t="str">
        <f t="shared" si="0"/>
        <v>AE</v>
      </c>
      <c r="B36" s="12" t="s">
        <v>14632</v>
      </c>
      <c r="C36" s="12" t="s">
        <v>14683</v>
      </c>
      <c r="D36" s="12" t="s">
        <v>101</v>
      </c>
      <c r="E36" s="14" t="str" cm="1">
        <f t="array" aca="1" ref="E36" ca="1">HYPERLINK("#"&amp;CELL("address", INDEX(Format!A:A,MATCH("MedDRA",Format!A:A,0))),"MedDRA")</f>
        <v>MedDRA</v>
      </c>
      <c r="F36" s="12">
        <v>23</v>
      </c>
      <c r="G36" s="12" t="s">
        <v>329</v>
      </c>
      <c r="H36" s="12"/>
      <c r="I36" s="12"/>
      <c r="J36" s="12"/>
      <c r="K36" s="12"/>
      <c r="L36" s="12" t="s">
        <v>14733</v>
      </c>
      <c r="M36" s="12" t="s">
        <v>126</v>
      </c>
    </row>
    <row r="37" spans="1:13" ht="52.8">
      <c r="A37" s="12" t="str">
        <f t="shared" si="0"/>
        <v>AE</v>
      </c>
      <c r="B37" s="12" t="s">
        <v>14633</v>
      </c>
      <c r="C37" s="12" t="s">
        <v>14684</v>
      </c>
      <c r="D37" s="12" t="s">
        <v>57</v>
      </c>
      <c r="E37" s="14" t="str" cm="1">
        <f t="array" aca="1" ref="E37" ca="1">HYPERLINK("#"&amp;CELL("address", INDEX(Format!A:A,MATCH("MedDRA",Format!A:A,0))),"MedDRA")</f>
        <v>MedDRA</v>
      </c>
      <c r="F37" s="12">
        <v>24</v>
      </c>
      <c r="G37" s="12" t="s">
        <v>329</v>
      </c>
      <c r="H37" s="12"/>
      <c r="I37" s="12"/>
      <c r="J37" s="12"/>
      <c r="K37" s="12"/>
      <c r="L37" s="12" t="s">
        <v>14734</v>
      </c>
      <c r="M37" s="12" t="s">
        <v>126</v>
      </c>
    </row>
    <row r="38" spans="1:13" ht="52.8">
      <c r="A38" s="12" t="str">
        <f t="shared" si="0"/>
        <v>AE</v>
      </c>
      <c r="B38" s="12" t="s">
        <v>14634</v>
      </c>
      <c r="C38" s="12" t="s">
        <v>14685</v>
      </c>
      <c r="D38" s="12" t="s">
        <v>101</v>
      </c>
      <c r="E38" s="14" t="str" cm="1">
        <f t="array" aca="1" ref="E38" ca="1">HYPERLINK("#"&amp;CELL("address", INDEX(Format!A:A,MATCH("MedDRA",Format!A:A,0))),"MedDRA")</f>
        <v>MedDRA</v>
      </c>
      <c r="F38" s="12">
        <v>25</v>
      </c>
      <c r="G38" s="12" t="s">
        <v>329</v>
      </c>
      <c r="H38" s="12"/>
      <c r="I38" s="12"/>
      <c r="J38" s="12"/>
      <c r="K38" s="12"/>
      <c r="L38" s="12" t="s">
        <v>14735</v>
      </c>
      <c r="M38" s="12" t="s">
        <v>126</v>
      </c>
    </row>
    <row r="39" spans="1:13" ht="39.6">
      <c r="A39" s="12" t="str">
        <f t="shared" si="0"/>
        <v>AE</v>
      </c>
      <c r="B39" s="12" t="s">
        <v>14635</v>
      </c>
      <c r="C39" s="12" t="s">
        <v>14686</v>
      </c>
      <c r="D39" s="12" t="s">
        <v>57</v>
      </c>
      <c r="E39" s="14" t="str" cm="1">
        <f t="array" aca="1" ref="E39" ca="1">HYPERLINK("#"&amp;CELL("address", INDEX(ControlledTerms!E:E,MATCH("C74456",ControlledTerms!E:E,0))),"(LOC)")</f>
        <v>(LOC)</v>
      </c>
      <c r="F39" s="12">
        <v>26</v>
      </c>
      <c r="G39" s="12" t="s">
        <v>107</v>
      </c>
      <c r="H39" s="12"/>
      <c r="I39" s="12"/>
      <c r="J39" s="12"/>
      <c r="K39" s="12"/>
      <c r="L39" s="12" t="s">
        <v>14736</v>
      </c>
      <c r="M39" s="12" t="s">
        <v>114</v>
      </c>
    </row>
    <row r="40" spans="1:13" ht="39.6">
      <c r="A40" s="12" t="str">
        <f t="shared" si="0"/>
        <v>AE</v>
      </c>
      <c r="B40" s="12" t="s">
        <v>14636</v>
      </c>
      <c r="C40" s="12" t="s">
        <v>14687</v>
      </c>
      <c r="D40" s="12" t="s">
        <v>57</v>
      </c>
      <c r="E40" s="14" t="str" cm="1">
        <f t="array" aca="1" ref="E40" ca="1">HYPERLINK("#"&amp;CELL("address", INDEX(ControlledTerms!E:E,MATCH("C66769",ControlledTerms!E:E,0))),"(AESEV)")</f>
        <v>(AESEV)</v>
      </c>
      <c r="F40" s="12">
        <v>27</v>
      </c>
      <c r="G40" s="12" t="s">
        <v>107</v>
      </c>
      <c r="H40" s="12"/>
      <c r="I40" s="12"/>
      <c r="J40" s="12"/>
      <c r="K40" s="12"/>
      <c r="L40" s="12" t="s">
        <v>14737</v>
      </c>
      <c r="M40" s="12" t="s">
        <v>114</v>
      </c>
    </row>
    <row r="41" spans="1:13" ht="26.4">
      <c r="A41" s="12" t="str">
        <f t="shared" si="0"/>
        <v>AE</v>
      </c>
      <c r="B41" s="12" t="s">
        <v>14637</v>
      </c>
      <c r="C41" s="12" t="s">
        <v>14688</v>
      </c>
      <c r="D41" s="12" t="s">
        <v>57</v>
      </c>
      <c r="E41" s="14" t="str" cm="1">
        <f t="array" aca="1" ref="E41" ca="1">HYPERLINK("#"&amp;CELL("address", INDEX(ControlledTerms!E:E,MATCH("C66742",ControlledTerms!E:E,0))),"(NY)")</f>
        <v>(NY)</v>
      </c>
      <c r="F41" s="12">
        <v>28</v>
      </c>
      <c r="G41" s="12" t="s">
        <v>107</v>
      </c>
      <c r="H41" s="12"/>
      <c r="I41" s="12"/>
      <c r="J41" s="12"/>
      <c r="K41" s="12"/>
      <c r="L41" s="12" t="s">
        <v>14738</v>
      </c>
      <c r="M41" s="12" t="s">
        <v>126</v>
      </c>
    </row>
    <row r="42" spans="1:13" ht="158.4">
      <c r="A42" s="12" t="str">
        <f t="shared" si="0"/>
        <v>AE</v>
      </c>
      <c r="B42" s="12" t="s">
        <v>14638</v>
      </c>
      <c r="C42" s="12" t="s">
        <v>14689</v>
      </c>
      <c r="D42" s="12" t="s">
        <v>57</v>
      </c>
      <c r="E42" s="14" t="str" cm="1">
        <f t="array" aca="1" ref="E42" ca="1">HYPERLINK("#"&amp;CELL("address", INDEX(ControlledTerms!E:E,MATCH("C66767",ControlledTerms!E:E,0))),"(ACN)")</f>
        <v>(ACN)</v>
      </c>
      <c r="F42" s="12">
        <v>29</v>
      </c>
      <c r="G42" s="12" t="s">
        <v>107</v>
      </c>
      <c r="H42" s="12"/>
      <c r="I42" s="12"/>
      <c r="J42" s="12"/>
      <c r="K42" s="12"/>
      <c r="L42" s="12" t="s">
        <v>14739</v>
      </c>
      <c r="M42" s="12" t="s">
        <v>126</v>
      </c>
    </row>
    <row r="43" spans="1:13" ht="79.2">
      <c r="A43" s="12" t="str">
        <f t="shared" si="0"/>
        <v>AE</v>
      </c>
      <c r="B43" s="12" t="s">
        <v>14639</v>
      </c>
      <c r="C43" s="12" t="s">
        <v>14690</v>
      </c>
      <c r="D43" s="12" t="s">
        <v>57</v>
      </c>
      <c r="E43" s="14"/>
      <c r="F43" s="12">
        <v>30</v>
      </c>
      <c r="G43" s="12" t="s">
        <v>107</v>
      </c>
      <c r="H43" s="12"/>
      <c r="I43" s="12"/>
      <c r="J43" s="12"/>
      <c r="K43" s="12"/>
      <c r="L43" s="12" t="s">
        <v>14740</v>
      </c>
      <c r="M43" s="12" t="s">
        <v>114</v>
      </c>
    </row>
    <row r="44" spans="1:13" ht="39.6">
      <c r="A44" s="12" t="str">
        <f t="shared" si="0"/>
        <v>AE</v>
      </c>
      <c r="B44" s="12" t="s">
        <v>14640</v>
      </c>
      <c r="C44" s="12" t="s">
        <v>14691</v>
      </c>
      <c r="D44" s="12" t="s">
        <v>57</v>
      </c>
      <c r="E44" s="14" t="str" cm="1">
        <f t="array" aca="1" ref="E44" ca="1">HYPERLINK("#"&amp;CELL("address", INDEX(ControlledTerms!E:E,MATCH("C111110",ControlledTerms!E:E,0))),"(DEACNDEV)")</f>
        <v>(DEACNDEV)</v>
      </c>
      <c r="F44" s="12">
        <v>31</v>
      </c>
      <c r="G44" s="12" t="s">
        <v>107</v>
      </c>
      <c r="H44" s="12"/>
      <c r="I44" s="12"/>
      <c r="J44" s="12"/>
      <c r="K44" s="12"/>
      <c r="L44" s="12" t="s">
        <v>14741</v>
      </c>
      <c r="M44" s="12" t="s">
        <v>114</v>
      </c>
    </row>
    <row r="45" spans="1:13" ht="198">
      <c r="A45" s="12" t="str">
        <f t="shared" si="0"/>
        <v>AE</v>
      </c>
      <c r="B45" s="12" t="s">
        <v>14641</v>
      </c>
      <c r="C45" s="12" t="s">
        <v>14692</v>
      </c>
      <c r="D45" s="12" t="s">
        <v>57</v>
      </c>
      <c r="E45" s="12" t="s">
        <v>87</v>
      </c>
      <c r="F45" s="12">
        <v>32</v>
      </c>
      <c r="G45" s="12" t="s">
        <v>107</v>
      </c>
      <c r="H45" s="12"/>
      <c r="I45" s="12"/>
      <c r="J45" s="12"/>
      <c r="K45" s="12"/>
      <c r="L45" s="12" t="s">
        <v>14742</v>
      </c>
      <c r="M45" s="12" t="s">
        <v>126</v>
      </c>
    </row>
    <row r="46" spans="1:13" ht="184.8">
      <c r="A46" s="12" t="str">
        <f t="shared" si="0"/>
        <v>AE</v>
      </c>
      <c r="B46" s="12" t="s">
        <v>14642</v>
      </c>
      <c r="C46" s="12" t="s">
        <v>14693</v>
      </c>
      <c r="D46" s="12" t="s">
        <v>57</v>
      </c>
      <c r="E46" s="12" t="s">
        <v>87</v>
      </c>
      <c r="F46" s="12">
        <v>33</v>
      </c>
      <c r="G46" s="12" t="s">
        <v>107</v>
      </c>
      <c r="H46" s="12"/>
      <c r="I46" s="12"/>
      <c r="J46" s="12"/>
      <c r="K46" s="12"/>
      <c r="L46" s="12" t="s">
        <v>14743</v>
      </c>
      <c r="M46" s="12" t="s">
        <v>114</v>
      </c>
    </row>
    <row r="47" spans="1:13" ht="79.2">
      <c r="A47" s="12" t="str">
        <f t="shared" si="0"/>
        <v>AE</v>
      </c>
      <c r="B47" s="12" t="s">
        <v>14643</v>
      </c>
      <c r="C47" s="12" t="s">
        <v>14694</v>
      </c>
      <c r="D47" s="12" t="s">
        <v>57</v>
      </c>
      <c r="E47" s="12"/>
      <c r="F47" s="12">
        <v>34</v>
      </c>
      <c r="G47" s="12" t="s">
        <v>107</v>
      </c>
      <c r="H47" s="12"/>
      <c r="I47" s="12"/>
      <c r="J47" s="12"/>
      <c r="K47" s="12"/>
      <c r="L47" s="12" t="s">
        <v>14744</v>
      </c>
      <c r="M47" s="12" t="s">
        <v>114</v>
      </c>
    </row>
    <row r="48" spans="1:13" ht="52.8">
      <c r="A48" s="12" t="str">
        <f t="shared" si="0"/>
        <v>AE</v>
      </c>
      <c r="B48" s="12" t="s">
        <v>14644</v>
      </c>
      <c r="C48" s="12" t="s">
        <v>14695</v>
      </c>
      <c r="D48" s="12" t="s">
        <v>57</v>
      </c>
      <c r="E48" s="12" t="s">
        <v>87</v>
      </c>
      <c r="F48" s="12">
        <v>35</v>
      </c>
      <c r="G48" s="12" t="s">
        <v>107</v>
      </c>
      <c r="H48" s="12"/>
      <c r="I48" s="12"/>
      <c r="J48" s="12"/>
      <c r="K48" s="12"/>
      <c r="L48" s="12" t="s">
        <v>14745</v>
      </c>
      <c r="M48" s="12" t="s">
        <v>114</v>
      </c>
    </row>
    <row r="49" spans="1:13" ht="26.4">
      <c r="A49" s="12" t="str">
        <f t="shared" si="0"/>
        <v>AE</v>
      </c>
      <c r="B49" s="12" t="s">
        <v>14645</v>
      </c>
      <c r="C49" s="12" t="s">
        <v>14696</v>
      </c>
      <c r="D49" s="12" t="s">
        <v>57</v>
      </c>
      <c r="E49" s="14" t="str" cm="1">
        <f t="array" aca="1" ref="E49" ca="1">HYPERLINK("#"&amp;CELL("address", INDEX(ControlledTerms!E:E,MATCH("C66768",ControlledTerms!E:E,0))),"(OUT)")</f>
        <v>(OUT)</v>
      </c>
      <c r="F49" s="12">
        <v>36</v>
      </c>
      <c r="G49" s="12" t="s">
        <v>107</v>
      </c>
      <c r="H49" s="12"/>
      <c r="I49" s="12"/>
      <c r="J49" s="12"/>
      <c r="K49" s="12"/>
      <c r="L49" s="12" t="s">
        <v>14746</v>
      </c>
      <c r="M49" s="12" t="s">
        <v>114</v>
      </c>
    </row>
    <row r="50" spans="1:13" ht="66">
      <c r="A50" s="12" t="str">
        <f t="shared" si="0"/>
        <v>AE</v>
      </c>
      <c r="B50" s="12" t="s">
        <v>14646</v>
      </c>
      <c r="C50" s="12" t="s">
        <v>14697</v>
      </c>
      <c r="D50" s="12" t="s">
        <v>57</v>
      </c>
      <c r="E50" s="14" t="str" cm="1">
        <f t="array" aca="1" ref="E50" ca="1">HYPERLINK("#"&amp;CELL("address", INDEX(ControlledTerms!E:E,MATCH("C66742",ControlledTerms!E:E,0))),"(NY)")</f>
        <v>(NY)</v>
      </c>
      <c r="F50" s="12">
        <v>37</v>
      </c>
      <c r="G50" s="12" t="s">
        <v>107</v>
      </c>
      <c r="H50" s="12"/>
      <c r="I50" s="12"/>
      <c r="J50" s="12"/>
      <c r="K50" s="12"/>
      <c r="L50" s="12" t="s">
        <v>14747</v>
      </c>
      <c r="M50" s="12" t="s">
        <v>114</v>
      </c>
    </row>
    <row r="51" spans="1:13" ht="39.6">
      <c r="A51" s="12" t="str">
        <f t="shared" si="0"/>
        <v>AE</v>
      </c>
      <c r="B51" s="12" t="s">
        <v>14647</v>
      </c>
      <c r="C51" s="12" t="s">
        <v>14698</v>
      </c>
      <c r="D51" s="12" t="s">
        <v>57</v>
      </c>
      <c r="E51" s="14" t="str" cm="1">
        <f t="array" aca="1" ref="E51" ca="1">HYPERLINK("#"&amp;CELL("address", INDEX(ControlledTerms!E:E,MATCH("C66742",ControlledTerms!E:E,0))),"(NY)")</f>
        <v>(NY)</v>
      </c>
      <c r="F51" s="12">
        <v>38</v>
      </c>
      <c r="G51" s="12" t="s">
        <v>107</v>
      </c>
      <c r="H51" s="12"/>
      <c r="I51" s="12"/>
      <c r="J51" s="12"/>
      <c r="K51" s="12"/>
      <c r="L51" s="12" t="s">
        <v>14748</v>
      </c>
      <c r="M51" s="12" t="s">
        <v>114</v>
      </c>
    </row>
    <row r="52" spans="1:13" ht="52.8">
      <c r="A52" s="12" t="str">
        <f t="shared" si="0"/>
        <v>AE</v>
      </c>
      <c r="B52" s="12" t="s">
        <v>14648</v>
      </c>
      <c r="C52" s="12" t="s">
        <v>14699</v>
      </c>
      <c r="D52" s="12" t="s">
        <v>57</v>
      </c>
      <c r="E52" s="14" t="str" cm="1">
        <f t="array" aca="1" ref="E52" ca="1">HYPERLINK("#"&amp;CELL("address", INDEX(ControlledTerms!E:E,MATCH("C66742",ControlledTerms!E:E,0))),"(NY)")</f>
        <v>(NY)</v>
      </c>
      <c r="F52" s="12">
        <v>39</v>
      </c>
      <c r="G52" s="12" t="s">
        <v>107</v>
      </c>
      <c r="H52" s="12"/>
      <c r="I52" s="12"/>
      <c r="J52" s="12"/>
      <c r="K52" s="12"/>
      <c r="L52" s="12" t="s">
        <v>14749</v>
      </c>
      <c r="M52" s="12" t="s">
        <v>114</v>
      </c>
    </row>
    <row r="53" spans="1:13" ht="26.4">
      <c r="A53" s="12" t="str">
        <f t="shared" si="0"/>
        <v>AE</v>
      </c>
      <c r="B53" s="12" t="s">
        <v>14649</v>
      </c>
      <c r="C53" s="12" t="s">
        <v>14700</v>
      </c>
      <c r="D53" s="12" t="s">
        <v>57</v>
      </c>
      <c r="E53" s="14" t="str" cm="1">
        <f t="array" aca="1" ref="E53" ca="1">HYPERLINK("#"&amp;CELL("address", INDEX(ControlledTerms!E:E,MATCH("C66742",ControlledTerms!E:E,0))),"(NY)")</f>
        <v>(NY)</v>
      </c>
      <c r="F53" s="12">
        <v>40</v>
      </c>
      <c r="G53" s="12" t="s">
        <v>107</v>
      </c>
      <c r="H53" s="12"/>
      <c r="I53" s="12"/>
      <c r="J53" s="12"/>
      <c r="K53" s="12"/>
      <c r="L53" s="12" t="s">
        <v>14750</v>
      </c>
      <c r="M53" s="12" t="s">
        <v>114</v>
      </c>
    </row>
    <row r="54" spans="1:13" ht="39.6">
      <c r="A54" s="12" t="str">
        <f t="shared" si="0"/>
        <v>AE</v>
      </c>
      <c r="B54" s="12" t="s">
        <v>14650</v>
      </c>
      <c r="C54" s="12" t="s">
        <v>14701</v>
      </c>
      <c r="D54" s="12" t="s">
        <v>57</v>
      </c>
      <c r="E54" s="14" t="str" cm="1">
        <f t="array" aca="1" ref="E54" ca="1">HYPERLINK("#"&amp;CELL("address", INDEX(ControlledTerms!E:E,MATCH("C66742",ControlledTerms!E:E,0))),"(NY)")</f>
        <v>(NY)</v>
      </c>
      <c r="F54" s="12">
        <v>41</v>
      </c>
      <c r="G54" s="12" t="s">
        <v>107</v>
      </c>
      <c r="H54" s="12"/>
      <c r="I54" s="12"/>
      <c r="J54" s="12"/>
      <c r="K54" s="12"/>
      <c r="L54" s="12" t="s">
        <v>14751</v>
      </c>
      <c r="M54" s="12" t="s">
        <v>114</v>
      </c>
    </row>
    <row r="55" spans="1:13" ht="26.4">
      <c r="A55" s="12" t="str">
        <f t="shared" si="0"/>
        <v>AE</v>
      </c>
      <c r="B55" s="12" t="s">
        <v>14651</v>
      </c>
      <c r="C55" s="12" t="s">
        <v>14702</v>
      </c>
      <c r="D55" s="12" t="s">
        <v>57</v>
      </c>
      <c r="E55" s="14" t="str" cm="1">
        <f t="array" aca="1" ref="E55" ca="1">HYPERLINK("#"&amp;CELL("address", INDEX(ControlledTerms!E:E,MATCH("C66742",ControlledTerms!E:E,0))),"(NY)")</f>
        <v>(NY)</v>
      </c>
      <c r="F55" s="12">
        <v>42</v>
      </c>
      <c r="G55" s="12" t="s">
        <v>107</v>
      </c>
      <c r="H55" s="12"/>
      <c r="I55" s="12"/>
      <c r="J55" s="12"/>
      <c r="K55" s="12"/>
      <c r="L55" s="12" t="s">
        <v>14752</v>
      </c>
      <c r="M55" s="12" t="s">
        <v>114</v>
      </c>
    </row>
    <row r="56" spans="1:13" ht="66">
      <c r="A56" s="12" t="str">
        <f t="shared" si="0"/>
        <v>AE</v>
      </c>
      <c r="B56" s="12" t="s">
        <v>14652</v>
      </c>
      <c r="C56" s="12" t="s">
        <v>14703</v>
      </c>
      <c r="D56" s="12" t="s">
        <v>57</v>
      </c>
      <c r="E56" s="14" t="str" cm="1">
        <f t="array" aca="1" ref="E56" ca="1">HYPERLINK("#"&amp;CELL("address", INDEX(ControlledTerms!E:E,MATCH("C66742",ControlledTerms!E:E,0))),"(NY)")</f>
        <v>(NY)</v>
      </c>
      <c r="F56" s="12">
        <v>43</v>
      </c>
      <c r="G56" s="12" t="s">
        <v>107</v>
      </c>
      <c r="H56" s="12"/>
      <c r="I56" s="12"/>
      <c r="J56" s="12"/>
      <c r="K56" s="12"/>
      <c r="L56" s="12" t="s">
        <v>14753</v>
      </c>
      <c r="M56" s="12" t="s">
        <v>114</v>
      </c>
    </row>
    <row r="57" spans="1:13" ht="39.6">
      <c r="A57" s="12" t="str">
        <f t="shared" si="0"/>
        <v>AE</v>
      </c>
      <c r="B57" s="12" t="s">
        <v>14653</v>
      </c>
      <c r="C57" s="12" t="s">
        <v>14704</v>
      </c>
      <c r="D57" s="12" t="s">
        <v>57</v>
      </c>
      <c r="E57" s="14" t="str" cm="1">
        <f t="array" aca="1" ref="E57" ca="1">HYPERLINK("#"&amp;CELL("address", INDEX(ControlledTerms!E:E,MATCH("C66742",ControlledTerms!E:E,0))),"(NY)")</f>
        <v>(NY)</v>
      </c>
      <c r="F57" s="12">
        <v>44</v>
      </c>
      <c r="G57" s="12" t="s">
        <v>107</v>
      </c>
      <c r="H57" s="12"/>
      <c r="I57" s="12"/>
      <c r="J57" s="12"/>
      <c r="K57" s="12"/>
      <c r="L57" s="12" t="s">
        <v>14754</v>
      </c>
      <c r="M57" s="12" t="s">
        <v>114</v>
      </c>
    </row>
    <row r="58" spans="1:13" ht="171.6">
      <c r="A58" s="12" t="str">
        <f t="shared" si="0"/>
        <v>AE</v>
      </c>
      <c r="B58" s="12" t="s">
        <v>14654</v>
      </c>
      <c r="C58" s="12" t="s">
        <v>14705</v>
      </c>
      <c r="D58" s="12" t="s">
        <v>57</v>
      </c>
      <c r="E58" s="14" t="str" cm="1">
        <f t="array" aca="1" ref="E58" ca="1">HYPERLINK("#"&amp;CELL("address", INDEX(ControlledTerms!E:E,MATCH("C66742",ControlledTerms!E:E,0))),"(NY)")</f>
        <v>(NY)</v>
      </c>
      <c r="F58" s="12">
        <v>45</v>
      </c>
      <c r="G58" s="12" t="s">
        <v>107</v>
      </c>
      <c r="H58" s="12"/>
      <c r="I58" s="12"/>
      <c r="J58" s="12"/>
      <c r="K58" s="12"/>
      <c r="L58" s="12" t="s">
        <v>14755</v>
      </c>
      <c r="M58" s="12" t="s">
        <v>114</v>
      </c>
    </row>
    <row r="59" spans="1:13" ht="224.4">
      <c r="A59" s="12" t="str">
        <f t="shared" si="0"/>
        <v>AE</v>
      </c>
      <c r="B59" s="12" t="s">
        <v>14655</v>
      </c>
      <c r="C59" s="12" t="s">
        <v>14706</v>
      </c>
      <c r="D59" s="12" t="s">
        <v>57</v>
      </c>
      <c r="E59" s="14" t="str" cm="1">
        <f t="array" aca="1" ref="E59" ca="1">HYPERLINK("#"&amp;CELL("address", INDEX(ControlledTerms!E:E,MATCH("C66742",ControlledTerms!E:E,0))),"(NY)")</f>
        <v>(NY)</v>
      </c>
      <c r="F59" s="12">
        <v>46</v>
      </c>
      <c r="G59" s="12" t="s">
        <v>107</v>
      </c>
      <c r="H59" s="12"/>
      <c r="I59" s="12"/>
      <c r="J59" s="12"/>
      <c r="K59" s="12"/>
      <c r="L59" s="12" t="s">
        <v>14756</v>
      </c>
      <c r="M59" s="12" t="s">
        <v>114</v>
      </c>
    </row>
    <row r="60" spans="1:13" ht="264">
      <c r="A60" s="12" t="str">
        <f t="shared" si="0"/>
        <v>AE</v>
      </c>
      <c r="B60" s="12" t="s">
        <v>14656</v>
      </c>
      <c r="C60" s="12" t="s">
        <v>14707</v>
      </c>
      <c r="D60" s="12" t="s">
        <v>57</v>
      </c>
      <c r="E60" s="12" t="s">
        <v>87</v>
      </c>
      <c r="F60" s="12">
        <v>47</v>
      </c>
      <c r="G60" s="12" t="s">
        <v>107</v>
      </c>
      <c r="H60" s="12"/>
      <c r="I60" s="12"/>
      <c r="J60" s="12"/>
      <c r="K60" s="12"/>
      <c r="L60" s="12" t="s">
        <v>14757</v>
      </c>
      <c r="M60" s="12" t="s">
        <v>114</v>
      </c>
    </row>
    <row r="61" spans="1:13" ht="237.6">
      <c r="A61" s="12" t="str">
        <f t="shared" si="0"/>
        <v>AE</v>
      </c>
      <c r="B61" s="12" t="s">
        <v>14657</v>
      </c>
      <c r="C61" s="12" t="s">
        <v>14708</v>
      </c>
      <c r="D61" s="12" t="s">
        <v>57</v>
      </c>
      <c r="E61" s="12" t="s">
        <v>87</v>
      </c>
      <c r="F61" s="12">
        <v>48</v>
      </c>
      <c r="G61" s="12" t="s">
        <v>107</v>
      </c>
      <c r="H61" s="12"/>
      <c r="I61" s="12"/>
      <c r="J61" s="12"/>
      <c r="K61" s="12"/>
      <c r="L61" s="12" t="s">
        <v>14758</v>
      </c>
      <c r="M61" s="12" t="s">
        <v>114</v>
      </c>
    </row>
    <row r="62" spans="1:13" ht="39.6">
      <c r="A62" s="12" t="str">
        <f t="shared" si="0"/>
        <v>AE</v>
      </c>
      <c r="B62" s="12" t="s">
        <v>14658</v>
      </c>
      <c r="C62" s="12" t="s">
        <v>14709</v>
      </c>
      <c r="D62" s="12" t="s">
        <v>57</v>
      </c>
      <c r="E62" s="14" t="str" cm="1">
        <f t="array" aca="1" ref="E62" ca="1">HYPERLINK("#"&amp;CELL("address", INDEX(ControlledTerms!E:E,MATCH("C66742",ControlledTerms!E:E,0))),"(NY)")</f>
        <v>(NY)</v>
      </c>
      <c r="F62" s="12">
        <v>49</v>
      </c>
      <c r="G62" s="12" t="s">
        <v>107</v>
      </c>
      <c r="H62" s="12"/>
      <c r="I62" s="12"/>
      <c r="J62" s="12"/>
      <c r="K62" s="12"/>
      <c r="L62" s="12" t="s">
        <v>14759</v>
      </c>
      <c r="M62" s="12" t="s">
        <v>114</v>
      </c>
    </row>
    <row r="63" spans="1:13" ht="118.8">
      <c r="A63" s="12" t="str">
        <f t="shared" si="0"/>
        <v>AE</v>
      </c>
      <c r="B63" s="12" t="s">
        <v>14659</v>
      </c>
      <c r="C63" s="12" t="s">
        <v>14710</v>
      </c>
      <c r="D63" s="12" t="s">
        <v>57</v>
      </c>
      <c r="E63" s="12" t="s">
        <v>87</v>
      </c>
      <c r="F63" s="12">
        <v>50</v>
      </c>
      <c r="G63" s="12" t="s">
        <v>107</v>
      </c>
      <c r="H63" s="12"/>
      <c r="I63" s="12"/>
      <c r="J63" s="12"/>
      <c r="K63" s="12"/>
      <c r="L63" s="12" t="s">
        <v>14760</v>
      </c>
      <c r="M63" s="12" t="s">
        <v>114</v>
      </c>
    </row>
    <row r="64" spans="1:13" ht="26.4">
      <c r="A64" s="12" t="str">
        <f t="shared" si="0"/>
        <v>AE</v>
      </c>
      <c r="B64" s="12" t="s">
        <v>99</v>
      </c>
      <c r="C64" s="12" t="s">
        <v>100</v>
      </c>
      <c r="D64" s="12" t="s">
        <v>101</v>
      </c>
      <c r="E64" s="12"/>
      <c r="F64" s="12">
        <v>51</v>
      </c>
      <c r="G64" s="12" t="s">
        <v>102</v>
      </c>
      <c r="H64" s="12"/>
      <c r="I64" s="12"/>
      <c r="J64" s="12"/>
      <c r="K64" s="12"/>
      <c r="L64" s="12" t="s">
        <v>7918</v>
      </c>
      <c r="M64" s="12" t="s">
        <v>114</v>
      </c>
    </row>
    <row r="65" spans="1:13" ht="52.8">
      <c r="A65" s="12" t="str">
        <f t="shared" si="0"/>
        <v>AE</v>
      </c>
      <c r="B65" s="12" t="s">
        <v>119</v>
      </c>
      <c r="C65" s="12" t="s">
        <v>122</v>
      </c>
      <c r="D65" s="12" t="s">
        <v>57</v>
      </c>
      <c r="E65" s="14" t="str" cm="1">
        <f t="array" aca="1" ref="E65" ca="1">HYPERLINK("#"&amp;CELL("address", INDEX(ControlledTerms!E:E,MATCH("C99079",ControlledTerms!E:E,0))),"(EPOCH)")</f>
        <v>(EPOCH)</v>
      </c>
      <c r="F65" s="12">
        <v>52</v>
      </c>
      <c r="G65" s="12" t="s">
        <v>102</v>
      </c>
      <c r="H65" s="12"/>
      <c r="I65" s="12"/>
      <c r="J65" s="12"/>
      <c r="K65" s="12"/>
      <c r="L65" s="12" t="s">
        <v>14761</v>
      </c>
      <c r="M65" s="12" t="s">
        <v>114</v>
      </c>
    </row>
    <row r="66" spans="1:13" ht="39.6">
      <c r="A66" s="12" t="str">
        <f t="shared" si="0"/>
        <v>AE</v>
      </c>
      <c r="B66" s="12" t="s">
        <v>14660</v>
      </c>
      <c r="C66" s="12" t="s">
        <v>14711</v>
      </c>
      <c r="D66" s="12" t="s">
        <v>57</v>
      </c>
      <c r="E66" s="14" t="str" cm="1">
        <f t="array" aca="1" ref="E66" ca="1">HYPERLINK("#"&amp;CELL("address", INDEX(Format!A:A,MATCH("ISO 8601 datetime or interval",Format!A:A,0))),"ISO 8601 datetime or interval")</f>
        <v>ISO 8601 datetime or interval</v>
      </c>
      <c r="F66" s="12">
        <v>53</v>
      </c>
      <c r="G66" s="12" t="s">
        <v>102</v>
      </c>
      <c r="H66" s="12"/>
      <c r="I66" s="12"/>
      <c r="J66" s="12"/>
      <c r="K66" s="12"/>
      <c r="L66" s="12" t="s">
        <v>14762</v>
      </c>
      <c r="M66" s="12" t="s">
        <v>126</v>
      </c>
    </row>
    <row r="67" spans="1:13" ht="39.6">
      <c r="A67" s="12" t="str">
        <f t="shared" si="0"/>
        <v>AE</v>
      </c>
      <c r="B67" s="12" t="s">
        <v>14661</v>
      </c>
      <c r="C67" s="12" t="s">
        <v>14712</v>
      </c>
      <c r="D67" s="12" t="s">
        <v>57</v>
      </c>
      <c r="E67" s="14" t="str" cm="1">
        <f t="array" aca="1" ref="E67" ca="1">HYPERLINK("#"&amp;CELL("address", INDEX(Format!A:A,MATCH("ISO 8601 datetime or interval",Format!A:A,0))),"ISO 8601 datetime or interval")</f>
        <v>ISO 8601 datetime or interval</v>
      </c>
      <c r="F67" s="12">
        <v>54</v>
      </c>
      <c r="G67" s="12" t="s">
        <v>102</v>
      </c>
      <c r="H67" s="12"/>
      <c r="I67" s="12"/>
      <c r="J67" s="12"/>
      <c r="K67" s="12"/>
      <c r="L67" s="12" t="s">
        <v>14763</v>
      </c>
      <c r="M67" s="12" t="s">
        <v>126</v>
      </c>
    </row>
    <row r="68" spans="1:13" ht="39.6">
      <c r="A68" s="12" t="str">
        <f t="shared" si="0"/>
        <v>AE</v>
      </c>
      <c r="B68" s="12" t="s">
        <v>14662</v>
      </c>
      <c r="C68" s="12" t="s">
        <v>14713</v>
      </c>
      <c r="D68" s="12" t="s">
        <v>101</v>
      </c>
      <c r="E68" s="12"/>
      <c r="F68" s="12">
        <v>55</v>
      </c>
      <c r="G68" s="12" t="s">
        <v>102</v>
      </c>
      <c r="H68" s="12"/>
      <c r="I68" s="12"/>
      <c r="J68" s="12"/>
      <c r="K68" s="12"/>
      <c r="L68" s="12" t="s">
        <v>14764</v>
      </c>
      <c r="M68" s="12" t="s">
        <v>114</v>
      </c>
    </row>
    <row r="69" spans="1:13" ht="26.4">
      <c r="A69" s="12" t="str">
        <f t="shared" si="0"/>
        <v>AE</v>
      </c>
      <c r="B69" s="12" t="s">
        <v>14663</v>
      </c>
      <c r="C69" s="12" t="s">
        <v>14714</v>
      </c>
      <c r="D69" s="12" t="s">
        <v>101</v>
      </c>
      <c r="E69" s="12"/>
      <c r="F69" s="12">
        <v>56</v>
      </c>
      <c r="G69" s="12" t="s">
        <v>102</v>
      </c>
      <c r="H69" s="12"/>
      <c r="I69" s="12"/>
      <c r="J69" s="12"/>
      <c r="K69" s="12"/>
      <c r="L69" s="12" t="s">
        <v>14765</v>
      </c>
      <c r="M69" s="12" t="s">
        <v>114</v>
      </c>
    </row>
    <row r="70" spans="1:13" ht="66">
      <c r="A70" s="12" t="str">
        <f t="shared" si="0"/>
        <v>AE</v>
      </c>
      <c r="B70" s="12" t="s">
        <v>14664</v>
      </c>
      <c r="C70" s="12" t="s">
        <v>14715</v>
      </c>
      <c r="D70" s="12" t="s">
        <v>57</v>
      </c>
      <c r="E70" s="14" t="str" cm="1">
        <f t="array" aca="1" ref="E70" ca="1">HYPERLINK("#"&amp;CELL("address", INDEX(Format!A:A,MATCH("ISO 8601 duration",Format!A:A,0))),"ISO 8601 duration")</f>
        <v>ISO 8601 duration</v>
      </c>
      <c r="F70" s="12">
        <v>57</v>
      </c>
      <c r="G70" s="12" t="s">
        <v>102</v>
      </c>
      <c r="H70" s="12"/>
      <c r="I70" s="12"/>
      <c r="J70" s="12"/>
      <c r="K70" s="12"/>
      <c r="L70" s="12" t="s">
        <v>14766</v>
      </c>
      <c r="M70" s="12" t="s">
        <v>114</v>
      </c>
    </row>
    <row r="71" spans="1:13" ht="132">
      <c r="A71" s="12" t="str">
        <f t="shared" si="0"/>
        <v>AE</v>
      </c>
      <c r="B71" s="12" t="s">
        <v>14665</v>
      </c>
      <c r="C71" s="12" t="s">
        <v>2316</v>
      </c>
      <c r="D71" s="12" t="s">
        <v>57</v>
      </c>
      <c r="E71" s="14" t="str" cm="1">
        <f t="array" aca="1" ref="E71" ca="1">HYPERLINK("#"&amp;CELL("address", INDEX(ControlledTerms!E:E,MATCH("C66728",ControlledTerms!E:E,0))),"(STENRF)")</f>
        <v>(STENRF)</v>
      </c>
      <c r="F71" s="12">
        <v>58</v>
      </c>
      <c r="G71" s="12" t="s">
        <v>102</v>
      </c>
      <c r="H71" s="12"/>
      <c r="I71" s="12"/>
      <c r="J71" s="12"/>
      <c r="K71" s="12"/>
      <c r="L71" s="12" t="s">
        <v>14767</v>
      </c>
      <c r="M71" s="12" t="s">
        <v>114</v>
      </c>
    </row>
    <row r="72" spans="1:13" ht="79.2">
      <c r="A72" s="12" t="str">
        <f t="shared" si="0"/>
        <v>AE</v>
      </c>
      <c r="B72" s="12" t="s">
        <v>14666</v>
      </c>
      <c r="C72" s="12" t="s">
        <v>2322</v>
      </c>
      <c r="D72" s="12" t="s">
        <v>57</v>
      </c>
      <c r="E72" s="14" t="str" cm="1">
        <f t="array" aca="1" ref="E72" ca="1">HYPERLINK("#"&amp;CELL("address", INDEX(ControlledTerms!E:E,MATCH("C66728",ControlledTerms!E:E,0))),"(STENRF)")</f>
        <v>(STENRF)</v>
      </c>
      <c r="F72" s="12">
        <v>59</v>
      </c>
      <c r="G72" s="12" t="s">
        <v>102</v>
      </c>
      <c r="H72" s="12"/>
      <c r="I72" s="12"/>
      <c r="J72" s="12"/>
      <c r="K72" s="12"/>
      <c r="L72" s="12" t="s">
        <v>14768</v>
      </c>
      <c r="M72" s="12" t="s">
        <v>114</v>
      </c>
    </row>
    <row r="73" spans="1:13" ht="52.8">
      <c r="A73" s="12" t="str">
        <f t="shared" si="0"/>
        <v>AE</v>
      </c>
      <c r="B73" s="12" t="s">
        <v>14667</v>
      </c>
      <c r="C73" s="12" t="s">
        <v>2324</v>
      </c>
      <c r="D73" s="12" t="s">
        <v>57</v>
      </c>
      <c r="E73" s="12"/>
      <c r="F73" s="12">
        <v>60</v>
      </c>
      <c r="G73" s="12" t="s">
        <v>102</v>
      </c>
      <c r="H73" s="12"/>
      <c r="I73" s="12"/>
      <c r="J73" s="12"/>
      <c r="K73" s="12"/>
      <c r="L73" s="12" t="s">
        <v>14769</v>
      </c>
      <c r="M73" s="12" t="s">
        <v>114</v>
      </c>
    </row>
  </sheetData>
  <autoFilter ref="A13:M50"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33" xr:uid="{1FF82F7F-4D2C-4AB7-8317-580C8E66A6A9}"/>
  </hyperlink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E02C1-6B0F-4413-B935-8D0186EEC6B4}">
  <sheetPr codeName="Sheet24">
    <tabColor rgb="FF00B0F0"/>
  </sheetPr>
  <dimension ref="A1:M38"/>
  <sheetViews>
    <sheetView showGridLines="0" topLeftCell="A15" workbookViewId="0">
      <selection activeCell="E33" sqref="E33"/>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1099</v>
      </c>
      <c r="C1" s="37"/>
      <c r="D1" s="37"/>
      <c r="E1" s="37"/>
      <c r="F1" s="37"/>
      <c r="G1" s="37"/>
      <c r="H1" s="37"/>
      <c r="I1" s="37"/>
      <c r="J1" s="37"/>
      <c r="K1" s="37"/>
      <c r="L1" s="37"/>
      <c r="M1" s="37"/>
    </row>
    <row r="2" spans="1:13">
      <c r="A2" s="13" t="str">
        <f>DatasetsName!$C$1</f>
        <v>Dataset Description</v>
      </c>
      <c r="B2" s="37" t="str">
        <f>INDEX(DatasetsName!A1:J118,MATCH(B1,DatasetsName!B:B, 0),3)</f>
        <v>Biospecimen Events</v>
      </c>
      <c r="C2" s="37"/>
      <c r="D2" s="37"/>
      <c r="E2" s="37"/>
      <c r="F2" s="37"/>
      <c r="G2" s="37"/>
      <c r="H2" s="37"/>
      <c r="I2" s="37"/>
      <c r="J2" s="37"/>
      <c r="K2" s="37"/>
      <c r="L2" s="37"/>
      <c r="M2" s="37"/>
    </row>
    <row r="3" spans="1:13">
      <c r="A3" s="13" t="str">
        <f>DatasetsName!$D$1</f>
        <v>Dataset Class</v>
      </c>
      <c r="B3" s="37" t="str">
        <f>INDEX(DatasetsName!A1:J118,MATCH(B1,DatasetsName!B:B, 0),4)</f>
        <v>Events</v>
      </c>
      <c r="C3" s="37"/>
      <c r="D3" s="37"/>
      <c r="E3" s="37"/>
      <c r="F3" s="37"/>
      <c r="G3" s="37"/>
      <c r="H3" s="37"/>
      <c r="I3" s="37"/>
      <c r="J3" s="37"/>
      <c r="K3" s="37"/>
      <c r="L3" s="37"/>
      <c r="M3" s="37"/>
    </row>
    <row r="4" spans="1:13">
      <c r="A4" s="13" t="str">
        <f>DatasetsName!$E$1</f>
        <v>Dataset Structure</v>
      </c>
      <c r="B4" s="37" t="str">
        <f>INDEX(DatasetsName!A1:J118,MATCH(B1,DatasetsName!B:B, 0),5)</f>
        <v>One record per instance per biospecimen event per biospecimen identifier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BEREFID, BETERM, BESDTC</v>
      </c>
      <c r="C6" s="37"/>
      <c r="D6" s="37"/>
      <c r="E6" s="37"/>
      <c r="F6" s="37"/>
      <c r="G6" s="37"/>
      <c r="H6" s="37"/>
      <c r="I6" s="37"/>
      <c r="J6" s="37"/>
      <c r="K6" s="37"/>
      <c r="L6" s="37"/>
      <c r="M6" s="37"/>
    </row>
    <row r="7" spans="1:13">
      <c r="A7" s="13" t="str">
        <f>DatasetsName!$H$1</f>
        <v>Dataset Location</v>
      </c>
      <c r="B7" s="37" t="str">
        <f>INDEX(DatasetsName!A1:J118,MATCH(B1,DatasetsName!B:B, 0),8)</f>
        <v>be.xpt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14867</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BE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BE</v>
      </c>
      <c r="B15" s="12" t="s">
        <v>63</v>
      </c>
      <c r="C15" s="12" t="s">
        <v>64</v>
      </c>
      <c r="D15" s="12" t="s">
        <v>57</v>
      </c>
      <c r="E15" s="14" t="str" cm="1">
        <f t="array" aca="1" ref="E15" ca="1">HYPERLINK("#"&amp;CELL("address", INDEX(ControlledTerms!I:I,MATCH(B1,ControlledTerms!I:I,0))),B1)</f>
        <v>BE</v>
      </c>
      <c r="F15" s="12">
        <v>2</v>
      </c>
      <c r="G15" s="12" t="s">
        <v>58</v>
      </c>
      <c r="H15" s="12" t="s">
        <v>82</v>
      </c>
      <c r="I15" s="12">
        <v>2</v>
      </c>
      <c r="J15" s="21" t="s">
        <v>14898</v>
      </c>
      <c r="K15" s="12"/>
      <c r="L15" s="12" t="s">
        <v>84</v>
      </c>
      <c r="M15" s="12" t="s">
        <v>62</v>
      </c>
    </row>
    <row r="16" spans="1:13" ht="52.8">
      <c r="A16" s="12" t="str">
        <f t="shared" ref="A16:A38" si="0">A15</f>
        <v>BE</v>
      </c>
      <c r="B16" s="21" t="s">
        <v>1437</v>
      </c>
      <c r="C16" s="21" t="s">
        <v>1448</v>
      </c>
      <c r="D16" s="12" t="s">
        <v>57</v>
      </c>
      <c r="E16" s="12"/>
      <c r="F16" s="12">
        <v>3</v>
      </c>
      <c r="G16" s="21" t="s">
        <v>58</v>
      </c>
      <c r="H16" s="21"/>
      <c r="I16" s="12"/>
      <c r="J16" s="6"/>
      <c r="K16" s="12"/>
      <c r="L16" s="12" t="s">
        <v>1458</v>
      </c>
      <c r="M16" s="12" t="s">
        <v>62</v>
      </c>
    </row>
    <row r="17" spans="1:13">
      <c r="A17" s="12" t="str">
        <f t="shared" si="0"/>
        <v>BE</v>
      </c>
      <c r="B17" s="21" t="s">
        <v>14613</v>
      </c>
      <c r="C17" s="21" t="s">
        <v>14668</v>
      </c>
      <c r="D17" s="12" t="s">
        <v>57</v>
      </c>
      <c r="E17" s="12"/>
      <c r="F17" s="12">
        <v>4</v>
      </c>
      <c r="G17" s="21" t="s">
        <v>58</v>
      </c>
      <c r="H17" s="21"/>
      <c r="I17" s="12"/>
      <c r="J17" s="6"/>
      <c r="K17" s="12"/>
      <c r="L17" s="12" t="s">
        <v>14899</v>
      </c>
      <c r="M17" s="12" t="s">
        <v>114</v>
      </c>
    </row>
    <row r="18" spans="1:13" ht="66">
      <c r="A18" s="12" t="str">
        <f t="shared" si="0"/>
        <v>BE</v>
      </c>
      <c r="B18" s="21" t="s">
        <v>14868</v>
      </c>
      <c r="C18" s="21" t="s">
        <v>413</v>
      </c>
      <c r="D18" s="12" t="s">
        <v>101</v>
      </c>
      <c r="E18" s="12"/>
      <c r="F18" s="12">
        <v>5</v>
      </c>
      <c r="G18" s="21" t="s">
        <v>58</v>
      </c>
      <c r="H18" s="21"/>
      <c r="I18" s="12"/>
      <c r="J18" s="21"/>
      <c r="K18" s="12"/>
      <c r="L18" s="12" t="s">
        <v>14900</v>
      </c>
      <c r="M18" s="12" t="s">
        <v>62</v>
      </c>
    </row>
    <row r="19" spans="1:13" ht="39.6">
      <c r="A19" s="12" t="str">
        <f t="shared" si="0"/>
        <v>BE</v>
      </c>
      <c r="B19" s="21" t="s">
        <v>14869</v>
      </c>
      <c r="C19" s="21" t="s">
        <v>414</v>
      </c>
      <c r="D19" s="12" t="s">
        <v>57</v>
      </c>
      <c r="E19" s="14"/>
      <c r="F19" s="12">
        <v>6</v>
      </c>
      <c r="G19" s="21" t="s">
        <v>58</v>
      </c>
      <c r="H19" s="21"/>
      <c r="I19" s="12"/>
      <c r="J19" s="21"/>
      <c r="K19" s="12"/>
      <c r="L19" s="12" t="s">
        <v>14901</v>
      </c>
      <c r="M19" s="12" t="s">
        <v>114</v>
      </c>
    </row>
    <row r="20" spans="1:13" ht="39.6">
      <c r="A20" s="12" t="str">
        <f t="shared" si="0"/>
        <v>BE</v>
      </c>
      <c r="B20" s="21" t="s">
        <v>14870</v>
      </c>
      <c r="C20" s="21" t="s">
        <v>7877</v>
      </c>
      <c r="D20" s="12" t="s">
        <v>57</v>
      </c>
      <c r="E20" s="14"/>
      <c r="F20" s="12">
        <v>7</v>
      </c>
      <c r="G20" s="21" t="s">
        <v>58</v>
      </c>
      <c r="H20" s="21"/>
      <c r="I20" s="12"/>
      <c r="J20" s="21"/>
      <c r="K20" s="12"/>
      <c r="L20" s="12" t="s">
        <v>14902</v>
      </c>
      <c r="M20" s="12" t="s">
        <v>126</v>
      </c>
    </row>
    <row r="21" spans="1:13" ht="39.6">
      <c r="A21" s="12" t="str">
        <f t="shared" si="0"/>
        <v>BE</v>
      </c>
      <c r="B21" s="21" t="s">
        <v>14871</v>
      </c>
      <c r="C21" s="21" t="s">
        <v>2262</v>
      </c>
      <c r="D21" s="12" t="s">
        <v>57</v>
      </c>
      <c r="E21" s="14"/>
      <c r="F21" s="12">
        <v>8</v>
      </c>
      <c r="G21" s="21" t="s">
        <v>58</v>
      </c>
      <c r="H21" s="21"/>
      <c r="I21" s="12"/>
      <c r="J21" s="21"/>
      <c r="K21" s="12"/>
      <c r="L21" s="12" t="s">
        <v>14903</v>
      </c>
      <c r="M21" s="12" t="s">
        <v>114</v>
      </c>
    </row>
    <row r="22" spans="1:13" ht="39.6">
      <c r="A22" s="12" t="str">
        <f t="shared" si="0"/>
        <v>BE</v>
      </c>
      <c r="B22" s="12" t="s">
        <v>14872</v>
      </c>
      <c r="C22" s="12" t="s">
        <v>14873</v>
      </c>
      <c r="D22" s="12" t="s">
        <v>57</v>
      </c>
      <c r="E22" s="12"/>
      <c r="F22" s="12">
        <v>9</v>
      </c>
      <c r="G22" s="12" t="s">
        <v>88</v>
      </c>
      <c r="H22" s="12"/>
      <c r="I22" s="12"/>
      <c r="J22" s="12"/>
      <c r="K22" s="12"/>
      <c r="L22" s="12" t="s">
        <v>14904</v>
      </c>
      <c r="M22" s="12" t="s">
        <v>62</v>
      </c>
    </row>
    <row r="23" spans="1:13" ht="39.6">
      <c r="A23" s="12" t="str">
        <f t="shared" si="0"/>
        <v>BE</v>
      </c>
      <c r="B23" s="12" t="s">
        <v>14874</v>
      </c>
      <c r="C23" s="12" t="s">
        <v>14670</v>
      </c>
      <c r="D23" s="12" t="s">
        <v>57</v>
      </c>
      <c r="E23" s="14"/>
      <c r="F23" s="12">
        <v>10</v>
      </c>
      <c r="G23" s="12" t="s">
        <v>92</v>
      </c>
      <c r="H23" s="12"/>
      <c r="I23" s="12"/>
      <c r="J23" s="12"/>
      <c r="K23" s="12"/>
      <c r="L23" s="12" t="s">
        <v>14905</v>
      </c>
      <c r="M23" s="12" t="s">
        <v>114</v>
      </c>
    </row>
    <row r="24" spans="1:13" ht="26.4">
      <c r="A24" s="12" t="str">
        <f t="shared" si="0"/>
        <v>BE</v>
      </c>
      <c r="B24" s="12" t="s">
        <v>14875</v>
      </c>
      <c r="C24" s="12" t="s">
        <v>14673</v>
      </c>
      <c r="D24" s="12" t="s">
        <v>57</v>
      </c>
      <c r="E24" s="14" t="str" cm="1">
        <f t="array" aca="1" ref="E24" ca="1">HYPERLINK("#"&amp;CELL("address", INDEX(ControlledTerms!E:E,MATCH("C124297",ControlledTerms!E:E,0))),"(BEDECOD)")</f>
        <v>(BEDECOD)</v>
      </c>
      <c r="F24" s="12">
        <v>11</v>
      </c>
      <c r="G24" s="12" t="s">
        <v>92</v>
      </c>
      <c r="H24" s="12"/>
      <c r="I24" s="12"/>
      <c r="J24" s="12"/>
      <c r="K24" s="12"/>
      <c r="L24" s="12" t="s">
        <v>14906</v>
      </c>
      <c r="M24" s="12" t="s">
        <v>114</v>
      </c>
    </row>
    <row r="25" spans="1:13" ht="52.8">
      <c r="A25" s="12" t="str">
        <f t="shared" si="0"/>
        <v>BE</v>
      </c>
      <c r="B25" s="12" t="s">
        <v>14876</v>
      </c>
      <c r="C25" s="12" t="s">
        <v>14877</v>
      </c>
      <c r="D25" s="12" t="s">
        <v>57</v>
      </c>
      <c r="E25" s="14"/>
      <c r="F25" s="12">
        <v>12</v>
      </c>
      <c r="G25" s="12" t="s">
        <v>387</v>
      </c>
      <c r="H25" s="12"/>
      <c r="I25" s="12"/>
      <c r="J25" s="12"/>
      <c r="K25" s="12"/>
      <c r="L25" s="12" t="s">
        <v>14907</v>
      </c>
      <c r="M25" s="12" t="s">
        <v>114</v>
      </c>
    </row>
    <row r="26" spans="1:13" ht="26.4">
      <c r="A26" s="12" t="str">
        <f t="shared" si="0"/>
        <v>BE</v>
      </c>
      <c r="B26" s="12" t="s">
        <v>14878</v>
      </c>
      <c r="C26" s="12" t="s">
        <v>14879</v>
      </c>
      <c r="D26" s="12" t="s">
        <v>57</v>
      </c>
      <c r="E26" s="14"/>
      <c r="F26" s="12">
        <v>13</v>
      </c>
      <c r="G26" s="12" t="s">
        <v>387</v>
      </c>
      <c r="H26" s="12"/>
      <c r="I26" s="12"/>
      <c r="J26" s="12"/>
      <c r="K26" s="12"/>
      <c r="L26" s="12" t="s">
        <v>14908</v>
      </c>
      <c r="M26" s="12" t="s">
        <v>114</v>
      </c>
    </row>
    <row r="27" spans="1:13" ht="39.6">
      <c r="A27" s="12" t="str">
        <f t="shared" si="0"/>
        <v>BE</v>
      </c>
      <c r="B27" s="12" t="s">
        <v>14880</v>
      </c>
      <c r="C27" s="12" t="s">
        <v>14881</v>
      </c>
      <c r="D27" s="12" t="s">
        <v>57</v>
      </c>
      <c r="E27" s="14" t="str" cm="1">
        <f t="array" aca="1" ref="E27" ca="1">HYPERLINK("#"&amp;CELL("address", INDEX(ControlledTerms!E:E,MATCH("C74456",ControlledTerms!E:E,0))),"(LOC)")</f>
        <v>(LOC)</v>
      </c>
      <c r="F27" s="12">
        <v>14</v>
      </c>
      <c r="G27" s="12" t="s">
        <v>107</v>
      </c>
      <c r="H27" s="12"/>
      <c r="I27" s="12"/>
      <c r="J27" s="12"/>
      <c r="K27" s="12"/>
      <c r="L27" s="12" t="s">
        <v>14909</v>
      </c>
      <c r="M27" s="12" t="s">
        <v>114</v>
      </c>
    </row>
    <row r="28" spans="1:13" ht="132">
      <c r="A28" s="12" t="str">
        <f t="shared" si="0"/>
        <v>BE</v>
      </c>
      <c r="B28" s="12" t="s">
        <v>14882</v>
      </c>
      <c r="C28" s="12" t="s">
        <v>14883</v>
      </c>
      <c r="D28" s="12" t="s">
        <v>57</v>
      </c>
      <c r="E28" s="12" t="s">
        <v>87</v>
      </c>
      <c r="F28" s="12">
        <v>15</v>
      </c>
      <c r="G28" s="12" t="s">
        <v>107</v>
      </c>
      <c r="H28" s="12"/>
      <c r="I28" s="12"/>
      <c r="J28" s="12"/>
      <c r="K28" s="12"/>
      <c r="L28" s="12" t="s">
        <v>14910</v>
      </c>
      <c r="M28" s="12" t="s">
        <v>114</v>
      </c>
    </row>
    <row r="29" spans="1:13" ht="66">
      <c r="A29" s="12" t="str">
        <f t="shared" si="0"/>
        <v>BE</v>
      </c>
      <c r="B29" s="12" t="s">
        <v>14884</v>
      </c>
      <c r="C29" s="12" t="s">
        <v>14885</v>
      </c>
      <c r="D29" s="12" t="s">
        <v>57</v>
      </c>
      <c r="E29" s="14"/>
      <c r="F29" s="12">
        <v>16</v>
      </c>
      <c r="G29" s="12" t="s">
        <v>107</v>
      </c>
      <c r="H29" s="12"/>
      <c r="I29" s="12"/>
      <c r="J29" s="12"/>
      <c r="K29" s="12"/>
      <c r="L29" s="12" t="s">
        <v>14911</v>
      </c>
      <c r="M29" s="12" t="s">
        <v>114</v>
      </c>
    </row>
    <row r="30" spans="1:13" ht="26.4">
      <c r="A30" s="12" t="str">
        <f t="shared" si="0"/>
        <v>BE</v>
      </c>
      <c r="B30" s="12" t="s">
        <v>257</v>
      </c>
      <c r="C30" s="12" t="s">
        <v>262</v>
      </c>
      <c r="D30" s="12" t="s">
        <v>101</v>
      </c>
      <c r="E30" s="14"/>
      <c r="F30" s="12">
        <v>17</v>
      </c>
      <c r="G30" s="12" t="s">
        <v>102</v>
      </c>
      <c r="H30" s="12"/>
      <c r="I30" s="12"/>
      <c r="J30" s="12"/>
      <c r="K30" s="12"/>
      <c r="L30" s="12" t="s">
        <v>267</v>
      </c>
      <c r="M30" s="12" t="s">
        <v>126</v>
      </c>
    </row>
    <row r="31" spans="1:13" ht="26.4">
      <c r="A31" s="12" t="str">
        <f t="shared" si="0"/>
        <v>BE</v>
      </c>
      <c r="B31" s="12" t="s">
        <v>258</v>
      </c>
      <c r="C31" s="12" t="s">
        <v>263</v>
      </c>
      <c r="D31" s="12" t="s">
        <v>57</v>
      </c>
      <c r="E31" s="14"/>
      <c r="F31" s="12">
        <v>18</v>
      </c>
      <c r="G31" s="12" t="s">
        <v>102</v>
      </c>
      <c r="H31" s="12"/>
      <c r="I31" s="12"/>
      <c r="J31" s="12"/>
      <c r="K31" s="12"/>
      <c r="L31" s="12" t="s">
        <v>14912</v>
      </c>
      <c r="M31" s="12" t="s">
        <v>114</v>
      </c>
    </row>
    <row r="32" spans="1:13" ht="26.4">
      <c r="A32" s="12" t="str">
        <f t="shared" si="0"/>
        <v>BE</v>
      </c>
      <c r="B32" s="12" t="s">
        <v>259</v>
      </c>
      <c r="C32" s="12" t="s">
        <v>264</v>
      </c>
      <c r="D32" s="12" t="s">
        <v>101</v>
      </c>
      <c r="E32" s="12"/>
      <c r="F32" s="12">
        <v>19</v>
      </c>
      <c r="G32" s="12" t="s">
        <v>102</v>
      </c>
      <c r="H32" s="12"/>
      <c r="I32" s="12"/>
      <c r="J32" s="12"/>
      <c r="K32" s="12"/>
      <c r="L32" s="12" t="s">
        <v>2217</v>
      </c>
      <c r="M32" s="12" t="s">
        <v>114</v>
      </c>
    </row>
    <row r="33" spans="1:13" ht="39.6">
      <c r="A33" s="12" t="str">
        <f t="shared" si="0"/>
        <v>BE</v>
      </c>
      <c r="B33" s="12" t="s">
        <v>14886</v>
      </c>
      <c r="C33" s="12" t="s">
        <v>14887</v>
      </c>
      <c r="D33" s="12" t="s">
        <v>57</v>
      </c>
      <c r="E33" s="14" t="str" cm="1">
        <f t="array" aca="1" ref="E33" ca="1">HYPERLINK("#"&amp;CELL("address", INDEX(Format!A:A,MATCH("ISO 8601 datetime or interval",Format!A:A,0))),"ISO 8601 datetime or interval")</f>
        <v>ISO 8601 datetime or interval</v>
      </c>
      <c r="F33" s="12">
        <v>20</v>
      </c>
      <c r="G33" s="12" t="s">
        <v>102</v>
      </c>
      <c r="H33" s="12"/>
      <c r="I33" s="12"/>
      <c r="J33" s="12"/>
      <c r="K33" s="12"/>
      <c r="L33" s="12" t="s">
        <v>14913</v>
      </c>
      <c r="M33" s="12" t="s">
        <v>126</v>
      </c>
    </row>
    <row r="34" spans="1:13" ht="39.6">
      <c r="A34" s="12" t="str">
        <f t="shared" si="0"/>
        <v>BE</v>
      </c>
      <c r="B34" s="12" t="s">
        <v>14888</v>
      </c>
      <c r="C34" s="12" t="s">
        <v>14889</v>
      </c>
      <c r="D34" s="12" t="s">
        <v>57</v>
      </c>
      <c r="E34" s="14" t="str" cm="1">
        <f t="array" aca="1" ref="E34" ca="1">HYPERLINK("#"&amp;CELL("address", INDEX(Format!A:A,MATCH("ISO 8601 datetime or interval",Format!A:A,0))),"ISO 8601 datetime or interval")</f>
        <v>ISO 8601 datetime or interval</v>
      </c>
      <c r="F34" s="12">
        <v>21</v>
      </c>
      <c r="G34" s="12" t="s">
        <v>102</v>
      </c>
      <c r="H34" s="12"/>
      <c r="I34" s="12"/>
      <c r="J34" s="12"/>
      <c r="K34" s="12"/>
      <c r="L34" s="12" t="s">
        <v>14914</v>
      </c>
      <c r="M34" s="12" t="s">
        <v>126</v>
      </c>
    </row>
    <row r="35" spans="1:13" ht="39.6">
      <c r="A35" s="12" t="str">
        <f t="shared" si="0"/>
        <v>BE</v>
      </c>
      <c r="B35" s="12" t="s">
        <v>14890</v>
      </c>
      <c r="C35" s="12" t="s">
        <v>14891</v>
      </c>
      <c r="D35" s="12" t="s">
        <v>57</v>
      </c>
      <c r="E35" s="14" t="str" cm="1">
        <f t="array" aca="1" ref="E35" ca="1">HYPERLINK("#"&amp;CELL("address", INDEX(Format!A:A,MATCH("ISO 8601 datetime or interval",Format!A:A,0))),"ISO 8601 datetime or interval")</f>
        <v>ISO 8601 datetime or interval</v>
      </c>
      <c r="F35" s="12">
        <v>22</v>
      </c>
      <c r="G35" s="12" t="s">
        <v>102</v>
      </c>
      <c r="H35" s="12"/>
      <c r="I35" s="12"/>
      <c r="J35" s="12"/>
      <c r="K35" s="12"/>
      <c r="L35" s="12" t="s">
        <v>14915</v>
      </c>
      <c r="M35" s="12" t="s">
        <v>126</v>
      </c>
    </row>
    <row r="36" spans="1:13" ht="52.8">
      <c r="A36" s="12" t="str">
        <f t="shared" si="0"/>
        <v>BE</v>
      </c>
      <c r="B36" s="12" t="s">
        <v>14892</v>
      </c>
      <c r="C36" s="12" t="s">
        <v>14893</v>
      </c>
      <c r="D36" s="12" t="s">
        <v>101</v>
      </c>
      <c r="E36" s="14"/>
      <c r="F36" s="12">
        <v>23</v>
      </c>
      <c r="G36" s="12" t="s">
        <v>102</v>
      </c>
      <c r="H36" s="12"/>
      <c r="I36" s="12"/>
      <c r="J36" s="12"/>
      <c r="K36" s="12"/>
      <c r="L36" s="12" t="s">
        <v>2220</v>
      </c>
      <c r="M36" s="12" t="s">
        <v>114</v>
      </c>
    </row>
    <row r="37" spans="1:13" ht="52.8">
      <c r="A37" s="12" t="str">
        <f t="shared" si="0"/>
        <v>BE</v>
      </c>
      <c r="B37" s="12" t="s">
        <v>14894</v>
      </c>
      <c r="C37" s="12" t="s">
        <v>14895</v>
      </c>
      <c r="D37" s="12" t="s">
        <v>101</v>
      </c>
      <c r="E37" s="14"/>
      <c r="F37" s="12">
        <v>24</v>
      </c>
      <c r="G37" s="12" t="s">
        <v>102</v>
      </c>
      <c r="H37" s="12"/>
      <c r="I37" s="12"/>
      <c r="J37" s="12"/>
      <c r="K37" s="12"/>
      <c r="L37" s="12" t="s">
        <v>2221</v>
      </c>
      <c r="M37" s="12" t="s">
        <v>114</v>
      </c>
    </row>
    <row r="38" spans="1:13" ht="66">
      <c r="A38" s="12" t="str">
        <f t="shared" si="0"/>
        <v>BE</v>
      </c>
      <c r="B38" s="12" t="s">
        <v>14896</v>
      </c>
      <c r="C38" s="12" t="s">
        <v>14897</v>
      </c>
      <c r="D38" s="12" t="s">
        <v>57</v>
      </c>
      <c r="E38" s="14" t="str" cm="1">
        <f t="array" aca="1" ref="E38" ca="1">HYPERLINK("#"&amp;CELL("address", INDEX(Format!A:A,MATCH("ISO 8601 duration",Format!A:A,0))),"ISO 8601 duration")</f>
        <v>ISO 8601 duration</v>
      </c>
      <c r="F38" s="12">
        <v>25</v>
      </c>
      <c r="G38" s="12" t="s">
        <v>102</v>
      </c>
      <c r="H38" s="12"/>
      <c r="I38" s="12"/>
      <c r="J38" s="12"/>
      <c r="K38" s="12"/>
      <c r="L38" s="12" t="s">
        <v>14916</v>
      </c>
      <c r="M38" s="12" t="s">
        <v>114</v>
      </c>
    </row>
  </sheetData>
  <autoFilter ref="A13:M38"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143" xr:uid="{D83ABD85-7C82-4BD2-A99C-69943B1BFEE0}"/>
  </hyperlink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3AF05-5BC3-44D5-8456-639BC65A0216}">
  <sheetPr codeName="Sheet25">
    <tabColor rgb="FF00B0F0"/>
  </sheetPr>
  <dimension ref="A1:M29"/>
  <sheetViews>
    <sheetView showGridLines="0" workbookViewId="0">
      <selection activeCell="E26" sqref="E26"/>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1112</v>
      </c>
      <c r="C1" s="37"/>
      <c r="D1" s="37"/>
      <c r="E1" s="37"/>
      <c r="F1" s="37"/>
      <c r="G1" s="37"/>
      <c r="H1" s="37"/>
      <c r="I1" s="37"/>
      <c r="J1" s="37"/>
      <c r="K1" s="37"/>
      <c r="L1" s="37"/>
      <c r="M1" s="37"/>
    </row>
    <row r="2" spans="1:13">
      <c r="A2" s="13" t="str">
        <f>DatasetsName!$C$1</f>
        <v>Dataset Description</v>
      </c>
      <c r="B2" s="37" t="str">
        <f>INDEX(DatasetsName!A1:J118,MATCH(B1,DatasetsName!B:B, 0),3)</f>
        <v>Disposition</v>
      </c>
      <c r="C2" s="37"/>
      <c r="D2" s="37"/>
      <c r="E2" s="37"/>
      <c r="F2" s="37"/>
      <c r="G2" s="37"/>
      <c r="H2" s="37"/>
      <c r="I2" s="37"/>
      <c r="J2" s="37"/>
      <c r="K2" s="37"/>
      <c r="L2" s="37"/>
      <c r="M2" s="37"/>
    </row>
    <row r="3" spans="1:13">
      <c r="A3" s="13" t="str">
        <f>DatasetsName!$D$1</f>
        <v>Dataset Class</v>
      </c>
      <c r="B3" s="37" t="str">
        <f>INDEX(DatasetsName!A1:J118,MATCH(B1,DatasetsName!B:B, 0),4)</f>
        <v>Events</v>
      </c>
      <c r="C3" s="37"/>
      <c r="D3" s="37"/>
      <c r="E3" s="37"/>
      <c r="F3" s="37"/>
      <c r="G3" s="37"/>
      <c r="H3" s="37"/>
      <c r="I3" s="37"/>
      <c r="J3" s="37"/>
      <c r="K3" s="37"/>
      <c r="L3" s="37"/>
      <c r="M3" s="37"/>
    </row>
    <row r="4" spans="1:13">
      <c r="A4" s="13" t="str">
        <f>DatasetsName!$E$1</f>
        <v>Dataset Structure</v>
      </c>
      <c r="B4" s="37" t="str">
        <f>INDEX(DatasetsName!A1:J118,MATCH(B1,DatasetsName!B:B, 0),5)</f>
        <v>One record per disposition status or protocol milestone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DSDECOD, DSSTDTC</v>
      </c>
      <c r="C6" s="37"/>
      <c r="D6" s="37"/>
      <c r="E6" s="37"/>
      <c r="F6" s="37"/>
      <c r="G6" s="37"/>
      <c r="H6" s="37"/>
      <c r="I6" s="37"/>
      <c r="J6" s="37"/>
      <c r="K6" s="37"/>
      <c r="L6" s="37"/>
      <c r="M6" s="37"/>
    </row>
    <row r="7" spans="1:13">
      <c r="A7" s="13" t="str">
        <f>DatasetsName!$H$1</f>
        <v>Dataset Location</v>
      </c>
      <c r="B7" s="37" t="str">
        <f>INDEX(DatasetsName!A1:J118,MATCH(B1,DatasetsName!B:B, 0),8)</f>
        <v>ds.xpt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15020</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DS</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DS</v>
      </c>
      <c r="B15" s="12" t="s">
        <v>63</v>
      </c>
      <c r="C15" s="12" t="s">
        <v>64</v>
      </c>
      <c r="D15" s="12" t="s">
        <v>57</v>
      </c>
      <c r="E15" s="14" t="str" cm="1">
        <f t="array" aca="1" ref="E15" ca="1">HYPERLINK("#"&amp;CELL("address", INDEX(ControlledTerms!I:I,MATCH(B1,ControlledTerms!I:I,0))),B1)</f>
        <v>DS</v>
      </c>
      <c r="F15" s="12">
        <v>2</v>
      </c>
      <c r="G15" s="12" t="s">
        <v>58</v>
      </c>
      <c r="H15" s="12" t="s">
        <v>82</v>
      </c>
      <c r="I15" s="12">
        <v>2</v>
      </c>
      <c r="J15" s="21" t="s">
        <v>15019</v>
      </c>
      <c r="K15" s="12"/>
      <c r="L15" s="12" t="s">
        <v>84</v>
      </c>
      <c r="M15" s="12" t="s">
        <v>62</v>
      </c>
    </row>
    <row r="16" spans="1:13" ht="52.8">
      <c r="A16" s="12" t="str">
        <f t="shared" ref="A16:A29" si="0">A15</f>
        <v>DS</v>
      </c>
      <c r="B16" s="21" t="s">
        <v>1437</v>
      </c>
      <c r="C16" s="21" t="s">
        <v>1448</v>
      </c>
      <c r="D16" s="12" t="s">
        <v>57</v>
      </c>
      <c r="E16" s="12"/>
      <c r="F16" s="12">
        <v>3</v>
      </c>
      <c r="G16" s="21" t="s">
        <v>58</v>
      </c>
      <c r="H16" s="21"/>
      <c r="I16" s="12"/>
      <c r="J16" s="6"/>
      <c r="K16" s="12"/>
      <c r="L16" s="12" t="s">
        <v>1458</v>
      </c>
      <c r="M16" s="12" t="s">
        <v>62</v>
      </c>
    </row>
    <row r="17" spans="1:13" ht="39.6">
      <c r="A17" s="12" t="str">
        <f t="shared" si="0"/>
        <v>DS</v>
      </c>
      <c r="B17" s="21" t="s">
        <v>15021</v>
      </c>
      <c r="C17" s="21" t="s">
        <v>413</v>
      </c>
      <c r="D17" s="12" t="s">
        <v>101</v>
      </c>
      <c r="E17" s="12"/>
      <c r="F17" s="12">
        <v>4</v>
      </c>
      <c r="G17" s="21" t="s">
        <v>58</v>
      </c>
      <c r="H17" s="21"/>
      <c r="I17" s="12"/>
      <c r="J17" s="6"/>
      <c r="K17" s="12"/>
      <c r="L17" s="12" t="s">
        <v>7898</v>
      </c>
      <c r="M17" s="12" t="s">
        <v>62</v>
      </c>
    </row>
    <row r="18" spans="1:13" ht="39.6">
      <c r="A18" s="12" t="str">
        <f t="shared" si="0"/>
        <v>DS</v>
      </c>
      <c r="B18" s="21" t="s">
        <v>15022</v>
      </c>
      <c r="C18" s="21" t="s">
        <v>414</v>
      </c>
      <c r="D18" s="12" t="s">
        <v>57</v>
      </c>
      <c r="E18" s="12"/>
      <c r="F18" s="12">
        <v>5</v>
      </c>
      <c r="G18" s="21" t="s">
        <v>58</v>
      </c>
      <c r="H18" s="21"/>
      <c r="I18" s="12"/>
      <c r="J18" s="21"/>
      <c r="K18" s="12"/>
      <c r="L18" s="12" t="s">
        <v>2326</v>
      </c>
      <c r="M18" s="12" t="s">
        <v>114</v>
      </c>
    </row>
    <row r="19" spans="1:13">
      <c r="A19" s="12" t="str">
        <f t="shared" si="0"/>
        <v>DS</v>
      </c>
      <c r="B19" s="21" t="s">
        <v>15023</v>
      </c>
      <c r="C19" s="21" t="s">
        <v>7877</v>
      </c>
      <c r="D19" s="12" t="s">
        <v>57</v>
      </c>
      <c r="E19" s="14"/>
      <c r="F19" s="12">
        <v>6</v>
      </c>
      <c r="G19" s="21" t="s">
        <v>58</v>
      </c>
      <c r="H19" s="21"/>
      <c r="I19" s="12"/>
      <c r="J19" s="21"/>
      <c r="K19" s="12"/>
      <c r="L19" s="12" t="s">
        <v>15039</v>
      </c>
      <c r="M19" s="12" t="s">
        <v>114</v>
      </c>
    </row>
    <row r="20" spans="1:13" ht="79.2">
      <c r="A20" s="12" t="str">
        <f t="shared" si="0"/>
        <v>DS</v>
      </c>
      <c r="B20" s="21" t="s">
        <v>15024</v>
      </c>
      <c r="C20" s="21" t="s">
        <v>2262</v>
      </c>
      <c r="D20" s="12" t="s">
        <v>57</v>
      </c>
      <c r="E20" s="14"/>
      <c r="F20" s="12">
        <v>7</v>
      </c>
      <c r="G20" s="21" t="s">
        <v>58</v>
      </c>
      <c r="H20" s="21"/>
      <c r="I20" s="12"/>
      <c r="J20" s="21"/>
      <c r="K20" s="12"/>
      <c r="L20" s="12" t="s">
        <v>15040</v>
      </c>
      <c r="M20" s="12" t="s">
        <v>114</v>
      </c>
    </row>
    <row r="21" spans="1:13" ht="79.2">
      <c r="A21" s="12" t="str">
        <f t="shared" si="0"/>
        <v>DS</v>
      </c>
      <c r="B21" s="21" t="s">
        <v>15025</v>
      </c>
      <c r="C21" s="21" t="s">
        <v>15026</v>
      </c>
      <c r="D21" s="12" t="s">
        <v>57</v>
      </c>
      <c r="E21" s="14"/>
      <c r="F21" s="12">
        <v>8</v>
      </c>
      <c r="G21" s="21" t="s">
        <v>88</v>
      </c>
      <c r="H21" s="21"/>
      <c r="I21" s="12"/>
      <c r="J21" s="21"/>
      <c r="K21" s="12"/>
      <c r="L21" s="12" t="s">
        <v>15041</v>
      </c>
      <c r="M21" s="12" t="s">
        <v>62</v>
      </c>
    </row>
    <row r="22" spans="1:13" ht="158.4">
      <c r="A22" s="12" t="str">
        <f t="shared" si="0"/>
        <v>DS</v>
      </c>
      <c r="B22" s="12" t="s">
        <v>15027</v>
      </c>
      <c r="C22" s="12" t="s">
        <v>15028</v>
      </c>
      <c r="D22" s="12" t="s">
        <v>57</v>
      </c>
      <c r="E22" s="14" t="str" cm="1">
        <f t="array" aca="1" ref="E22" ca="1">HYPERLINK("#"&amp;CELL("address", INDEX(ControlledTerms!E:E,MATCH("C66727",ControlledTerms!E:E,0))),"(NCOMPLT)(PROTMLST)(OTHEVENT)")</f>
        <v>(NCOMPLT)(PROTMLST)(OTHEVENT)</v>
      </c>
      <c r="F22" s="12">
        <v>9</v>
      </c>
      <c r="G22" s="12" t="s">
        <v>92</v>
      </c>
      <c r="H22" s="12"/>
      <c r="I22" s="12"/>
      <c r="J22" s="12"/>
      <c r="K22" s="12"/>
      <c r="L22" s="12" t="s">
        <v>15042</v>
      </c>
      <c r="M22" s="12" t="s">
        <v>62</v>
      </c>
    </row>
    <row r="23" spans="1:13" ht="26.4">
      <c r="A23" s="12" t="str">
        <f t="shared" si="0"/>
        <v>DS</v>
      </c>
      <c r="B23" s="12" t="s">
        <v>15029</v>
      </c>
      <c r="C23" s="12" t="s">
        <v>15030</v>
      </c>
      <c r="D23" s="12" t="s">
        <v>57</v>
      </c>
      <c r="E23" s="14" t="str" cm="1">
        <f t="array" aca="1" ref="E23" ca="1">HYPERLINK("#"&amp;CELL("address", INDEX(ControlledTerms!E:E,MATCH("C74558",ControlledTerms!E:E,0))),"(DSCAT)")</f>
        <v>(DSCAT)</v>
      </c>
      <c r="F23" s="12">
        <v>10</v>
      </c>
      <c r="G23" s="12" t="s">
        <v>387</v>
      </c>
      <c r="H23" s="12"/>
      <c r="I23" s="12"/>
      <c r="J23" s="12"/>
      <c r="K23" s="12"/>
      <c r="L23" s="12" t="s">
        <v>15043</v>
      </c>
      <c r="M23" s="12" t="s">
        <v>126</v>
      </c>
    </row>
    <row r="24" spans="1:13" ht="92.4">
      <c r="A24" s="12" t="str">
        <f t="shared" si="0"/>
        <v>DS</v>
      </c>
      <c r="B24" s="12" t="s">
        <v>15031</v>
      </c>
      <c r="C24" s="12" t="s">
        <v>15032</v>
      </c>
      <c r="D24" s="12" t="s">
        <v>57</v>
      </c>
      <c r="E24" s="14" t="str" cm="1">
        <f t="array" aca="1" ref="E24" ca="1">HYPERLINK("#"&amp;CELL("address", INDEX(ControlledTerms!E:E,MATCH("C170443",ControlledTerms!E:E,0))),"(DSSCAT)")</f>
        <v>(DSSCAT)</v>
      </c>
      <c r="F24" s="12">
        <v>11</v>
      </c>
      <c r="G24" s="12" t="s">
        <v>387</v>
      </c>
      <c r="H24" s="12"/>
      <c r="I24" s="12"/>
      <c r="J24" s="12"/>
      <c r="K24" s="12"/>
      <c r="L24" s="12" t="s">
        <v>15044</v>
      </c>
      <c r="M24" s="12" t="s">
        <v>114</v>
      </c>
    </row>
    <row r="25" spans="1:13" ht="26.4">
      <c r="A25" s="12" t="str">
        <f t="shared" si="0"/>
        <v>DS</v>
      </c>
      <c r="B25" s="12" t="s">
        <v>119</v>
      </c>
      <c r="C25" s="12" t="s">
        <v>122</v>
      </c>
      <c r="D25" s="12" t="s">
        <v>57</v>
      </c>
      <c r="E25" s="14" t="str" cm="1">
        <f t="array" aca="1" ref="E25" ca="1">HYPERLINK("#"&amp;CELL("address", INDEX(ControlledTerms!E:E,MATCH("C99079",ControlledTerms!E:E,0))),"(EPOCH)")</f>
        <v>(EPOCH)</v>
      </c>
      <c r="F25" s="12">
        <v>12</v>
      </c>
      <c r="G25" s="12" t="s">
        <v>102</v>
      </c>
      <c r="H25" s="12"/>
      <c r="I25" s="12"/>
      <c r="J25" s="12"/>
      <c r="K25" s="12"/>
      <c r="L25" s="12" t="s">
        <v>15045</v>
      </c>
      <c r="M25" s="12" t="s">
        <v>114</v>
      </c>
    </row>
    <row r="26" spans="1:13" ht="39.6">
      <c r="A26" s="12" t="str">
        <f t="shared" si="0"/>
        <v>DS</v>
      </c>
      <c r="B26" s="12" t="s">
        <v>15033</v>
      </c>
      <c r="C26" s="12" t="s">
        <v>1990</v>
      </c>
      <c r="D26" s="12" t="s">
        <v>57</v>
      </c>
      <c r="E26" s="14" t="str" cm="1">
        <f t="array" aca="1" ref="E26" ca="1">HYPERLINK("#"&amp;CELL("address", INDEX(Format!A:A,MATCH("ISO 8601 datetime or interval",Format!A:A,0))),"ISO 8601 datetime or interval")</f>
        <v>ISO 8601 datetime or interval</v>
      </c>
      <c r="F26" s="12">
        <v>13</v>
      </c>
      <c r="G26" s="12" t="s">
        <v>102</v>
      </c>
      <c r="H26" s="12"/>
      <c r="I26" s="12"/>
      <c r="J26" s="12"/>
      <c r="K26" s="12"/>
      <c r="L26" s="12" t="s">
        <v>15046</v>
      </c>
      <c r="M26" s="12" t="s">
        <v>114</v>
      </c>
    </row>
    <row r="27" spans="1:13" ht="39.6">
      <c r="A27" s="12" t="str">
        <f t="shared" si="0"/>
        <v>DS</v>
      </c>
      <c r="B27" s="12" t="s">
        <v>15034</v>
      </c>
      <c r="C27" s="12" t="s">
        <v>15035</v>
      </c>
      <c r="D27" s="12" t="s">
        <v>57</v>
      </c>
      <c r="E27" s="14" t="str" cm="1">
        <f t="array" aca="1" ref="E27" ca="1">HYPERLINK("#"&amp;CELL("address", INDEX(Format!A:A,MATCH("ISO 8601 datetime or interval",Format!A:A,0))),"ISO 8601 datetime or interval")</f>
        <v>ISO 8601 datetime or interval</v>
      </c>
      <c r="F27" s="12">
        <v>14</v>
      </c>
      <c r="G27" s="12" t="s">
        <v>102</v>
      </c>
      <c r="H27" s="12"/>
      <c r="I27" s="12"/>
      <c r="J27" s="12"/>
      <c r="K27" s="12"/>
      <c r="L27" s="12" t="s">
        <v>15047</v>
      </c>
      <c r="M27" s="12" t="s">
        <v>126</v>
      </c>
    </row>
    <row r="28" spans="1:13" ht="26.4">
      <c r="A28" s="12" t="str">
        <f t="shared" si="0"/>
        <v>DS</v>
      </c>
      <c r="B28" s="12" t="s">
        <v>15036</v>
      </c>
      <c r="C28" s="12" t="s">
        <v>1991</v>
      </c>
      <c r="D28" s="12" t="s">
        <v>101</v>
      </c>
      <c r="E28" s="12"/>
      <c r="F28" s="12">
        <v>15</v>
      </c>
      <c r="G28" s="12" t="s">
        <v>102</v>
      </c>
      <c r="H28" s="12"/>
      <c r="I28" s="12"/>
      <c r="J28" s="12"/>
      <c r="K28" s="12"/>
      <c r="L28" s="12" t="s">
        <v>15048</v>
      </c>
      <c r="M28" s="12" t="s">
        <v>114</v>
      </c>
    </row>
    <row r="29" spans="1:13" ht="26.4">
      <c r="A29" s="12" t="str">
        <f t="shared" si="0"/>
        <v>DS</v>
      </c>
      <c r="B29" s="12" t="s">
        <v>15037</v>
      </c>
      <c r="C29" s="12" t="s">
        <v>15038</v>
      </c>
      <c r="D29" s="12" t="s">
        <v>101</v>
      </c>
      <c r="E29" s="14"/>
      <c r="F29" s="12">
        <v>16</v>
      </c>
      <c r="G29" s="12" t="s">
        <v>102</v>
      </c>
      <c r="H29" s="12"/>
      <c r="I29" s="12"/>
      <c r="J29" s="12"/>
      <c r="K29" s="12"/>
      <c r="L29" s="12" t="s">
        <v>15049</v>
      </c>
      <c r="M29" s="12" t="s">
        <v>126</v>
      </c>
    </row>
  </sheetData>
  <autoFilter ref="A13:M29"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155" xr:uid="{FA5D1B56-23DE-46A3-ADEE-3953B8C02233}"/>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B692-E945-453F-ACD0-CC8AD0972942}">
  <sheetPr codeName="Sheet26">
    <tabColor rgb="FF00B0F0"/>
  </sheetPr>
  <dimension ref="A1:M41"/>
  <sheetViews>
    <sheetView showGridLines="0" topLeftCell="A22" workbookViewId="0">
      <selection activeCell="E26" sqref="E26"/>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1126</v>
      </c>
      <c r="C1" s="37"/>
      <c r="D1" s="37"/>
      <c r="E1" s="37"/>
      <c r="F1" s="37"/>
      <c r="G1" s="37"/>
      <c r="H1" s="37"/>
      <c r="I1" s="37"/>
      <c r="J1" s="37"/>
      <c r="K1" s="37"/>
      <c r="L1" s="37"/>
      <c r="M1" s="37"/>
    </row>
    <row r="2" spans="1:13">
      <c r="A2" s="13" t="str">
        <f>DatasetsName!$C$1</f>
        <v>Dataset Description</v>
      </c>
      <c r="B2" s="37" t="str">
        <f>INDEX(DatasetsName!A1:J118,MATCH(B1,DatasetsName!B:B, 0),3)</f>
        <v>Healthcare Encounters</v>
      </c>
      <c r="C2" s="37"/>
      <c r="D2" s="37"/>
      <c r="E2" s="37"/>
      <c r="F2" s="37"/>
      <c r="G2" s="37"/>
      <c r="H2" s="37"/>
      <c r="I2" s="37"/>
      <c r="J2" s="37"/>
      <c r="K2" s="37"/>
      <c r="L2" s="37"/>
      <c r="M2" s="37"/>
    </row>
    <row r="3" spans="1:13">
      <c r="A3" s="13" t="str">
        <f>DatasetsName!$D$1</f>
        <v>Dataset Class</v>
      </c>
      <c r="B3" s="37" t="str">
        <f>INDEX(DatasetsName!A1:J118,MATCH(B1,DatasetsName!B:B, 0),4)</f>
        <v>Events</v>
      </c>
      <c r="C3" s="37"/>
      <c r="D3" s="37"/>
      <c r="E3" s="37"/>
      <c r="F3" s="37"/>
      <c r="G3" s="37"/>
      <c r="H3" s="37"/>
      <c r="I3" s="37"/>
      <c r="J3" s="37"/>
      <c r="K3" s="37"/>
      <c r="L3" s="37"/>
      <c r="M3" s="37"/>
    </row>
    <row r="4" spans="1:13">
      <c r="A4" s="13" t="str">
        <f>DatasetsName!$E$1</f>
        <v>Dataset Structure</v>
      </c>
      <c r="B4" s="37" t="str">
        <f>INDEX(DatasetsName!A1:J118,MATCH(B1,DatasetsName!B:B, 0),5)</f>
        <v>One record per healthcare encounter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HOTERM, HOSTDTC</v>
      </c>
      <c r="C6" s="37"/>
      <c r="D6" s="37"/>
      <c r="E6" s="37"/>
      <c r="F6" s="37"/>
      <c r="G6" s="37"/>
      <c r="H6" s="37"/>
      <c r="I6" s="37"/>
      <c r="J6" s="37"/>
      <c r="K6" s="37"/>
      <c r="L6" s="37"/>
      <c r="M6" s="37"/>
    </row>
    <row r="7" spans="1:13">
      <c r="A7" s="13" t="str">
        <f>DatasetsName!$H$1</f>
        <v>Dataset Location</v>
      </c>
      <c r="B7" s="37" t="str">
        <f>INDEX(DatasetsName!A1:J118,MATCH(B1,DatasetsName!B:B, 0),8)</f>
        <v>ho.xpt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15305</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HO</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HO</v>
      </c>
      <c r="B15" s="12" t="s">
        <v>63</v>
      </c>
      <c r="C15" s="12" t="s">
        <v>64</v>
      </c>
      <c r="D15" s="12" t="s">
        <v>57</v>
      </c>
      <c r="E15" s="14" t="str" cm="1">
        <f t="array" aca="1" ref="E15" ca="1">HYPERLINK("#"&amp;CELL("address", INDEX(ControlledTerms!I:I,MATCH(B1,ControlledTerms!I:I,0))),B1)</f>
        <v>HO</v>
      </c>
      <c r="F15" s="12">
        <v>2</v>
      </c>
      <c r="G15" s="12" t="s">
        <v>58</v>
      </c>
      <c r="H15" s="12" t="s">
        <v>82</v>
      </c>
      <c r="I15" s="12">
        <v>2</v>
      </c>
      <c r="J15" s="21" t="s">
        <v>15306</v>
      </c>
      <c r="K15" s="12"/>
      <c r="L15" s="12" t="s">
        <v>84</v>
      </c>
      <c r="M15" s="12" t="s">
        <v>62</v>
      </c>
    </row>
    <row r="16" spans="1:13" ht="52.8">
      <c r="A16" s="12" t="str">
        <f t="shared" ref="A16:A41" si="0">A15</f>
        <v>HO</v>
      </c>
      <c r="B16" s="21" t="s">
        <v>1437</v>
      </c>
      <c r="C16" s="21" t="s">
        <v>1448</v>
      </c>
      <c r="D16" s="12" t="s">
        <v>57</v>
      </c>
      <c r="E16" s="12"/>
      <c r="F16" s="12">
        <v>3</v>
      </c>
      <c r="G16" s="21" t="s">
        <v>58</v>
      </c>
      <c r="H16" s="21"/>
      <c r="I16" s="12"/>
      <c r="J16" s="6"/>
      <c r="K16" s="12"/>
      <c r="L16" s="12" t="s">
        <v>1458</v>
      </c>
      <c r="M16" s="12" t="s">
        <v>62</v>
      </c>
    </row>
    <row r="17" spans="1:13" ht="39.6">
      <c r="A17" s="12" t="str">
        <f t="shared" si="0"/>
        <v>HO</v>
      </c>
      <c r="B17" s="21" t="s">
        <v>15310</v>
      </c>
      <c r="C17" s="21" t="s">
        <v>413</v>
      </c>
      <c r="D17" s="12" t="s">
        <v>101</v>
      </c>
      <c r="E17" s="12"/>
      <c r="F17" s="12">
        <v>4</v>
      </c>
      <c r="G17" s="21" t="s">
        <v>58</v>
      </c>
      <c r="H17" s="21"/>
      <c r="I17" s="12"/>
      <c r="J17" s="6"/>
      <c r="K17" s="12"/>
      <c r="L17" s="12" t="s">
        <v>7898</v>
      </c>
      <c r="M17" s="12" t="s">
        <v>62</v>
      </c>
    </row>
    <row r="18" spans="1:13" ht="39.6">
      <c r="A18" s="12" t="str">
        <f t="shared" si="0"/>
        <v>HO</v>
      </c>
      <c r="B18" s="21" t="s">
        <v>15311</v>
      </c>
      <c r="C18" s="21" t="s">
        <v>414</v>
      </c>
      <c r="D18" s="12" t="s">
        <v>57</v>
      </c>
      <c r="E18" s="12"/>
      <c r="F18" s="12">
        <v>5</v>
      </c>
      <c r="G18" s="21" t="s">
        <v>58</v>
      </c>
      <c r="H18" s="21"/>
      <c r="I18" s="12"/>
      <c r="J18" s="21"/>
      <c r="K18" s="12"/>
      <c r="L18" s="12" t="s">
        <v>2326</v>
      </c>
      <c r="M18" s="12" t="s">
        <v>114</v>
      </c>
    </row>
    <row r="19" spans="1:13" ht="26.4">
      <c r="A19" s="12" t="str">
        <f t="shared" si="0"/>
        <v>HO</v>
      </c>
      <c r="B19" s="21" t="s">
        <v>15312</v>
      </c>
      <c r="C19" s="21" t="s">
        <v>7877</v>
      </c>
      <c r="D19" s="12" t="s">
        <v>57</v>
      </c>
      <c r="E19" s="14"/>
      <c r="F19" s="12">
        <v>6</v>
      </c>
      <c r="G19" s="21" t="s">
        <v>58</v>
      </c>
      <c r="H19" s="21"/>
      <c r="I19" s="12"/>
      <c r="J19" s="21"/>
      <c r="K19" s="12"/>
      <c r="L19" s="12" t="s">
        <v>15346</v>
      </c>
      <c r="M19" s="12" t="s">
        <v>114</v>
      </c>
    </row>
    <row r="20" spans="1:13" ht="79.2">
      <c r="A20" s="12" t="str">
        <f t="shared" si="0"/>
        <v>HO</v>
      </c>
      <c r="B20" s="21" t="s">
        <v>15313</v>
      </c>
      <c r="C20" s="21" t="s">
        <v>2262</v>
      </c>
      <c r="D20" s="12" t="s">
        <v>57</v>
      </c>
      <c r="E20" s="14"/>
      <c r="F20" s="12">
        <v>7</v>
      </c>
      <c r="G20" s="21" t="s">
        <v>58</v>
      </c>
      <c r="H20" s="21"/>
      <c r="I20" s="12"/>
      <c r="J20" s="21"/>
      <c r="K20" s="12"/>
      <c r="L20" s="12" t="s">
        <v>15347</v>
      </c>
      <c r="M20" s="12" t="s">
        <v>114</v>
      </c>
    </row>
    <row r="21" spans="1:13" ht="26.4">
      <c r="A21" s="12" t="str">
        <f t="shared" si="0"/>
        <v>HO</v>
      </c>
      <c r="B21" s="21" t="s">
        <v>15314</v>
      </c>
      <c r="C21" s="21" t="s">
        <v>15315</v>
      </c>
      <c r="D21" s="12" t="s">
        <v>57</v>
      </c>
      <c r="E21" s="14"/>
      <c r="F21" s="12">
        <v>8</v>
      </c>
      <c r="G21" s="21" t="s">
        <v>88</v>
      </c>
      <c r="H21" s="21"/>
      <c r="I21" s="12"/>
      <c r="J21" s="21"/>
      <c r="K21" s="12"/>
      <c r="L21" s="12" t="s">
        <v>15348</v>
      </c>
      <c r="M21" s="12" t="s">
        <v>62</v>
      </c>
    </row>
    <row r="22" spans="1:13" ht="39.6">
      <c r="A22" s="12" t="str">
        <f t="shared" si="0"/>
        <v>HO</v>
      </c>
      <c r="B22" s="12" t="s">
        <v>15316</v>
      </c>
      <c r="C22" s="12" t="s">
        <v>14673</v>
      </c>
      <c r="D22" s="12" t="s">
        <v>57</v>
      </c>
      <c r="E22" s="14" t="str" cm="1">
        <f t="array" aca="1" ref="E22" ca="1">HYPERLINK("#"&amp;CELL("address", INDEX(ControlledTerms!E:E,MATCH("C171444",ControlledTerms!E:E,0))),"(HODECOD)")</f>
        <v>(HODECOD)</v>
      </c>
      <c r="F22" s="12">
        <v>9</v>
      </c>
      <c r="G22" s="12" t="s">
        <v>92</v>
      </c>
      <c r="H22" s="12"/>
      <c r="I22" s="12"/>
      <c r="J22" s="12"/>
      <c r="K22" s="12"/>
      <c r="L22" s="12" t="s">
        <v>15349</v>
      </c>
      <c r="M22" s="12" t="s">
        <v>114</v>
      </c>
    </row>
    <row r="23" spans="1:13" ht="26.4">
      <c r="A23" s="12" t="str">
        <f t="shared" si="0"/>
        <v>HO</v>
      </c>
      <c r="B23" s="12" t="s">
        <v>15317</v>
      </c>
      <c r="C23" s="12" t="s">
        <v>15318</v>
      </c>
      <c r="D23" s="12" t="s">
        <v>57</v>
      </c>
      <c r="E23" s="12" t="s">
        <v>87</v>
      </c>
      <c r="F23" s="12">
        <v>10</v>
      </c>
      <c r="G23" s="12" t="s">
        <v>387</v>
      </c>
      <c r="H23" s="12"/>
      <c r="I23" s="12"/>
      <c r="J23" s="12"/>
      <c r="K23" s="12"/>
      <c r="L23" s="12" t="s">
        <v>15350</v>
      </c>
      <c r="M23" s="12" t="s">
        <v>114</v>
      </c>
    </row>
    <row r="24" spans="1:13" ht="26.4">
      <c r="A24" s="12" t="str">
        <f t="shared" si="0"/>
        <v>HO</v>
      </c>
      <c r="B24" s="12" t="s">
        <v>15319</v>
      </c>
      <c r="C24" s="12" t="s">
        <v>15320</v>
      </c>
      <c r="D24" s="12" t="s">
        <v>57</v>
      </c>
      <c r="E24" s="12" t="s">
        <v>87</v>
      </c>
      <c r="F24" s="12">
        <v>11</v>
      </c>
      <c r="G24" s="12" t="s">
        <v>387</v>
      </c>
      <c r="H24" s="12"/>
      <c r="I24" s="12"/>
      <c r="J24" s="12"/>
      <c r="K24" s="12"/>
      <c r="L24" s="12" t="s">
        <v>15351</v>
      </c>
      <c r="M24" s="12" t="s">
        <v>114</v>
      </c>
    </row>
    <row r="25" spans="1:13" ht="79.2">
      <c r="A25" s="12" t="str">
        <f t="shared" si="0"/>
        <v>HO</v>
      </c>
      <c r="B25" s="12" t="s">
        <v>15321</v>
      </c>
      <c r="C25" s="12" t="s">
        <v>15322</v>
      </c>
      <c r="D25" s="12" t="s">
        <v>57</v>
      </c>
      <c r="E25" s="14" t="str" cm="1">
        <f t="array" aca="1" ref="E25" ca="1">HYPERLINK("#"&amp;CELL("address", INDEX(ControlledTerms!E:E,MATCH("C66742",ControlledTerms!E:E,0))),"(NY)")</f>
        <v>(NY)</v>
      </c>
      <c r="F25" s="12">
        <v>12</v>
      </c>
      <c r="G25" s="12" t="s">
        <v>329</v>
      </c>
      <c r="H25" s="12"/>
      <c r="I25" s="12"/>
      <c r="J25" s="12"/>
      <c r="K25" s="12"/>
      <c r="L25" s="12" t="s">
        <v>15352</v>
      </c>
      <c r="M25" s="12" t="s">
        <v>114</v>
      </c>
    </row>
    <row r="26" spans="1:13" ht="66">
      <c r="A26" s="12" t="str">
        <f t="shared" si="0"/>
        <v>HO</v>
      </c>
      <c r="B26" s="12" t="s">
        <v>15323</v>
      </c>
      <c r="C26" s="12" t="s">
        <v>15324</v>
      </c>
      <c r="D26" s="12" t="s">
        <v>57</v>
      </c>
      <c r="E26" s="14" t="str" cm="1">
        <f t="array" aca="1" ref="E26" ca="1">HYPERLINK("#"&amp;CELL("address", INDEX(ControlledTerms!E:E,MATCH("C66742",ControlledTerms!E:E,0))),"(NY)")</f>
        <v>(NY)</v>
      </c>
      <c r="F26" s="12">
        <v>13</v>
      </c>
      <c r="G26" s="12" t="s">
        <v>107</v>
      </c>
      <c r="H26" s="12"/>
      <c r="I26" s="12"/>
      <c r="J26" s="12"/>
      <c r="K26" s="12"/>
      <c r="L26" s="12" t="s">
        <v>15353</v>
      </c>
      <c r="M26" s="12" t="s">
        <v>114</v>
      </c>
    </row>
    <row r="27" spans="1:13" ht="39.6">
      <c r="A27" s="12" t="str">
        <f t="shared" si="0"/>
        <v>HO</v>
      </c>
      <c r="B27" s="12" t="s">
        <v>15325</v>
      </c>
      <c r="C27" s="12" t="s">
        <v>2278</v>
      </c>
      <c r="D27" s="12" t="s">
        <v>57</v>
      </c>
      <c r="E27" s="14" t="str" cm="1">
        <f t="array" aca="1" ref="E27" ca="1">HYPERLINK("#"&amp;CELL("address", INDEX(ControlledTerms!E:E,MATCH("C66789",ControlledTerms!E:E,0))),"(ND)")</f>
        <v>(ND)</v>
      </c>
      <c r="F27" s="12">
        <v>14</v>
      </c>
      <c r="G27" s="12" t="s">
        <v>107</v>
      </c>
      <c r="H27" s="12"/>
      <c r="I27" s="12"/>
      <c r="J27" s="12"/>
      <c r="K27" s="12"/>
      <c r="L27" s="12" t="s">
        <v>15354</v>
      </c>
      <c r="M27" s="12" t="s">
        <v>114</v>
      </c>
    </row>
    <row r="28" spans="1:13" ht="52.8">
      <c r="A28" s="12" t="str">
        <f t="shared" si="0"/>
        <v>HO</v>
      </c>
      <c r="B28" s="12" t="s">
        <v>15326</v>
      </c>
      <c r="C28" s="12" t="s">
        <v>15327</v>
      </c>
      <c r="D28" s="12" t="s">
        <v>57</v>
      </c>
      <c r="E28" s="12"/>
      <c r="F28" s="12">
        <v>15</v>
      </c>
      <c r="G28" s="12" t="s">
        <v>107</v>
      </c>
      <c r="H28" s="12"/>
      <c r="I28" s="12"/>
      <c r="J28" s="12"/>
      <c r="K28" s="12"/>
      <c r="L28" s="12" t="s">
        <v>15355</v>
      </c>
      <c r="M28" s="12" t="s">
        <v>114</v>
      </c>
    </row>
    <row r="29" spans="1:13" ht="26.4">
      <c r="A29" s="12" t="str">
        <f t="shared" si="0"/>
        <v>HO</v>
      </c>
      <c r="B29" s="12" t="s">
        <v>99</v>
      </c>
      <c r="C29" s="12" t="s">
        <v>100</v>
      </c>
      <c r="D29" s="12" t="s">
        <v>101</v>
      </c>
      <c r="E29" s="14"/>
      <c r="F29" s="12">
        <v>16</v>
      </c>
      <c r="G29" s="12" t="s">
        <v>102</v>
      </c>
      <c r="H29" s="12"/>
      <c r="I29" s="12"/>
      <c r="J29" s="12"/>
      <c r="K29" s="12"/>
      <c r="L29" s="12" t="s">
        <v>7918</v>
      </c>
      <c r="M29" s="12" t="s">
        <v>114</v>
      </c>
    </row>
    <row r="30" spans="1:13" ht="52.8">
      <c r="A30" s="12" t="str">
        <f t="shared" si="0"/>
        <v>HO</v>
      </c>
      <c r="B30" s="12" t="s">
        <v>119</v>
      </c>
      <c r="C30" s="12" t="s">
        <v>122</v>
      </c>
      <c r="D30" s="12" t="s">
        <v>57</v>
      </c>
      <c r="E30" s="14" t="str" cm="1">
        <f t="array" aca="1" ref="E30" ca="1">HYPERLINK("#"&amp;CELL("address", INDEX(ControlledTerms!E:E,MATCH("C99079",ControlledTerms!E:E,0))),"(EPOCH)")</f>
        <v>(EPOCH)</v>
      </c>
      <c r="F30" s="12">
        <v>17</v>
      </c>
      <c r="G30" s="12" t="s">
        <v>102</v>
      </c>
      <c r="H30" s="12"/>
      <c r="I30" s="12"/>
      <c r="J30" s="12"/>
      <c r="K30" s="12"/>
      <c r="L30" s="12" t="s">
        <v>15356</v>
      </c>
      <c r="M30" s="12" t="s">
        <v>114</v>
      </c>
    </row>
    <row r="31" spans="1:13" ht="39.6">
      <c r="A31" s="12" t="str">
        <f t="shared" si="0"/>
        <v>HO</v>
      </c>
      <c r="B31" s="12" t="s">
        <v>15328</v>
      </c>
      <c r="C31" s="12" t="s">
        <v>15329</v>
      </c>
      <c r="D31" s="12" t="s">
        <v>57</v>
      </c>
      <c r="E31" s="14" t="str" cm="1">
        <f t="array" aca="1" ref="E31" ca="1">HYPERLINK("#"&amp;CELL("address", INDEX(Format!A:A,MATCH("ISO 8601 datetime or interval",Format!A:A,0))),"ISO 8601 datetime or interval")</f>
        <v>ISO 8601 datetime or interval</v>
      </c>
      <c r="F31" s="12">
        <v>18</v>
      </c>
      <c r="G31" s="12" t="s">
        <v>102</v>
      </c>
      <c r="H31" s="12"/>
      <c r="I31" s="12"/>
      <c r="J31" s="12"/>
      <c r="K31" s="12"/>
      <c r="L31" s="12" t="s">
        <v>15357</v>
      </c>
      <c r="M31" s="12" t="s">
        <v>114</v>
      </c>
    </row>
    <row r="32" spans="1:13" ht="39.6">
      <c r="A32" s="12" t="str">
        <f t="shared" si="0"/>
        <v>HO</v>
      </c>
      <c r="B32" s="12" t="s">
        <v>15330</v>
      </c>
      <c r="C32" s="12" t="s">
        <v>15331</v>
      </c>
      <c r="D32" s="12" t="s">
        <v>57</v>
      </c>
      <c r="E32" s="14" t="str" cm="1">
        <f t="array" aca="1" ref="E32" ca="1">HYPERLINK("#"&amp;CELL("address", INDEX(Format!A:A,MATCH("ISO 8601 datetime or interval",Format!A:A,0))),"ISO 8601 datetime or interval")</f>
        <v>ISO 8601 datetime or interval</v>
      </c>
      <c r="F32" s="12">
        <v>19</v>
      </c>
      <c r="G32" s="12" t="s">
        <v>102</v>
      </c>
      <c r="H32" s="12"/>
      <c r="I32" s="12"/>
      <c r="J32" s="12"/>
      <c r="K32" s="12"/>
      <c r="L32" s="12" t="s">
        <v>15358</v>
      </c>
      <c r="M32" s="12" t="s">
        <v>126</v>
      </c>
    </row>
    <row r="33" spans="1:13" ht="39.6">
      <c r="A33" s="12" t="str">
        <f t="shared" si="0"/>
        <v>HO</v>
      </c>
      <c r="B33" s="12" t="s">
        <v>15332</v>
      </c>
      <c r="C33" s="12" t="s">
        <v>15333</v>
      </c>
      <c r="D33" s="12" t="s">
        <v>57</v>
      </c>
      <c r="E33" s="14" t="str" cm="1">
        <f t="array" aca="1" ref="E33" ca="1">HYPERLINK("#"&amp;CELL("address", INDEX(Format!A:A,MATCH("ISO 8601 datetime or interval",Format!A:A,0))),"ISO 8601 datetime or interval")</f>
        <v>ISO 8601 datetime or interval</v>
      </c>
      <c r="F33" s="12">
        <v>20</v>
      </c>
      <c r="G33" s="12" t="s">
        <v>102</v>
      </c>
      <c r="H33" s="12"/>
      <c r="I33" s="12"/>
      <c r="J33" s="12"/>
      <c r="K33" s="12"/>
      <c r="L33" s="12" t="s">
        <v>15359</v>
      </c>
      <c r="M33" s="12" t="s">
        <v>114</v>
      </c>
    </row>
    <row r="34" spans="1:13" ht="26.4">
      <c r="A34" s="12" t="str">
        <f t="shared" si="0"/>
        <v>HO</v>
      </c>
      <c r="B34" s="12" t="s">
        <v>15334</v>
      </c>
      <c r="C34" s="12" t="s">
        <v>15335</v>
      </c>
      <c r="D34" s="12" t="s">
        <v>101</v>
      </c>
      <c r="E34" s="12"/>
      <c r="F34" s="12">
        <v>21</v>
      </c>
      <c r="G34" s="12" t="s">
        <v>102</v>
      </c>
      <c r="H34" s="12"/>
      <c r="I34" s="12"/>
      <c r="J34" s="12"/>
      <c r="K34" s="12"/>
      <c r="L34" s="12" t="s">
        <v>15360</v>
      </c>
      <c r="M34" s="12" t="s">
        <v>114</v>
      </c>
    </row>
    <row r="35" spans="1:13" ht="39.6">
      <c r="A35" s="12" t="str">
        <f t="shared" si="0"/>
        <v>HO</v>
      </c>
      <c r="B35" s="12" t="s">
        <v>15336</v>
      </c>
      <c r="C35" s="12" t="s">
        <v>15337</v>
      </c>
      <c r="D35" s="12" t="s">
        <v>101</v>
      </c>
      <c r="E35" s="12"/>
      <c r="F35" s="12">
        <v>22</v>
      </c>
      <c r="G35" s="12" t="s">
        <v>102</v>
      </c>
      <c r="H35" s="12"/>
      <c r="I35" s="12"/>
      <c r="J35" s="12"/>
      <c r="K35" s="12"/>
      <c r="L35" s="12" t="s">
        <v>15361</v>
      </c>
      <c r="M35" s="12" t="s">
        <v>114</v>
      </c>
    </row>
    <row r="36" spans="1:13" ht="39.6">
      <c r="A36" s="12" t="str">
        <f t="shared" si="0"/>
        <v>HO</v>
      </c>
      <c r="B36" s="12" t="s">
        <v>15338</v>
      </c>
      <c r="C36" s="12" t="s">
        <v>15339</v>
      </c>
      <c r="D36" s="12" t="s">
        <v>101</v>
      </c>
      <c r="E36" s="12"/>
      <c r="F36" s="12">
        <v>23</v>
      </c>
      <c r="G36" s="12" t="s">
        <v>102</v>
      </c>
      <c r="H36" s="12"/>
      <c r="I36" s="12"/>
      <c r="J36" s="12"/>
      <c r="K36" s="12"/>
      <c r="L36" s="12" t="s">
        <v>15362</v>
      </c>
      <c r="M36" s="12" t="s">
        <v>114</v>
      </c>
    </row>
    <row r="37" spans="1:13" ht="66">
      <c r="A37" s="12" t="str">
        <f t="shared" si="0"/>
        <v>HO</v>
      </c>
      <c r="B37" s="12" t="s">
        <v>15340</v>
      </c>
      <c r="C37" s="12" t="s">
        <v>15341</v>
      </c>
      <c r="D37" s="12" t="s">
        <v>57</v>
      </c>
      <c r="E37" s="14" t="str" cm="1">
        <f t="array" aca="1" ref="E37" ca="1">HYPERLINK("#"&amp;CELL("address", INDEX(Format!A:A,MATCH("ISO 8601 duration",Format!A:A,0))),"ISO 8601 duration")</f>
        <v>ISO 8601 duration</v>
      </c>
      <c r="F37" s="12">
        <v>24</v>
      </c>
      <c r="G37" s="12" t="s">
        <v>102</v>
      </c>
      <c r="H37" s="12"/>
      <c r="I37" s="12"/>
      <c r="J37" s="12"/>
      <c r="K37" s="12"/>
      <c r="L37" s="12" t="s">
        <v>15363</v>
      </c>
      <c r="M37" s="12" t="s">
        <v>114</v>
      </c>
    </row>
    <row r="38" spans="1:13" ht="92.4">
      <c r="A38" s="12" t="str">
        <f t="shared" si="0"/>
        <v>HO</v>
      </c>
      <c r="B38" s="12" t="s">
        <v>15342</v>
      </c>
      <c r="C38" s="12" t="s">
        <v>2318</v>
      </c>
      <c r="D38" s="12" t="s">
        <v>57</v>
      </c>
      <c r="E38" s="14" t="str" cm="1">
        <f t="array" aca="1" ref="E38" ca="1">HYPERLINK("#"&amp;CELL("address", INDEX(ControlledTerms!E:E,MATCH("C66728",ControlledTerms!E:E,0))),"(STENRF)")</f>
        <v>(STENRF)</v>
      </c>
      <c r="F38" s="12">
        <v>25</v>
      </c>
      <c r="G38" s="12" t="s">
        <v>102</v>
      </c>
      <c r="H38" s="12"/>
      <c r="I38" s="12"/>
      <c r="J38" s="12"/>
      <c r="K38" s="12"/>
      <c r="L38" s="12" t="s">
        <v>15364</v>
      </c>
      <c r="M38" s="12" t="s">
        <v>114</v>
      </c>
    </row>
    <row r="39" spans="1:13" ht="66">
      <c r="A39" s="12" t="str">
        <f t="shared" si="0"/>
        <v>HO</v>
      </c>
      <c r="B39" s="12" t="s">
        <v>15343</v>
      </c>
      <c r="C39" s="12" t="s">
        <v>2320</v>
      </c>
      <c r="D39" s="12" t="s">
        <v>57</v>
      </c>
      <c r="E39" s="12"/>
      <c r="F39" s="12">
        <v>26</v>
      </c>
      <c r="G39" s="12" t="s">
        <v>102</v>
      </c>
      <c r="H39" s="12"/>
      <c r="I39" s="12"/>
      <c r="J39" s="12"/>
      <c r="K39" s="12"/>
      <c r="L39" s="12" t="s">
        <v>15365</v>
      </c>
      <c r="M39" s="12" t="s">
        <v>114</v>
      </c>
    </row>
    <row r="40" spans="1:13" ht="79.2">
      <c r="A40" s="12" t="str">
        <f t="shared" si="0"/>
        <v>HO</v>
      </c>
      <c r="B40" s="12" t="s">
        <v>15344</v>
      </c>
      <c r="C40" s="12" t="s">
        <v>2322</v>
      </c>
      <c r="D40" s="12" t="s">
        <v>57</v>
      </c>
      <c r="E40" s="14" t="str" cm="1">
        <f t="array" aca="1" ref="E40" ca="1">HYPERLINK("#"&amp;CELL("address", INDEX(ControlledTerms!E:E,MATCH("C66728",ControlledTerms!E:E,0))),"(STENRF)")</f>
        <v>(STENRF)</v>
      </c>
      <c r="F40" s="12">
        <v>27</v>
      </c>
      <c r="G40" s="12" t="s">
        <v>102</v>
      </c>
      <c r="H40" s="12"/>
      <c r="I40" s="12"/>
      <c r="J40" s="12"/>
      <c r="K40" s="12"/>
      <c r="L40" s="12" t="s">
        <v>15366</v>
      </c>
      <c r="M40" s="12" t="s">
        <v>114</v>
      </c>
    </row>
    <row r="41" spans="1:13" ht="52.8">
      <c r="A41" s="12" t="str">
        <f t="shared" si="0"/>
        <v>HO</v>
      </c>
      <c r="B41" s="12" t="s">
        <v>15345</v>
      </c>
      <c r="C41" s="12" t="s">
        <v>2324</v>
      </c>
      <c r="D41" s="12" t="s">
        <v>57</v>
      </c>
      <c r="E41" s="12"/>
      <c r="F41" s="12">
        <v>28</v>
      </c>
      <c r="G41" s="12" t="s">
        <v>102</v>
      </c>
      <c r="H41" s="12"/>
      <c r="I41" s="12"/>
      <c r="J41" s="12"/>
      <c r="K41" s="12"/>
      <c r="L41" s="12" t="s">
        <v>15367</v>
      </c>
      <c r="M41" s="12" t="s">
        <v>114</v>
      </c>
    </row>
  </sheetData>
  <autoFilter ref="A13:M29"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167" xr:uid="{3349019A-735C-4790-9A8C-3E0AB38FA1A5}"/>
  </hyperlinks>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011E7-7C84-458B-BDF2-9A64D0AE57E7}">
  <sheetPr codeName="Sheet27">
    <tabColor rgb="FF00B0F0"/>
  </sheetPr>
  <dimension ref="A1:M40"/>
  <sheetViews>
    <sheetView showGridLines="0" topLeftCell="A15" workbookViewId="0">
      <selection activeCell="E34" sqref="E34"/>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1132</v>
      </c>
      <c r="C1" s="37"/>
      <c r="D1" s="37"/>
      <c r="E1" s="37"/>
      <c r="F1" s="37"/>
      <c r="G1" s="37"/>
      <c r="H1" s="37"/>
      <c r="I1" s="37"/>
      <c r="J1" s="37"/>
      <c r="K1" s="37"/>
      <c r="L1" s="37"/>
      <c r="M1" s="37"/>
    </row>
    <row r="2" spans="1:13">
      <c r="A2" s="13" t="str">
        <f>DatasetsName!$C$1</f>
        <v>Dataset Description</v>
      </c>
      <c r="B2" s="37" t="str">
        <f>INDEX(DatasetsName!A1:J118,MATCH(B1,DatasetsName!B:B, 0),3)</f>
        <v>Medical History</v>
      </c>
      <c r="C2" s="37"/>
      <c r="D2" s="37"/>
      <c r="E2" s="37"/>
      <c r="F2" s="37"/>
      <c r="G2" s="37"/>
      <c r="H2" s="37"/>
      <c r="I2" s="37"/>
      <c r="J2" s="37"/>
      <c r="K2" s="37"/>
      <c r="L2" s="37"/>
      <c r="M2" s="37"/>
    </row>
    <row r="3" spans="1:13">
      <c r="A3" s="13" t="str">
        <f>DatasetsName!$D$1</f>
        <v>Dataset Class</v>
      </c>
      <c r="B3" s="37" t="str">
        <f>INDEX(DatasetsName!A1:J118,MATCH(B1,DatasetsName!B:B, 0),4)</f>
        <v>Events</v>
      </c>
      <c r="C3" s="37"/>
      <c r="D3" s="37"/>
      <c r="E3" s="37"/>
      <c r="F3" s="37"/>
      <c r="G3" s="37"/>
      <c r="H3" s="37"/>
      <c r="I3" s="37"/>
      <c r="J3" s="37"/>
      <c r="K3" s="37"/>
      <c r="L3" s="37"/>
      <c r="M3" s="37"/>
    </row>
    <row r="4" spans="1:13">
      <c r="A4" s="13" t="str">
        <f>DatasetsName!$E$1</f>
        <v>Dataset Structure</v>
      </c>
      <c r="B4" s="37" t="str">
        <f>INDEX(DatasetsName!A1:J118,MATCH(B1,DatasetsName!B:B, 0),5)</f>
        <v>One record per medical history event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MHDECOD</v>
      </c>
      <c r="C6" s="37"/>
      <c r="D6" s="37"/>
      <c r="E6" s="37"/>
      <c r="F6" s="37"/>
      <c r="G6" s="37"/>
      <c r="H6" s="37"/>
      <c r="I6" s="37"/>
      <c r="J6" s="37"/>
      <c r="K6" s="37"/>
      <c r="L6" s="37"/>
      <c r="M6" s="37"/>
    </row>
    <row r="7" spans="1:13">
      <c r="A7" s="13" t="str">
        <f>DatasetsName!$H$1</f>
        <v>Dataset Location</v>
      </c>
      <c r="B7" s="37" t="str">
        <f>INDEX(DatasetsName!A1:J118,MATCH(B1,DatasetsName!B:B, 0),8)</f>
        <v>mh.xpt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15459</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MH</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MH</v>
      </c>
      <c r="B15" s="12" t="s">
        <v>63</v>
      </c>
      <c r="C15" s="12" t="s">
        <v>64</v>
      </c>
      <c r="D15" s="12" t="s">
        <v>57</v>
      </c>
      <c r="E15" s="14" t="str" cm="1">
        <f t="array" aca="1" ref="E15" ca="1">HYPERLINK("#"&amp;CELL("address", INDEX(ControlledTerms!I:I,MATCH(B1,ControlledTerms!I:I,0))),B1)</f>
        <v>MH</v>
      </c>
      <c r="F15" s="12">
        <v>2</v>
      </c>
      <c r="G15" s="12" t="s">
        <v>58</v>
      </c>
      <c r="H15" s="12" t="s">
        <v>82</v>
      </c>
      <c r="I15" s="12">
        <v>2</v>
      </c>
      <c r="J15" s="21" t="s">
        <v>15460</v>
      </c>
      <c r="K15" s="12"/>
      <c r="L15" s="12" t="s">
        <v>84</v>
      </c>
      <c r="M15" s="12" t="s">
        <v>62</v>
      </c>
    </row>
    <row r="16" spans="1:13" ht="52.8">
      <c r="A16" s="12" t="str">
        <f t="shared" ref="A16:A40" si="0">A15</f>
        <v>MH</v>
      </c>
      <c r="B16" s="21" t="s">
        <v>1437</v>
      </c>
      <c r="C16" s="21" t="s">
        <v>1448</v>
      </c>
      <c r="D16" s="12" t="s">
        <v>57</v>
      </c>
      <c r="E16" s="12"/>
      <c r="F16" s="12">
        <v>3</v>
      </c>
      <c r="G16" s="21" t="s">
        <v>58</v>
      </c>
      <c r="H16" s="21"/>
      <c r="I16" s="12"/>
      <c r="J16" s="6"/>
      <c r="K16" s="12"/>
      <c r="L16" s="12" t="s">
        <v>1458</v>
      </c>
      <c r="M16" s="12" t="s">
        <v>62</v>
      </c>
    </row>
    <row r="17" spans="1:13" ht="39.6">
      <c r="A17" s="12" t="str">
        <f t="shared" si="0"/>
        <v>MH</v>
      </c>
      <c r="B17" s="21" t="s">
        <v>15464</v>
      </c>
      <c r="C17" s="21" t="s">
        <v>413</v>
      </c>
      <c r="D17" s="12" t="s">
        <v>101</v>
      </c>
      <c r="E17" s="12"/>
      <c r="F17" s="12">
        <v>4</v>
      </c>
      <c r="G17" s="21" t="s">
        <v>58</v>
      </c>
      <c r="H17" s="21"/>
      <c r="I17" s="12"/>
      <c r="J17" s="6"/>
      <c r="K17" s="12"/>
      <c r="L17" s="12" t="s">
        <v>7898</v>
      </c>
      <c r="M17" s="12" t="s">
        <v>62</v>
      </c>
    </row>
    <row r="18" spans="1:13" ht="39.6">
      <c r="A18" s="12" t="str">
        <f t="shared" si="0"/>
        <v>MH</v>
      </c>
      <c r="B18" s="21" t="s">
        <v>15465</v>
      </c>
      <c r="C18" s="21" t="s">
        <v>414</v>
      </c>
      <c r="D18" s="12" t="s">
        <v>57</v>
      </c>
      <c r="E18" s="12"/>
      <c r="F18" s="12">
        <v>5</v>
      </c>
      <c r="G18" s="21" t="s">
        <v>58</v>
      </c>
      <c r="H18" s="21"/>
      <c r="I18" s="12"/>
      <c r="J18" s="21"/>
      <c r="K18" s="12"/>
      <c r="L18" s="12" t="s">
        <v>2326</v>
      </c>
      <c r="M18" s="12" t="s">
        <v>114</v>
      </c>
    </row>
    <row r="19" spans="1:13" ht="26.4">
      <c r="A19" s="12" t="str">
        <f t="shared" si="0"/>
        <v>MH</v>
      </c>
      <c r="B19" s="21" t="s">
        <v>15466</v>
      </c>
      <c r="C19" s="21" t="s">
        <v>7877</v>
      </c>
      <c r="D19" s="12" t="s">
        <v>57</v>
      </c>
      <c r="E19" s="14"/>
      <c r="F19" s="12">
        <v>6</v>
      </c>
      <c r="G19" s="21" t="s">
        <v>58</v>
      </c>
      <c r="H19" s="21"/>
      <c r="I19" s="12"/>
      <c r="J19" s="21"/>
      <c r="K19" s="12"/>
      <c r="L19" s="12" t="s">
        <v>15497</v>
      </c>
      <c r="M19" s="12" t="s">
        <v>114</v>
      </c>
    </row>
    <row r="20" spans="1:13" ht="79.2">
      <c r="A20" s="12" t="str">
        <f t="shared" si="0"/>
        <v>MH</v>
      </c>
      <c r="B20" s="21" t="s">
        <v>15467</v>
      </c>
      <c r="C20" s="21" t="s">
        <v>2262</v>
      </c>
      <c r="D20" s="12" t="s">
        <v>57</v>
      </c>
      <c r="E20" s="14"/>
      <c r="F20" s="12">
        <v>7</v>
      </c>
      <c r="G20" s="21" t="s">
        <v>58</v>
      </c>
      <c r="H20" s="21"/>
      <c r="I20" s="12"/>
      <c r="J20" s="21"/>
      <c r="K20" s="12"/>
      <c r="L20" s="12" t="s">
        <v>15498</v>
      </c>
      <c r="M20" s="12" t="s">
        <v>114</v>
      </c>
    </row>
    <row r="21" spans="1:13" ht="26.4">
      <c r="A21" s="12" t="str">
        <f t="shared" si="0"/>
        <v>MH</v>
      </c>
      <c r="B21" s="21" t="s">
        <v>15468</v>
      </c>
      <c r="C21" s="21" t="s">
        <v>15469</v>
      </c>
      <c r="D21" s="12" t="s">
        <v>57</v>
      </c>
      <c r="E21" s="14"/>
      <c r="F21" s="12">
        <v>8</v>
      </c>
      <c r="G21" s="21" t="s">
        <v>88</v>
      </c>
      <c r="H21" s="21"/>
      <c r="I21" s="12"/>
      <c r="J21" s="21"/>
      <c r="K21" s="12"/>
      <c r="L21" s="12" t="s">
        <v>15499</v>
      </c>
      <c r="M21" s="12" t="s">
        <v>62</v>
      </c>
    </row>
    <row r="22" spans="1:13" ht="39.6">
      <c r="A22" s="12" t="str">
        <f t="shared" si="0"/>
        <v>MH</v>
      </c>
      <c r="B22" s="12" t="s">
        <v>15470</v>
      </c>
      <c r="C22" s="12" t="s">
        <v>14670</v>
      </c>
      <c r="D22" s="12" t="s">
        <v>57</v>
      </c>
      <c r="E22" s="14"/>
      <c r="F22" s="12">
        <v>9</v>
      </c>
      <c r="G22" s="12" t="s">
        <v>92</v>
      </c>
      <c r="H22" s="12"/>
      <c r="I22" s="12"/>
      <c r="J22" s="12"/>
      <c r="K22" s="12"/>
      <c r="L22" s="12" t="s">
        <v>15500</v>
      </c>
      <c r="M22" s="12" t="s">
        <v>114</v>
      </c>
    </row>
    <row r="23" spans="1:13" ht="105.6">
      <c r="A23" s="12" t="str">
        <f t="shared" si="0"/>
        <v>MH</v>
      </c>
      <c r="B23" s="12" t="s">
        <v>15471</v>
      </c>
      <c r="C23" s="12" t="s">
        <v>14673</v>
      </c>
      <c r="D23" s="12" t="s">
        <v>57</v>
      </c>
      <c r="E23" s="12" t="s">
        <v>87</v>
      </c>
      <c r="F23" s="12">
        <v>10</v>
      </c>
      <c r="G23" s="12" t="s">
        <v>92</v>
      </c>
      <c r="H23" s="12"/>
      <c r="I23" s="12"/>
      <c r="J23" s="12"/>
      <c r="K23" s="12"/>
      <c r="L23" s="12" t="s">
        <v>15501</v>
      </c>
      <c r="M23" s="12" t="s">
        <v>114</v>
      </c>
    </row>
    <row r="24" spans="1:13" ht="79.2">
      <c r="A24" s="12" t="str">
        <f t="shared" si="0"/>
        <v>MH</v>
      </c>
      <c r="B24" s="12" t="s">
        <v>15472</v>
      </c>
      <c r="C24" s="12" t="s">
        <v>15473</v>
      </c>
      <c r="D24" s="12" t="s">
        <v>57</v>
      </c>
      <c r="E24" s="14" t="str" cm="1">
        <f t="array" aca="1" ref="E24" ca="1">HYPERLINK("#"&amp;CELL("address", INDEX(ControlledTerms!E:E,MATCH("C124301",ControlledTerms!E:E,0))),"(MHEDTTYP)")</f>
        <v>(MHEDTTYP)</v>
      </c>
      <c r="F24" s="12">
        <v>11</v>
      </c>
      <c r="G24" s="12" t="s">
        <v>329</v>
      </c>
      <c r="H24" s="12"/>
      <c r="I24" s="12"/>
      <c r="J24" s="12"/>
      <c r="K24" s="12"/>
      <c r="L24" s="12" t="s">
        <v>15502</v>
      </c>
      <c r="M24" s="12" t="s">
        <v>114</v>
      </c>
    </row>
    <row r="25" spans="1:13" ht="39.6">
      <c r="A25" s="12" t="str">
        <f t="shared" si="0"/>
        <v>MH</v>
      </c>
      <c r="B25" s="12" t="s">
        <v>15474</v>
      </c>
      <c r="C25" s="12" t="s">
        <v>15475</v>
      </c>
      <c r="D25" s="12" t="s">
        <v>57</v>
      </c>
      <c r="E25" s="12" t="s">
        <v>87</v>
      </c>
      <c r="F25" s="12">
        <v>12</v>
      </c>
      <c r="G25" s="12" t="s">
        <v>387</v>
      </c>
      <c r="H25" s="12"/>
      <c r="I25" s="12"/>
      <c r="J25" s="12"/>
      <c r="K25" s="12"/>
      <c r="L25" s="12" t="s">
        <v>15503</v>
      </c>
      <c r="M25" s="12" t="s">
        <v>114</v>
      </c>
    </row>
    <row r="26" spans="1:13" ht="26.4">
      <c r="A26" s="12" t="str">
        <f t="shared" si="0"/>
        <v>MH</v>
      </c>
      <c r="B26" s="12" t="s">
        <v>15476</v>
      </c>
      <c r="C26" s="12" t="s">
        <v>15477</v>
      </c>
      <c r="D26" s="12" t="s">
        <v>57</v>
      </c>
      <c r="E26" s="12" t="s">
        <v>87</v>
      </c>
      <c r="F26" s="12">
        <v>13</v>
      </c>
      <c r="G26" s="12" t="s">
        <v>387</v>
      </c>
      <c r="H26" s="12"/>
      <c r="I26" s="12"/>
      <c r="J26" s="12"/>
      <c r="K26" s="12"/>
      <c r="L26" s="12" t="s">
        <v>15504</v>
      </c>
      <c r="M26" s="12" t="s">
        <v>114</v>
      </c>
    </row>
    <row r="27" spans="1:13" ht="79.2">
      <c r="A27" s="12" t="str">
        <f t="shared" si="0"/>
        <v>MH</v>
      </c>
      <c r="B27" s="12" t="s">
        <v>15478</v>
      </c>
      <c r="C27" s="12" t="s">
        <v>15479</v>
      </c>
      <c r="D27" s="12" t="s">
        <v>57</v>
      </c>
      <c r="E27" s="14" t="str" cm="1">
        <f t="array" aca="1" ref="E27" ca="1">HYPERLINK("#"&amp;CELL("address", INDEX(ControlledTerms!E:E,MATCH("C66742",ControlledTerms!E:E,0))),"(NY)")</f>
        <v>(NY)</v>
      </c>
      <c r="F27" s="12">
        <v>14</v>
      </c>
      <c r="G27" s="12" t="s">
        <v>329</v>
      </c>
      <c r="H27" s="12"/>
      <c r="I27" s="12"/>
      <c r="J27" s="12"/>
      <c r="K27" s="12"/>
      <c r="L27" s="12" t="s">
        <v>15505</v>
      </c>
      <c r="M27" s="12" t="s">
        <v>114</v>
      </c>
    </row>
    <row r="28" spans="1:13" ht="79.2">
      <c r="A28" s="12" t="str">
        <f t="shared" si="0"/>
        <v>MH</v>
      </c>
      <c r="B28" s="12" t="s">
        <v>15480</v>
      </c>
      <c r="C28" s="12" t="s">
        <v>15481</v>
      </c>
      <c r="D28" s="12" t="s">
        <v>57</v>
      </c>
      <c r="E28" s="14" t="str" cm="1">
        <f t="array" aca="1" ref="E28" ca="1">HYPERLINK("#"&amp;CELL("address", INDEX(ControlledTerms!E:E,MATCH("C66742",ControlledTerms!E:E,0))),"(NY)")</f>
        <v>(NY)</v>
      </c>
      <c r="F28" s="12">
        <v>15</v>
      </c>
      <c r="G28" s="12" t="s">
        <v>107</v>
      </c>
      <c r="H28" s="12"/>
      <c r="I28" s="12"/>
      <c r="J28" s="12"/>
      <c r="K28" s="12"/>
      <c r="L28" s="12" t="s">
        <v>15506</v>
      </c>
      <c r="M28" s="12" t="s">
        <v>114</v>
      </c>
    </row>
    <row r="29" spans="1:13" ht="39.6">
      <c r="A29" s="12" t="str">
        <f t="shared" si="0"/>
        <v>MH</v>
      </c>
      <c r="B29" s="12" t="s">
        <v>15482</v>
      </c>
      <c r="C29" s="12" t="s">
        <v>2278</v>
      </c>
      <c r="D29" s="12" t="s">
        <v>57</v>
      </c>
      <c r="E29" s="14" t="str" cm="1">
        <f t="array" aca="1" ref="E29" ca="1">HYPERLINK("#"&amp;CELL("address", INDEX(ControlledTerms!E:E,MATCH("C66789",ControlledTerms!E:E,0))),"(ND)")</f>
        <v>(ND)</v>
      </c>
      <c r="F29" s="12">
        <v>16</v>
      </c>
      <c r="G29" s="12" t="s">
        <v>107</v>
      </c>
      <c r="H29" s="12"/>
      <c r="I29" s="12"/>
      <c r="J29" s="12"/>
      <c r="K29" s="12"/>
      <c r="L29" s="12" t="s">
        <v>15507</v>
      </c>
      <c r="M29" s="12" t="s">
        <v>114</v>
      </c>
    </row>
    <row r="30" spans="1:13" ht="52.8">
      <c r="A30" s="12" t="str">
        <f t="shared" si="0"/>
        <v>MH</v>
      </c>
      <c r="B30" s="12" t="s">
        <v>15483</v>
      </c>
      <c r="C30" s="12" t="s">
        <v>15484</v>
      </c>
      <c r="D30" s="12" t="s">
        <v>57</v>
      </c>
      <c r="E30" s="12"/>
      <c r="F30" s="12">
        <v>17</v>
      </c>
      <c r="G30" s="12" t="s">
        <v>107</v>
      </c>
      <c r="H30" s="12"/>
      <c r="I30" s="12"/>
      <c r="J30" s="12"/>
      <c r="K30" s="12"/>
      <c r="L30" s="12" t="s">
        <v>15508</v>
      </c>
      <c r="M30" s="12" t="s">
        <v>114</v>
      </c>
    </row>
    <row r="31" spans="1:13" ht="118.8">
      <c r="A31" s="12" t="str">
        <f t="shared" si="0"/>
        <v>MH</v>
      </c>
      <c r="B31" s="12" t="s">
        <v>15485</v>
      </c>
      <c r="C31" s="12" t="s">
        <v>14682</v>
      </c>
      <c r="D31" s="12" t="s">
        <v>57</v>
      </c>
      <c r="E31" s="12" t="s">
        <v>87</v>
      </c>
      <c r="F31" s="12">
        <v>18</v>
      </c>
      <c r="G31" s="12" t="s">
        <v>107</v>
      </c>
      <c r="H31" s="12"/>
      <c r="I31" s="12"/>
      <c r="J31" s="12"/>
      <c r="K31" s="12"/>
      <c r="L31" s="12" t="s">
        <v>15509</v>
      </c>
      <c r="M31" s="12" t="s">
        <v>114</v>
      </c>
    </row>
    <row r="32" spans="1:13" ht="52.8">
      <c r="A32" s="12" t="str">
        <f t="shared" si="0"/>
        <v>MH</v>
      </c>
      <c r="B32" s="12" t="s">
        <v>99</v>
      </c>
      <c r="C32" s="12" t="s">
        <v>100</v>
      </c>
      <c r="D32" s="12" t="s">
        <v>101</v>
      </c>
      <c r="E32" s="12"/>
      <c r="F32" s="12">
        <v>19</v>
      </c>
      <c r="G32" s="12" t="s">
        <v>102</v>
      </c>
      <c r="H32" s="12"/>
      <c r="I32" s="12"/>
      <c r="J32" s="12"/>
      <c r="K32" s="12"/>
      <c r="L32" s="12" t="s">
        <v>15510</v>
      </c>
      <c r="M32" s="12" t="s">
        <v>114</v>
      </c>
    </row>
    <row r="33" spans="1:13" ht="26.4">
      <c r="A33" s="12" t="str">
        <f t="shared" si="0"/>
        <v>MH</v>
      </c>
      <c r="B33" s="12" t="s">
        <v>119</v>
      </c>
      <c r="C33" s="12" t="s">
        <v>122</v>
      </c>
      <c r="D33" s="12" t="s">
        <v>57</v>
      </c>
      <c r="E33" s="14" t="str" cm="1">
        <f t="array" aca="1" ref="E33" ca="1">HYPERLINK("#"&amp;CELL("address", INDEX(ControlledTerms!E:E,MATCH("C99079",ControlledTerms!E:E,0))),"(EPOCH)")</f>
        <v>(EPOCH)</v>
      </c>
      <c r="F33" s="12">
        <v>20</v>
      </c>
      <c r="G33" s="12" t="s">
        <v>102</v>
      </c>
      <c r="H33" s="12"/>
      <c r="I33" s="12"/>
      <c r="J33" s="12"/>
      <c r="K33" s="12"/>
      <c r="L33" s="12" t="s">
        <v>15511</v>
      </c>
      <c r="M33" s="12" t="s">
        <v>114</v>
      </c>
    </row>
    <row r="34" spans="1:13" ht="39.6">
      <c r="A34" s="12" t="str">
        <f t="shared" si="0"/>
        <v>MH</v>
      </c>
      <c r="B34" s="12" t="s">
        <v>15486</v>
      </c>
      <c r="C34" s="12" t="s">
        <v>15487</v>
      </c>
      <c r="D34" s="12" t="s">
        <v>57</v>
      </c>
      <c r="E34" s="14" t="str" cm="1">
        <f t="array" aca="1" ref="E34" ca="1">HYPERLINK("#"&amp;CELL("address", INDEX(Format!A:A,MATCH("ISO 8601 datetime or interval",Format!A:A,0))),"ISO 8601 datetime or interval")</f>
        <v>ISO 8601 datetime or interval</v>
      </c>
      <c r="F34" s="12">
        <v>21</v>
      </c>
      <c r="G34" s="12" t="s">
        <v>102</v>
      </c>
      <c r="H34" s="12"/>
      <c r="I34" s="12"/>
      <c r="J34" s="12"/>
      <c r="K34" s="12"/>
      <c r="L34" s="12" t="s">
        <v>15512</v>
      </c>
      <c r="M34" s="12" t="s">
        <v>114</v>
      </c>
    </row>
    <row r="35" spans="1:13" ht="39.6">
      <c r="A35" s="12" t="str">
        <f t="shared" si="0"/>
        <v>MH</v>
      </c>
      <c r="B35" s="12" t="s">
        <v>15488</v>
      </c>
      <c r="C35" s="12" t="s">
        <v>15489</v>
      </c>
      <c r="D35" s="12" t="s">
        <v>57</v>
      </c>
      <c r="E35" s="14" t="str" cm="1">
        <f t="array" aca="1" ref="E35" ca="1">HYPERLINK("#"&amp;CELL("address", INDEX(Format!A:A,MATCH("ISO 8601 datetime or interval",Format!A:A,0))),"ISO 8601 datetime or interval")</f>
        <v>ISO 8601 datetime or interval</v>
      </c>
      <c r="F35" s="12">
        <v>22</v>
      </c>
      <c r="G35" s="12" t="s">
        <v>102</v>
      </c>
      <c r="H35" s="12"/>
      <c r="I35" s="12"/>
      <c r="J35" s="12"/>
      <c r="K35" s="12"/>
      <c r="L35" s="12" t="s">
        <v>15513</v>
      </c>
      <c r="M35" s="12" t="s">
        <v>114</v>
      </c>
    </row>
    <row r="36" spans="1:13" ht="39.6">
      <c r="A36" s="12" t="str">
        <f t="shared" si="0"/>
        <v>MH</v>
      </c>
      <c r="B36" s="12" t="s">
        <v>15490</v>
      </c>
      <c r="C36" s="12" t="s">
        <v>15491</v>
      </c>
      <c r="D36" s="12" t="s">
        <v>57</v>
      </c>
      <c r="E36" s="14" t="str" cm="1">
        <f t="array" aca="1" ref="E36" ca="1">HYPERLINK("#"&amp;CELL("address", INDEX(Format!A:A,MATCH("ISO 8601 datetime or interval",Format!A:A,0))),"ISO 8601 datetime or interval")</f>
        <v>ISO 8601 datetime or interval</v>
      </c>
      <c r="F36" s="12">
        <v>23</v>
      </c>
      <c r="G36" s="12" t="s">
        <v>102</v>
      </c>
      <c r="H36" s="12"/>
      <c r="I36" s="12"/>
      <c r="J36" s="12"/>
      <c r="K36" s="12"/>
      <c r="L36" s="12" t="s">
        <v>15514</v>
      </c>
      <c r="M36" s="12" t="s">
        <v>114</v>
      </c>
    </row>
    <row r="37" spans="1:13" ht="79.2">
      <c r="A37" s="12" t="str">
        <f t="shared" si="0"/>
        <v>MH</v>
      </c>
      <c r="B37" s="12" t="s">
        <v>15492</v>
      </c>
      <c r="C37" s="12" t="s">
        <v>15493</v>
      </c>
      <c r="D37" s="12" t="s">
        <v>101</v>
      </c>
      <c r="E37" s="14"/>
      <c r="F37" s="12">
        <v>24</v>
      </c>
      <c r="G37" s="12" t="s">
        <v>102</v>
      </c>
      <c r="H37" s="12"/>
      <c r="I37" s="12"/>
      <c r="J37" s="12"/>
      <c r="K37" s="12"/>
      <c r="L37" s="12" t="s">
        <v>15515</v>
      </c>
      <c r="M37" s="12" t="s">
        <v>114</v>
      </c>
    </row>
    <row r="38" spans="1:13" ht="145.19999999999999">
      <c r="A38" s="12" t="str">
        <f t="shared" si="0"/>
        <v>MH</v>
      </c>
      <c r="B38" s="12" t="s">
        <v>15494</v>
      </c>
      <c r="C38" s="12" t="s">
        <v>2316</v>
      </c>
      <c r="D38" s="12" t="s">
        <v>57</v>
      </c>
      <c r="E38" s="14" t="str" cm="1">
        <f t="array" aca="1" ref="E38" ca="1">HYPERLINK("#"&amp;CELL("address", INDEX(ControlledTerms!E:E,MATCH("C66728",ControlledTerms!E:E,0))),"(STENRF)")</f>
        <v>(STENRF)</v>
      </c>
      <c r="F38" s="12">
        <v>25</v>
      </c>
      <c r="G38" s="12" t="s">
        <v>102</v>
      </c>
      <c r="H38" s="12"/>
      <c r="I38" s="12"/>
      <c r="J38" s="12"/>
      <c r="K38" s="12"/>
      <c r="L38" s="12" t="s">
        <v>15516</v>
      </c>
      <c r="M38" s="12" t="s">
        <v>114</v>
      </c>
    </row>
    <row r="39" spans="1:13" ht="79.2">
      <c r="A39" s="12" t="str">
        <f t="shared" si="0"/>
        <v>MH</v>
      </c>
      <c r="B39" s="12" t="s">
        <v>15495</v>
      </c>
      <c r="C39" s="12" t="s">
        <v>2322</v>
      </c>
      <c r="D39" s="12" t="s">
        <v>57</v>
      </c>
      <c r="E39" s="14" t="str" cm="1">
        <f t="array" aca="1" ref="E39" ca="1">HYPERLINK("#"&amp;CELL("address", INDEX(ControlledTerms!E:E,MATCH("C66728",ControlledTerms!E:E,0))),"(STENRF)")</f>
        <v>(STENRF)</v>
      </c>
      <c r="F39" s="12">
        <v>26</v>
      </c>
      <c r="G39" s="12" t="s">
        <v>102</v>
      </c>
      <c r="H39" s="12"/>
      <c r="I39" s="12"/>
      <c r="J39" s="12"/>
      <c r="K39" s="12"/>
      <c r="L39" s="12" t="s">
        <v>15517</v>
      </c>
      <c r="M39" s="12" t="s">
        <v>114</v>
      </c>
    </row>
    <row r="40" spans="1:13" ht="52.8">
      <c r="A40" s="12" t="str">
        <f t="shared" si="0"/>
        <v>MH</v>
      </c>
      <c r="B40" s="12" t="s">
        <v>15496</v>
      </c>
      <c r="C40" s="12" t="s">
        <v>2324</v>
      </c>
      <c r="D40" s="12" t="s">
        <v>57</v>
      </c>
      <c r="E40" s="14"/>
      <c r="F40" s="12">
        <v>27</v>
      </c>
      <c r="G40" s="12" t="s">
        <v>102</v>
      </c>
      <c r="H40" s="12"/>
      <c r="I40" s="12"/>
      <c r="J40" s="12"/>
      <c r="K40" s="12"/>
      <c r="L40" s="12" t="s">
        <v>15518</v>
      </c>
      <c r="M40" s="12" t="s">
        <v>114</v>
      </c>
    </row>
  </sheetData>
  <autoFilter ref="A13:M29"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171" xr:uid="{18882F0D-9631-4C5F-86EE-65DC7C0F35E8}"/>
  </hyperlinks>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7DF43-EBC4-4A9D-8103-8F02C40313E9}">
  <sheetPr codeName="Sheet28">
    <tabColor rgb="FF00B0F0"/>
  </sheetPr>
  <dimension ref="A1:M29"/>
  <sheetViews>
    <sheetView showGridLines="0" workbookViewId="0">
      <selection activeCell="E25" sqref="E25"/>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1115</v>
      </c>
      <c r="C1" s="37"/>
      <c r="D1" s="37"/>
      <c r="E1" s="37"/>
      <c r="F1" s="37"/>
      <c r="G1" s="37"/>
      <c r="H1" s="37"/>
      <c r="I1" s="37"/>
      <c r="J1" s="37"/>
      <c r="K1" s="37"/>
      <c r="L1" s="37"/>
      <c r="M1" s="37"/>
    </row>
    <row r="2" spans="1:13">
      <c r="A2" s="13" t="str">
        <f>DatasetsName!$C$1</f>
        <v>Dataset Description</v>
      </c>
      <c r="B2" s="37" t="str">
        <f>INDEX(DatasetsName!A1:J118,MATCH(B1,DatasetsName!B:B, 0),3)</f>
        <v>Protocol Deviations</v>
      </c>
      <c r="C2" s="37"/>
      <c r="D2" s="37"/>
      <c r="E2" s="37"/>
      <c r="F2" s="37"/>
      <c r="G2" s="37"/>
      <c r="H2" s="37"/>
      <c r="I2" s="37"/>
      <c r="J2" s="37"/>
      <c r="K2" s="37"/>
      <c r="L2" s="37"/>
      <c r="M2" s="37"/>
    </row>
    <row r="3" spans="1:13">
      <c r="A3" s="13" t="str">
        <f>DatasetsName!$D$1</f>
        <v>Dataset Class</v>
      </c>
      <c r="B3" s="37" t="str">
        <f>INDEX(DatasetsName!A1:J118,MATCH(B1,DatasetsName!B:B, 0),4)</f>
        <v>Events</v>
      </c>
      <c r="C3" s="37"/>
      <c r="D3" s="37"/>
      <c r="E3" s="37"/>
      <c r="F3" s="37"/>
      <c r="G3" s="37"/>
      <c r="H3" s="37"/>
      <c r="I3" s="37"/>
      <c r="J3" s="37"/>
      <c r="K3" s="37"/>
      <c r="L3" s="37"/>
      <c r="M3" s="37"/>
    </row>
    <row r="4" spans="1:13">
      <c r="A4" s="13" t="str">
        <f>DatasetsName!$E$1</f>
        <v>Dataset Structure</v>
      </c>
      <c r="B4" s="37" t="str">
        <f>INDEX(DatasetsName!A1:J118,MATCH(B1,DatasetsName!B:B, 0),5)</f>
        <v>One record per protocol deviation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DVTERM, DVSTDTC</v>
      </c>
      <c r="C6" s="37"/>
      <c r="D6" s="37"/>
      <c r="E6" s="37"/>
      <c r="F6" s="37"/>
      <c r="G6" s="37"/>
      <c r="H6" s="37"/>
      <c r="I6" s="37"/>
      <c r="J6" s="37"/>
      <c r="K6" s="37"/>
      <c r="L6" s="37"/>
      <c r="M6" s="37"/>
    </row>
    <row r="7" spans="1:13">
      <c r="A7" s="13" t="str">
        <f>DatasetsName!$H$1</f>
        <v>Dataset Location</v>
      </c>
      <c r="B7" s="37" t="str">
        <f>INDEX(DatasetsName!A1:J118,MATCH(B1,DatasetsName!B:B, 0),8)</f>
        <v>dv.xpt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15584</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DV</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DV</v>
      </c>
      <c r="B15" s="12" t="s">
        <v>63</v>
      </c>
      <c r="C15" s="12" t="s">
        <v>64</v>
      </c>
      <c r="D15" s="12" t="s">
        <v>57</v>
      </c>
      <c r="E15" s="14" t="str" cm="1">
        <f t="array" aca="1" ref="E15" ca="1">HYPERLINK("#"&amp;CELL("address", INDEX(ControlledTerms!I:I,MATCH(B1,ControlledTerms!I:I,0))),B1)</f>
        <v>DV</v>
      </c>
      <c r="F15" s="12">
        <v>2</v>
      </c>
      <c r="G15" s="12" t="s">
        <v>58</v>
      </c>
      <c r="H15" s="12" t="s">
        <v>82</v>
      </c>
      <c r="I15" s="12">
        <v>2</v>
      </c>
      <c r="J15" s="21" t="s">
        <v>15585</v>
      </c>
      <c r="K15" s="12"/>
      <c r="L15" s="12" t="s">
        <v>84</v>
      </c>
      <c r="M15" s="12" t="s">
        <v>62</v>
      </c>
    </row>
    <row r="16" spans="1:13" ht="52.8">
      <c r="A16" s="12" t="str">
        <f t="shared" ref="A16:A29" si="0">A15</f>
        <v>DV</v>
      </c>
      <c r="B16" s="21" t="s">
        <v>1437</v>
      </c>
      <c r="C16" s="21" t="s">
        <v>1448</v>
      </c>
      <c r="D16" s="12" t="s">
        <v>57</v>
      </c>
      <c r="E16" s="12"/>
      <c r="F16" s="12">
        <v>3</v>
      </c>
      <c r="G16" s="21" t="s">
        <v>58</v>
      </c>
      <c r="H16" s="21"/>
      <c r="I16" s="12"/>
      <c r="J16" s="6"/>
      <c r="K16" s="12"/>
      <c r="L16" s="12" t="s">
        <v>1458</v>
      </c>
      <c r="M16" s="12" t="s">
        <v>62</v>
      </c>
    </row>
    <row r="17" spans="1:13" ht="39.6">
      <c r="A17" s="12" t="str">
        <f t="shared" si="0"/>
        <v>DV</v>
      </c>
      <c r="B17" s="21" t="s">
        <v>15586</v>
      </c>
      <c r="C17" s="21" t="s">
        <v>413</v>
      </c>
      <c r="D17" s="12" t="s">
        <v>101</v>
      </c>
      <c r="E17" s="12"/>
      <c r="F17" s="12">
        <v>4</v>
      </c>
      <c r="G17" s="21" t="s">
        <v>58</v>
      </c>
      <c r="H17" s="21"/>
      <c r="I17" s="12"/>
      <c r="J17" s="6"/>
      <c r="K17" s="12"/>
      <c r="L17" s="12" t="s">
        <v>7898</v>
      </c>
      <c r="M17" s="12" t="s">
        <v>62</v>
      </c>
    </row>
    <row r="18" spans="1:13">
      <c r="A18" s="12" t="str">
        <f t="shared" si="0"/>
        <v>DV</v>
      </c>
      <c r="B18" s="21" t="s">
        <v>15587</v>
      </c>
      <c r="C18" s="21" t="s">
        <v>7877</v>
      </c>
      <c r="D18" s="12" t="s">
        <v>57</v>
      </c>
      <c r="E18" s="12"/>
      <c r="F18" s="12">
        <v>5</v>
      </c>
      <c r="G18" s="21" t="s">
        <v>58</v>
      </c>
      <c r="H18" s="21"/>
      <c r="I18" s="12"/>
      <c r="J18" s="21"/>
      <c r="K18" s="12"/>
      <c r="L18" s="12" t="s">
        <v>15039</v>
      </c>
      <c r="M18" s="12" t="s">
        <v>114</v>
      </c>
    </row>
    <row r="19" spans="1:13" ht="66">
      <c r="A19" s="12" t="str">
        <f t="shared" si="0"/>
        <v>DV</v>
      </c>
      <c r="B19" s="21" t="s">
        <v>15588</v>
      </c>
      <c r="C19" s="21" t="s">
        <v>2262</v>
      </c>
      <c r="D19" s="12" t="s">
        <v>57</v>
      </c>
      <c r="E19" s="12"/>
      <c r="F19" s="12">
        <v>6</v>
      </c>
      <c r="G19" s="21" t="s">
        <v>58</v>
      </c>
      <c r="H19" s="21"/>
      <c r="I19" s="12"/>
      <c r="J19" s="21"/>
      <c r="K19" s="12"/>
      <c r="L19" s="12" t="s">
        <v>7900</v>
      </c>
      <c r="M19" s="12" t="s">
        <v>114</v>
      </c>
    </row>
    <row r="20" spans="1:13" ht="92.4">
      <c r="A20" s="12" t="str">
        <f t="shared" si="0"/>
        <v>DV</v>
      </c>
      <c r="B20" s="21" t="s">
        <v>15589</v>
      </c>
      <c r="C20" s="21" t="s">
        <v>15590</v>
      </c>
      <c r="D20" s="12" t="s">
        <v>57</v>
      </c>
      <c r="E20" s="12"/>
      <c r="F20" s="12">
        <v>7</v>
      </c>
      <c r="G20" s="21" t="s">
        <v>88</v>
      </c>
      <c r="H20" s="21"/>
      <c r="I20" s="12"/>
      <c r="J20" s="21"/>
      <c r="K20" s="12"/>
      <c r="L20" s="12" t="s">
        <v>15605</v>
      </c>
      <c r="M20" s="12" t="s">
        <v>62</v>
      </c>
    </row>
    <row r="21" spans="1:13" ht="92.4">
      <c r="A21" s="12" t="str">
        <f t="shared" si="0"/>
        <v>DV</v>
      </c>
      <c r="B21" s="21" t="s">
        <v>15591</v>
      </c>
      <c r="C21" s="21" t="s">
        <v>15592</v>
      </c>
      <c r="D21" s="12" t="s">
        <v>57</v>
      </c>
      <c r="E21" s="12" t="s">
        <v>87</v>
      </c>
      <c r="F21" s="12">
        <v>8</v>
      </c>
      <c r="G21" s="21" t="s">
        <v>92</v>
      </c>
      <c r="H21" s="21"/>
      <c r="I21" s="12"/>
      <c r="J21" s="21"/>
      <c r="K21" s="12"/>
      <c r="L21" s="12" t="s">
        <v>15606</v>
      </c>
      <c r="M21" s="12" t="s">
        <v>114</v>
      </c>
    </row>
    <row r="22" spans="1:13" ht="26.4">
      <c r="A22" s="12" t="str">
        <f t="shared" si="0"/>
        <v>DV</v>
      </c>
      <c r="B22" s="12" t="s">
        <v>15593</v>
      </c>
      <c r="C22" s="12" t="s">
        <v>15594</v>
      </c>
      <c r="D22" s="12" t="s">
        <v>57</v>
      </c>
      <c r="E22" s="12" t="s">
        <v>87</v>
      </c>
      <c r="F22" s="12">
        <v>9</v>
      </c>
      <c r="G22" s="12" t="s">
        <v>387</v>
      </c>
      <c r="H22" s="12"/>
      <c r="I22" s="12"/>
      <c r="J22" s="12"/>
      <c r="K22" s="12"/>
      <c r="L22" s="12" t="s">
        <v>15607</v>
      </c>
      <c r="M22" s="12" t="s">
        <v>114</v>
      </c>
    </row>
    <row r="23" spans="1:13" ht="26.4">
      <c r="A23" s="12" t="str">
        <f t="shared" si="0"/>
        <v>DV</v>
      </c>
      <c r="B23" s="12" t="s">
        <v>15595</v>
      </c>
      <c r="C23" s="12" t="s">
        <v>15596</v>
      </c>
      <c r="D23" s="12" t="s">
        <v>57</v>
      </c>
      <c r="E23" s="12" t="s">
        <v>87</v>
      </c>
      <c r="F23" s="12">
        <v>10</v>
      </c>
      <c r="G23" s="12" t="s">
        <v>387</v>
      </c>
      <c r="H23" s="12"/>
      <c r="I23" s="12"/>
      <c r="J23" s="12"/>
      <c r="K23" s="12"/>
      <c r="L23" s="12" t="s">
        <v>15608</v>
      </c>
      <c r="M23" s="12" t="s">
        <v>114</v>
      </c>
    </row>
    <row r="24" spans="1:13" ht="26.4">
      <c r="A24" s="12" t="str">
        <f t="shared" si="0"/>
        <v>DV</v>
      </c>
      <c r="B24" s="12" t="s">
        <v>99</v>
      </c>
      <c r="C24" s="12" t="s">
        <v>100</v>
      </c>
      <c r="D24" s="12" t="s">
        <v>101</v>
      </c>
      <c r="E24" s="12"/>
      <c r="F24" s="12">
        <v>11</v>
      </c>
      <c r="G24" s="12" t="s">
        <v>102</v>
      </c>
      <c r="H24" s="12"/>
      <c r="I24" s="12"/>
      <c r="J24" s="12"/>
      <c r="K24" s="12"/>
      <c r="L24" s="12" t="s">
        <v>7918</v>
      </c>
      <c r="M24" s="12" t="s">
        <v>114</v>
      </c>
    </row>
    <row r="25" spans="1:13" ht="52.8">
      <c r="A25" s="12" t="str">
        <f t="shared" si="0"/>
        <v>DV</v>
      </c>
      <c r="B25" s="12" t="s">
        <v>119</v>
      </c>
      <c r="C25" s="12" t="s">
        <v>122</v>
      </c>
      <c r="D25" s="12" t="s">
        <v>57</v>
      </c>
      <c r="E25" s="14" t="str" cm="1">
        <f t="array" aca="1" ref="E25" ca="1">HYPERLINK("#"&amp;CELL("address", INDEX(ControlledTerms!E:E,MATCH("C99079",ControlledTerms!E:E,0))),"(EPOCH)")</f>
        <v>(EPOCH)</v>
      </c>
      <c r="F25" s="12">
        <v>12</v>
      </c>
      <c r="G25" s="12" t="s">
        <v>102</v>
      </c>
      <c r="H25" s="12"/>
      <c r="I25" s="12"/>
      <c r="J25" s="12"/>
      <c r="K25" s="12"/>
      <c r="L25" s="12" t="s">
        <v>15609</v>
      </c>
      <c r="M25" s="12" t="s">
        <v>114</v>
      </c>
    </row>
    <row r="26" spans="1:13" ht="39.6">
      <c r="A26" s="12" t="str">
        <f t="shared" si="0"/>
        <v>DV</v>
      </c>
      <c r="B26" s="12" t="s">
        <v>15597</v>
      </c>
      <c r="C26" s="12" t="s">
        <v>15598</v>
      </c>
      <c r="D26" s="12" t="s">
        <v>57</v>
      </c>
      <c r="E26" s="14" t="str" cm="1">
        <f t="array" aca="1" ref="E26" ca="1">HYPERLINK("#"&amp;CELL("address", INDEX(Format!A:A,MATCH("ISO 8601 datetime or interval",Format!A:A,0))),"ISO 8601 datetime or interval")</f>
        <v>ISO 8601 datetime or interval</v>
      </c>
      <c r="F26" s="12">
        <v>13</v>
      </c>
      <c r="G26" s="12" t="s">
        <v>102</v>
      </c>
      <c r="H26" s="12"/>
      <c r="I26" s="12"/>
      <c r="J26" s="12"/>
      <c r="K26" s="12"/>
      <c r="L26" s="12" t="s">
        <v>15610</v>
      </c>
      <c r="M26" s="12" t="s">
        <v>114</v>
      </c>
    </row>
    <row r="27" spans="1:13" ht="39.6">
      <c r="A27" s="12" t="str">
        <f t="shared" si="0"/>
        <v>DV</v>
      </c>
      <c r="B27" s="12" t="s">
        <v>15599</v>
      </c>
      <c r="C27" s="12" t="s">
        <v>15600</v>
      </c>
      <c r="D27" s="12" t="s">
        <v>57</v>
      </c>
      <c r="E27" s="14" t="str" cm="1">
        <f t="array" aca="1" ref="E27" ca="1">HYPERLINK("#"&amp;CELL("address", INDEX(Format!A:A,MATCH("ISO 8601 datetime or interval",Format!A:A,0))),"ISO 8601 datetime or interval")</f>
        <v>ISO 8601 datetime or interval</v>
      </c>
      <c r="F27" s="12">
        <v>14</v>
      </c>
      <c r="G27" s="12" t="s">
        <v>102</v>
      </c>
      <c r="H27" s="12"/>
      <c r="I27" s="12"/>
      <c r="J27" s="12"/>
      <c r="K27" s="12"/>
      <c r="L27" s="12" t="s">
        <v>15611</v>
      </c>
      <c r="M27" s="12" t="s">
        <v>114</v>
      </c>
    </row>
    <row r="28" spans="1:13" ht="26.4">
      <c r="A28" s="12" t="str">
        <f t="shared" si="0"/>
        <v>DV</v>
      </c>
      <c r="B28" s="12" t="s">
        <v>15601</v>
      </c>
      <c r="C28" s="12" t="s">
        <v>15602</v>
      </c>
      <c r="D28" s="12" t="s">
        <v>101</v>
      </c>
      <c r="E28" s="14"/>
      <c r="F28" s="12">
        <v>15</v>
      </c>
      <c r="G28" s="12" t="s">
        <v>102</v>
      </c>
      <c r="H28" s="12"/>
      <c r="I28" s="12"/>
      <c r="J28" s="12"/>
      <c r="K28" s="12"/>
      <c r="L28" s="12" t="s">
        <v>15049</v>
      </c>
      <c r="M28" s="12" t="s">
        <v>114</v>
      </c>
    </row>
    <row r="29" spans="1:13" ht="26.4">
      <c r="A29" s="12" t="str">
        <f t="shared" si="0"/>
        <v>DV</v>
      </c>
      <c r="B29" s="12" t="s">
        <v>15603</v>
      </c>
      <c r="C29" s="12" t="s">
        <v>15604</v>
      </c>
      <c r="D29" s="12" t="s">
        <v>101</v>
      </c>
      <c r="E29" s="14"/>
      <c r="F29" s="12">
        <v>16</v>
      </c>
      <c r="G29" s="12" t="s">
        <v>102</v>
      </c>
      <c r="H29" s="12"/>
      <c r="I29" s="12"/>
      <c r="J29" s="12"/>
      <c r="K29" s="12"/>
      <c r="L29" s="12" t="s">
        <v>14765</v>
      </c>
      <c r="M29" s="12" t="s">
        <v>114</v>
      </c>
    </row>
  </sheetData>
  <autoFilter ref="A13:M29"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178" xr:uid="{447F335B-9140-48E6-8093-B46C5B53C3BA}"/>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438C-8394-4D93-A7B2-4C65C2F7AC23}">
  <sheetPr codeName="Sheet29">
    <tabColor theme="7"/>
  </sheetPr>
  <dimension ref="A1:M25"/>
  <sheetViews>
    <sheetView showGridLines="0" tabSelected="1" workbookViewId="0"/>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41" t="s">
        <v>1106</v>
      </c>
      <c r="C1" s="37"/>
      <c r="D1" s="37"/>
      <c r="E1" s="37"/>
      <c r="F1" s="37"/>
      <c r="G1" s="37"/>
      <c r="H1" s="37"/>
      <c r="I1" s="37"/>
      <c r="J1" s="37"/>
      <c r="K1" s="37"/>
      <c r="L1" s="37"/>
      <c r="M1" s="37"/>
    </row>
    <row r="2" spans="1:13">
      <c r="A2" s="13" t="str">
        <f>DatasetsName!$C$1</f>
        <v>Dataset Description</v>
      </c>
      <c r="B2" s="37" t="str">
        <f>INDEX(DatasetsName!A1:J118,MATCH(B1,DatasetsName!B:B, 0),3)</f>
        <v>Death Details</v>
      </c>
      <c r="C2" s="37"/>
      <c r="D2" s="37"/>
      <c r="E2" s="37"/>
      <c r="F2" s="37"/>
      <c r="G2" s="37"/>
      <c r="H2" s="37"/>
      <c r="I2" s="37"/>
      <c r="J2" s="37"/>
      <c r="K2" s="37"/>
      <c r="L2" s="37"/>
      <c r="M2" s="37"/>
    </row>
    <row r="3" spans="1:13">
      <c r="A3" s="13" t="str">
        <f>DatasetsName!$D$1</f>
        <v>Dataset Class</v>
      </c>
      <c r="B3" s="37" t="str">
        <f>INDEX(DatasetsName!A1:J118,MATCH(B1,DatasetsName!B:B, 0),4)</f>
        <v>Findings</v>
      </c>
      <c r="C3" s="37"/>
      <c r="D3" s="37"/>
      <c r="E3" s="37"/>
      <c r="F3" s="37"/>
      <c r="G3" s="37"/>
      <c r="H3" s="37"/>
      <c r="I3" s="37"/>
      <c r="J3" s="37"/>
      <c r="K3" s="37"/>
      <c r="L3" s="37"/>
      <c r="M3" s="37"/>
    </row>
    <row r="4" spans="1:13">
      <c r="A4" s="13" t="str">
        <f>DatasetsName!$E$1</f>
        <v>Dataset Structure</v>
      </c>
      <c r="B4" s="37" t="str">
        <f>INDEX(DatasetsName!A1:J118,MATCH(B1,DatasetsName!B:B, 0),5)</f>
        <v>One record per finding per subject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STUDYID, USUBJID, DDTESTCD, DDDTC</v>
      </c>
      <c r="C6" s="37"/>
      <c r="D6" s="37"/>
      <c r="E6" s="37"/>
      <c r="F6" s="37"/>
      <c r="G6" s="37"/>
      <c r="H6" s="37"/>
      <c r="I6" s="37"/>
      <c r="J6" s="37"/>
      <c r="K6" s="37"/>
      <c r="L6" s="37"/>
      <c r="M6" s="37"/>
    </row>
    <row r="7" spans="1:13">
      <c r="A7" s="13" t="str">
        <f>DatasetsName!$H$1</f>
        <v>Dataset Location</v>
      </c>
      <c r="B7" s="37" t="str">
        <f>INDEX(DatasetsName!A1:J118,MATCH(B1,DatasetsName!B:B, 0),8)</f>
        <v>dd.xpt</v>
      </c>
      <c r="C7" s="37"/>
      <c r="D7" s="37"/>
      <c r="E7" s="37"/>
      <c r="F7" s="37"/>
      <c r="G7" s="37"/>
      <c r="H7" s="37"/>
      <c r="I7" s="37"/>
      <c r="J7" s="37"/>
      <c r="K7" s="37"/>
      <c r="L7" s="37"/>
      <c r="M7" s="37"/>
    </row>
    <row r="8" spans="1:13">
      <c r="A8" s="13" t="s">
        <v>54</v>
      </c>
      <c r="B8" s="38" t="str">
        <f>INDEX(DatasetsName!A1:J118,MATCH(B1,DatasetsName!B:B, 0),9)</f>
        <v>&lt;enter program location&gt;</v>
      </c>
      <c r="C8" s="38"/>
      <c r="D8" s="38"/>
      <c r="E8" s="38"/>
      <c r="F8" s="38"/>
      <c r="G8" s="38"/>
      <c r="H8" s="38"/>
      <c r="I8" s="38"/>
      <c r="J8" s="38"/>
      <c r="K8" s="38"/>
      <c r="L8" s="38"/>
      <c r="M8" s="38"/>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42" t="s">
        <v>15620</v>
      </c>
      <c r="C11" s="40"/>
      <c r="D11" s="40"/>
      <c r="E11" s="40"/>
      <c r="F11" s="40"/>
      <c r="G11" s="40"/>
      <c r="H11" s="40"/>
      <c r="I11" s="40"/>
      <c r="J11" s="40"/>
      <c r="K11" s="40"/>
      <c r="L11" s="40"/>
      <c r="M11" s="40"/>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DD</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DD</v>
      </c>
      <c r="B15" s="12" t="s">
        <v>63</v>
      </c>
      <c r="C15" s="12" t="s">
        <v>64</v>
      </c>
      <c r="D15" s="12" t="s">
        <v>57</v>
      </c>
      <c r="E15" s="14" t="str" cm="1">
        <f t="array" aca="1" ref="E15" ca="1">HYPERLINK("#"&amp;CELL("address", INDEX(ControlledTerms!I:I,MATCH(B1,ControlledTerms!I:I,0))),B1)</f>
        <v>DD</v>
      </c>
      <c r="F15" s="12">
        <v>2</v>
      </c>
      <c r="G15" s="12" t="s">
        <v>58</v>
      </c>
      <c r="H15" s="12" t="s">
        <v>82</v>
      </c>
      <c r="I15" s="12">
        <v>2</v>
      </c>
      <c r="J15" s="21" t="s">
        <v>15643</v>
      </c>
      <c r="K15" s="12"/>
      <c r="L15" s="12" t="s">
        <v>84</v>
      </c>
      <c r="M15" s="12" t="s">
        <v>62</v>
      </c>
    </row>
    <row r="16" spans="1:13" ht="52.8">
      <c r="A16" s="12" t="str">
        <f t="shared" ref="A16:A25" si="0">A15</f>
        <v>DD</v>
      </c>
      <c r="B16" s="21" t="s">
        <v>1437</v>
      </c>
      <c r="C16" s="21" t="s">
        <v>1448</v>
      </c>
      <c r="D16" s="12" t="s">
        <v>57</v>
      </c>
      <c r="E16" s="12"/>
      <c r="F16" s="12">
        <v>3</v>
      </c>
      <c r="G16" s="21" t="s">
        <v>58</v>
      </c>
      <c r="H16" s="21"/>
      <c r="I16" s="12"/>
      <c r="J16" s="6"/>
      <c r="K16" s="12"/>
      <c r="L16" s="12" t="s">
        <v>1458</v>
      </c>
      <c r="M16" s="12" t="s">
        <v>62</v>
      </c>
    </row>
    <row r="17" spans="1:13" ht="39.6">
      <c r="A17" s="12" t="str">
        <f t="shared" si="0"/>
        <v>DD</v>
      </c>
      <c r="B17" s="21" t="s">
        <v>15621</v>
      </c>
      <c r="C17" s="21" t="s">
        <v>413</v>
      </c>
      <c r="D17" s="12" t="s">
        <v>101</v>
      </c>
      <c r="E17" s="12"/>
      <c r="F17" s="12">
        <v>4</v>
      </c>
      <c r="G17" s="21" t="s">
        <v>58</v>
      </c>
      <c r="H17" s="21"/>
      <c r="I17" s="12"/>
      <c r="J17" s="6"/>
      <c r="K17" s="12"/>
      <c r="L17" s="12" t="s">
        <v>7898</v>
      </c>
      <c r="M17" s="12" t="s">
        <v>62</v>
      </c>
    </row>
    <row r="18" spans="1:13" ht="158.4">
      <c r="A18" s="12" t="str">
        <f t="shared" si="0"/>
        <v>DD</v>
      </c>
      <c r="B18" s="21" t="s">
        <v>15622</v>
      </c>
      <c r="C18" s="21" t="s">
        <v>15623</v>
      </c>
      <c r="D18" s="12" t="s">
        <v>57</v>
      </c>
      <c r="E18" s="14" t="str" cm="1">
        <f t="array" aca="1" ref="E18" ca="1">HYPERLINK("#"&amp;CELL("address", INDEX(ControlledTerms!E:E,MATCH("C116108",ControlledTerms!E:E,0))),"(DTHDXCD)")</f>
        <v>(DTHDXCD)</v>
      </c>
      <c r="F18" s="12">
        <v>5</v>
      </c>
      <c r="G18" s="21" t="s">
        <v>88</v>
      </c>
      <c r="H18" s="21"/>
      <c r="I18" s="12"/>
      <c r="J18" s="21"/>
      <c r="K18" s="12"/>
      <c r="L18" s="12" t="s">
        <v>15635</v>
      </c>
      <c r="M18" s="12" t="s">
        <v>62</v>
      </c>
    </row>
    <row r="19" spans="1:13" ht="66">
      <c r="A19" s="12" t="str">
        <f t="shared" si="0"/>
        <v>DD</v>
      </c>
      <c r="B19" s="21" t="s">
        <v>15624</v>
      </c>
      <c r="C19" s="21" t="s">
        <v>15625</v>
      </c>
      <c r="D19" s="12" t="s">
        <v>57</v>
      </c>
      <c r="E19" s="14" t="str" cm="1">
        <f t="array" aca="1" ref="E19" ca="1">HYPERLINK("#"&amp;CELL("address", INDEX(ControlledTerms!E:E,MATCH("C116107",ControlledTerms!E:E,0))),"(DTHDX)")</f>
        <v>(DTHDX)</v>
      </c>
      <c r="F19" s="12">
        <v>6</v>
      </c>
      <c r="G19" s="21" t="s">
        <v>92</v>
      </c>
      <c r="H19" s="21"/>
      <c r="I19" s="12"/>
      <c r="J19" s="21"/>
      <c r="K19" s="12"/>
      <c r="L19" s="12" t="s">
        <v>15636</v>
      </c>
      <c r="M19" s="12" t="s">
        <v>62</v>
      </c>
    </row>
    <row r="20" spans="1:13" ht="26.4">
      <c r="A20" s="12" t="str">
        <f t="shared" si="0"/>
        <v>DD</v>
      </c>
      <c r="B20" s="21" t="s">
        <v>15626</v>
      </c>
      <c r="C20" s="21" t="s">
        <v>15627</v>
      </c>
      <c r="D20" s="12" t="s">
        <v>57</v>
      </c>
      <c r="E20" s="12"/>
      <c r="F20" s="12">
        <v>7</v>
      </c>
      <c r="G20" s="21" t="s">
        <v>422</v>
      </c>
      <c r="H20" s="21"/>
      <c r="I20" s="12"/>
      <c r="J20" s="21"/>
      <c r="K20" s="12"/>
      <c r="L20" s="12" t="s">
        <v>15637</v>
      </c>
      <c r="M20" s="12" t="s">
        <v>126</v>
      </c>
    </row>
    <row r="21" spans="1:13" ht="39.6">
      <c r="A21" s="12" t="str">
        <f t="shared" si="0"/>
        <v>DD</v>
      </c>
      <c r="B21" s="21" t="s">
        <v>15628</v>
      </c>
      <c r="C21" s="21" t="s">
        <v>15629</v>
      </c>
      <c r="D21" s="12" t="s">
        <v>57</v>
      </c>
      <c r="E21" s="12"/>
      <c r="F21" s="12">
        <v>8</v>
      </c>
      <c r="G21" s="21" t="s">
        <v>422</v>
      </c>
      <c r="H21" s="21"/>
      <c r="I21" s="12"/>
      <c r="J21" s="21"/>
      <c r="K21" s="12"/>
      <c r="L21" s="12" t="s">
        <v>15638</v>
      </c>
      <c r="M21" s="12" t="s">
        <v>126</v>
      </c>
    </row>
    <row r="22" spans="1:13" ht="66">
      <c r="A22" s="12" t="str">
        <f t="shared" si="0"/>
        <v>DD</v>
      </c>
      <c r="B22" s="12" t="s">
        <v>15630</v>
      </c>
      <c r="C22" s="12" t="s">
        <v>15631</v>
      </c>
      <c r="D22" s="12" t="s">
        <v>57</v>
      </c>
      <c r="E22" s="12" t="s">
        <v>87</v>
      </c>
      <c r="F22" s="12">
        <v>9</v>
      </c>
      <c r="G22" s="12" t="s">
        <v>329</v>
      </c>
      <c r="H22" s="12"/>
      <c r="I22" s="12"/>
      <c r="J22" s="12"/>
      <c r="K22" s="12"/>
      <c r="L22" s="12" t="s">
        <v>15639</v>
      </c>
      <c r="M22" s="12" t="s">
        <v>114</v>
      </c>
    </row>
    <row r="23" spans="1:13" ht="26.4">
      <c r="A23" s="12" t="str">
        <f t="shared" si="0"/>
        <v>DD</v>
      </c>
      <c r="B23" s="12" t="s">
        <v>15632</v>
      </c>
      <c r="C23" s="12" t="s">
        <v>1453</v>
      </c>
      <c r="D23" s="12" t="s">
        <v>57</v>
      </c>
      <c r="E23" s="14" t="str" cm="1">
        <f t="array" aca="1" ref="E23" ca="1">HYPERLINK("#"&amp;CELL("address", INDEX(ControlledTerms!E:E,MATCH("C78735",ControlledTerms!E:E,0))),"(EVAL)")</f>
        <v>(EVAL)</v>
      </c>
      <c r="F23" s="12">
        <v>10</v>
      </c>
      <c r="G23" s="12" t="s">
        <v>107</v>
      </c>
      <c r="H23" s="12"/>
      <c r="I23" s="12"/>
      <c r="J23" s="12"/>
      <c r="K23" s="12"/>
      <c r="L23" s="12" t="s">
        <v>15640</v>
      </c>
      <c r="M23" s="12" t="s">
        <v>114</v>
      </c>
    </row>
    <row r="24" spans="1:13" ht="52.8">
      <c r="A24" s="12" t="str">
        <f t="shared" si="0"/>
        <v>DD</v>
      </c>
      <c r="B24" s="12" t="s">
        <v>15633</v>
      </c>
      <c r="C24" s="12" t="s">
        <v>1990</v>
      </c>
      <c r="D24" s="12" t="s">
        <v>57</v>
      </c>
      <c r="E24" s="14" t="str" cm="1">
        <f t="array" aca="1" ref="E24" ca="1">HYPERLINK("#"&amp;CELL("address", INDEX(Format!A:A,MATCH("ISO 8601 datetime or interval",Format!A:A,0))),"ISO 8601 datetime or interval")</f>
        <v>ISO 8601 datetime or interval</v>
      </c>
      <c r="F24" s="12">
        <v>11</v>
      </c>
      <c r="G24" s="12" t="s">
        <v>102</v>
      </c>
      <c r="H24" s="12"/>
      <c r="I24" s="12"/>
      <c r="J24" s="12"/>
      <c r="K24" s="12"/>
      <c r="L24" s="12" t="s">
        <v>15641</v>
      </c>
      <c r="M24" s="12" t="s">
        <v>126</v>
      </c>
    </row>
    <row r="25" spans="1:13" ht="66">
      <c r="A25" s="12" t="str">
        <f t="shared" si="0"/>
        <v>DD</v>
      </c>
      <c r="B25" s="12" t="s">
        <v>15634</v>
      </c>
      <c r="C25" s="12" t="s">
        <v>1991</v>
      </c>
      <c r="D25" s="12" t="s">
        <v>101</v>
      </c>
      <c r="E25" s="14"/>
      <c r="F25" s="12">
        <v>12</v>
      </c>
      <c r="G25" s="12" t="s">
        <v>102</v>
      </c>
      <c r="H25" s="12"/>
      <c r="I25" s="12"/>
      <c r="J25" s="12"/>
      <c r="K25" s="12"/>
      <c r="L25" s="12" t="s">
        <v>15642</v>
      </c>
      <c r="M25" s="12" t="s">
        <v>114</v>
      </c>
    </row>
  </sheetData>
  <autoFilter ref="A13:M25" xr:uid="{C0116BDF-748C-41FF-8411-4EB62BE4D9FB}"/>
  <mergeCells count="11">
    <mergeCell ref="B7:M7"/>
    <mergeCell ref="B8:M8"/>
    <mergeCell ref="B9:M9"/>
    <mergeCell ref="B10:M10"/>
    <mergeCell ref="B11:M11"/>
    <mergeCell ref="B1:M1"/>
    <mergeCell ref="B2:M2"/>
    <mergeCell ref="B3:M3"/>
    <mergeCell ref="B4:M4"/>
    <mergeCell ref="B5:M5"/>
    <mergeCell ref="B6:M6"/>
  </mergeCells>
  <hyperlinks>
    <hyperlink ref="B11" r:id="rId1" location="page=183" xr:uid="{ECD6C22A-12D1-4D8E-95D1-58EE656A5C5E}"/>
  </hyperlinks>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3A0B2-E52C-477D-9FF6-C8AA4DF3882F}">
  <sheetPr codeName="Sheet7"/>
  <dimension ref="A1:M16"/>
  <sheetViews>
    <sheetView showGridLines="0" workbookViewId="0">
      <selection activeCell="B2" sqref="B2:M8"/>
    </sheetView>
  </sheetViews>
  <sheetFormatPr defaultRowHeight="13.2"/>
  <cols>
    <col min="1" max="1" width="19.44140625" style="7" customWidth="1"/>
    <col min="2" max="2" width="16.6640625" style="7" customWidth="1"/>
    <col min="3" max="3" width="39" style="7" customWidth="1"/>
    <col min="4" max="4" width="8.33203125" style="7" customWidth="1"/>
    <col min="5" max="5" width="13.88671875" style="7" customWidth="1"/>
    <col min="6" max="6" width="8.33203125" style="7" customWidth="1"/>
    <col min="7" max="8" width="11.109375" style="7" customWidth="1"/>
    <col min="9" max="9" width="8.33203125" style="7" customWidth="1"/>
    <col min="10" max="12" width="33.33203125" style="7" customWidth="1"/>
    <col min="13" max="13" width="8.33203125" style="7" customWidth="1"/>
    <col min="14" max="16384" width="8.88671875" style="9"/>
  </cols>
  <sheetData>
    <row r="1" spans="1:13">
      <c r="A1" s="13" t="str">
        <f>DatasetsName!$B$1</f>
        <v>Dataset Name</v>
      </c>
      <c r="B1" s="37" t="s">
        <v>225</v>
      </c>
      <c r="C1" s="37"/>
      <c r="D1" s="37"/>
      <c r="E1" s="37"/>
      <c r="F1" s="37"/>
      <c r="G1" s="37"/>
      <c r="H1" s="37"/>
      <c r="I1" s="37"/>
      <c r="J1" s="37"/>
      <c r="K1" s="37"/>
      <c r="L1" s="37"/>
      <c r="M1" s="37"/>
    </row>
    <row r="2" spans="1:13">
      <c r="A2" s="13" t="str">
        <f>DatasetsName!$C$1</f>
        <v>Dataset Description</v>
      </c>
      <c r="B2" s="37" t="str">
        <f>INDEX(DatasetsName!A1:J118,MATCH(B1,DatasetsName!B:B, 0),3)</f>
        <v>&lt;enter template description&gt;</v>
      </c>
      <c r="C2" s="37"/>
      <c r="D2" s="37"/>
      <c r="E2" s="37"/>
      <c r="F2" s="37"/>
      <c r="G2" s="37"/>
      <c r="H2" s="37"/>
      <c r="I2" s="37"/>
      <c r="J2" s="37"/>
      <c r="K2" s="37"/>
      <c r="L2" s="37"/>
      <c r="M2" s="37"/>
    </row>
    <row r="3" spans="1:13">
      <c r="A3" s="13" t="str">
        <f>DatasetsName!$D$1</f>
        <v>Dataset Class</v>
      </c>
      <c r="B3" s="37" t="str">
        <f>INDEX(DatasetsName!A1:J118,MATCH(B1,DatasetsName!B:B, 0),4)</f>
        <v>&lt;enter template class&gt;</v>
      </c>
      <c r="C3" s="37"/>
      <c r="D3" s="37"/>
      <c r="E3" s="37"/>
      <c r="F3" s="37"/>
      <c r="G3" s="37"/>
      <c r="H3" s="37"/>
      <c r="I3" s="37"/>
      <c r="J3" s="37"/>
      <c r="K3" s="37"/>
      <c r="L3" s="37"/>
      <c r="M3" s="37"/>
    </row>
    <row r="4" spans="1:13">
      <c r="A4" s="13" t="str">
        <f>DatasetsName!$E$1</f>
        <v>Dataset Structure</v>
      </c>
      <c r="B4" s="37" t="str">
        <f>INDEX(DatasetsName!A1:J118,MATCH(B1,DatasetsName!B:B, 0),5)</f>
        <v>One record per &lt;enter structure&gt;</v>
      </c>
      <c r="C4" s="37"/>
      <c r="D4" s="37"/>
      <c r="E4" s="37"/>
      <c r="F4" s="37"/>
      <c r="G4" s="37"/>
      <c r="H4" s="37"/>
      <c r="I4" s="37"/>
      <c r="J4" s="37"/>
      <c r="K4" s="37"/>
      <c r="L4" s="37"/>
      <c r="M4" s="37"/>
    </row>
    <row r="5" spans="1:13">
      <c r="A5" s="13" t="str">
        <f>DatasetsName!$F$1</f>
        <v>Dataset Purpose</v>
      </c>
      <c r="B5" s="37" t="str">
        <f>INDEX(DatasetsName!A1:J118,MATCH(B1,DatasetsName!B:B, 0),6)</f>
        <v>Tabulation</v>
      </c>
      <c r="C5" s="37"/>
      <c r="D5" s="37"/>
      <c r="E5" s="37"/>
      <c r="F5" s="37"/>
      <c r="G5" s="37"/>
      <c r="H5" s="37"/>
      <c r="I5" s="37"/>
      <c r="J5" s="37"/>
      <c r="K5" s="37"/>
      <c r="L5" s="37"/>
      <c r="M5" s="37"/>
    </row>
    <row r="6" spans="1:13">
      <c r="A6" s="13" t="str">
        <f>DatasetsName!$G$1</f>
        <v>Dataset Keys</v>
      </c>
      <c r="B6" s="37" t="str">
        <f>INDEX(DatasetsName!A1:J118,MATCH(B1,DatasetsName!B:B, 0),7)</f>
        <v>&lt;enter dataset keys&gt;</v>
      </c>
      <c r="C6" s="37"/>
      <c r="D6" s="37"/>
      <c r="E6" s="37"/>
      <c r="F6" s="37"/>
      <c r="G6" s="37"/>
      <c r="H6" s="37"/>
      <c r="I6" s="37"/>
      <c r="J6" s="37"/>
      <c r="K6" s="37"/>
      <c r="L6" s="37"/>
      <c r="M6" s="37"/>
    </row>
    <row r="7" spans="1:13">
      <c r="A7" s="13" t="str">
        <f>DatasetsName!$H$1</f>
        <v>Dataset Location</v>
      </c>
      <c r="B7" s="37" t="str">
        <f>INDEX(DatasetsName!A1:J118,MATCH(B1,DatasetsName!B:B, 0),8)</f>
        <v>&lt;enter dataset location&gt;</v>
      </c>
      <c r="C7" s="37"/>
      <c r="D7" s="37"/>
      <c r="E7" s="37"/>
      <c r="F7" s="37"/>
      <c r="G7" s="37"/>
      <c r="H7" s="37"/>
      <c r="I7" s="37"/>
      <c r="J7" s="37"/>
      <c r="K7" s="37"/>
      <c r="L7" s="37"/>
      <c r="M7" s="37"/>
    </row>
    <row r="8" spans="1:13">
      <c r="A8" s="13" t="s">
        <v>54</v>
      </c>
      <c r="B8" s="37" t="str">
        <f>INDEX(DatasetsName!A1:J118,MATCH(B1,DatasetsName!B:B, 0),9)</f>
        <v>&lt;enter program location&gt;</v>
      </c>
      <c r="C8" s="37"/>
      <c r="D8" s="37"/>
      <c r="E8" s="37"/>
      <c r="F8" s="37"/>
      <c r="G8" s="37"/>
      <c r="H8" s="37"/>
      <c r="I8" s="37"/>
      <c r="J8" s="37"/>
      <c r="K8" s="37"/>
      <c r="L8" s="37"/>
      <c r="M8" s="37"/>
    </row>
    <row r="9" spans="1:13">
      <c r="A9" s="13" t="s">
        <v>52</v>
      </c>
      <c r="B9" s="38" t="s">
        <v>188</v>
      </c>
      <c r="C9" s="38"/>
      <c r="D9" s="38"/>
      <c r="E9" s="38"/>
      <c r="F9" s="38"/>
      <c r="G9" s="38"/>
      <c r="H9" s="38"/>
      <c r="I9" s="38"/>
      <c r="J9" s="38"/>
      <c r="K9" s="38"/>
      <c r="L9" s="38"/>
      <c r="M9" s="38"/>
    </row>
    <row r="10" spans="1:13">
      <c r="A10" s="13" t="s">
        <v>53</v>
      </c>
      <c r="B10" s="38" t="s">
        <v>189</v>
      </c>
      <c r="C10" s="38"/>
      <c r="D10" s="38"/>
      <c r="E10" s="38"/>
      <c r="F10" s="38"/>
      <c r="G10" s="38"/>
      <c r="H10" s="38"/>
      <c r="I10" s="38"/>
      <c r="J10" s="38"/>
      <c r="K10" s="38"/>
      <c r="L10" s="38"/>
      <c r="M10" s="38"/>
    </row>
    <row r="11" spans="1:13">
      <c r="A11" s="13" t="s">
        <v>190</v>
      </c>
      <c r="B11" s="38" t="s">
        <v>245</v>
      </c>
      <c r="C11" s="38"/>
      <c r="D11" s="38"/>
      <c r="E11" s="38"/>
      <c r="F11" s="38"/>
      <c r="G11" s="38"/>
      <c r="H11" s="38"/>
      <c r="I11" s="38"/>
      <c r="J11" s="38"/>
      <c r="K11" s="38"/>
      <c r="L11" s="38"/>
      <c r="M11" s="38"/>
    </row>
    <row r="12" spans="1:13">
      <c r="A12" s="9"/>
      <c r="B12" s="9"/>
      <c r="C12" s="9"/>
      <c r="D12" s="9"/>
      <c r="E12" s="9"/>
      <c r="F12" s="9"/>
      <c r="G12" s="9"/>
      <c r="H12" s="9"/>
      <c r="I12" s="9"/>
      <c r="J12" s="9"/>
      <c r="K12" s="9"/>
      <c r="L12" s="9"/>
      <c r="M12" s="9"/>
    </row>
    <row r="13" spans="1:13" ht="52.8">
      <c r="A13" s="11" t="s">
        <v>31</v>
      </c>
      <c r="B13" s="11" t="s">
        <v>32</v>
      </c>
      <c r="C13" s="11" t="s">
        <v>41</v>
      </c>
      <c r="D13" s="11" t="s">
        <v>46</v>
      </c>
      <c r="E13" s="11" t="s">
        <v>42</v>
      </c>
      <c r="F13" s="11" t="s">
        <v>47</v>
      </c>
      <c r="G13" s="11" t="s">
        <v>43</v>
      </c>
      <c r="H13" s="11" t="s">
        <v>48</v>
      </c>
      <c r="I13" s="11" t="s">
        <v>49</v>
      </c>
      <c r="J13" s="11" t="s">
        <v>50</v>
      </c>
      <c r="K13" s="11" t="s">
        <v>51</v>
      </c>
      <c r="L13" s="11" t="s">
        <v>44</v>
      </c>
      <c r="M13" s="11" t="s">
        <v>45</v>
      </c>
    </row>
    <row r="14" spans="1:13" ht="105.6">
      <c r="A14" s="12" t="str">
        <f>B1</f>
        <v>Template</v>
      </c>
      <c r="B14" s="12" t="s">
        <v>55</v>
      </c>
      <c r="C14" s="12" t="s">
        <v>56</v>
      </c>
      <c r="D14" s="12" t="s">
        <v>57</v>
      </c>
      <c r="E14" s="12"/>
      <c r="F14" s="12">
        <v>1</v>
      </c>
      <c r="G14" s="12" t="s">
        <v>58</v>
      </c>
      <c r="H14" s="12" t="s">
        <v>59</v>
      </c>
      <c r="I14" s="6" t="s">
        <v>93</v>
      </c>
      <c r="J14" s="12" t="s">
        <v>60</v>
      </c>
      <c r="K14" s="12"/>
      <c r="L14" s="12" t="s">
        <v>61</v>
      </c>
      <c r="M14" s="12" t="s">
        <v>62</v>
      </c>
    </row>
    <row r="15" spans="1:13" ht="26.4">
      <c r="A15" s="12" t="str">
        <f>A14</f>
        <v>Template</v>
      </c>
      <c r="B15" s="12" t="s">
        <v>63</v>
      </c>
      <c r="C15" s="12" t="s">
        <v>64</v>
      </c>
      <c r="D15" s="12" t="s">
        <v>57</v>
      </c>
      <c r="E15" s="14"/>
      <c r="F15" s="12">
        <v>2</v>
      </c>
      <c r="G15" s="12" t="s">
        <v>58</v>
      </c>
      <c r="H15" s="12" t="s">
        <v>82</v>
      </c>
      <c r="I15" s="12">
        <v>2</v>
      </c>
      <c r="J15" s="12"/>
      <c r="K15" s="12"/>
      <c r="L15" s="12" t="s">
        <v>84</v>
      </c>
      <c r="M15" s="12" t="s">
        <v>62</v>
      </c>
    </row>
    <row r="16" spans="1:13" ht="26.4">
      <c r="A16" s="12" t="str">
        <f t="shared" ref="A16" si="0">A15</f>
        <v>Template</v>
      </c>
      <c r="B16" s="6" t="s">
        <v>232</v>
      </c>
      <c r="C16" s="6" t="s">
        <v>233</v>
      </c>
      <c r="D16" s="12" t="s">
        <v>234</v>
      </c>
      <c r="E16" s="12"/>
      <c r="F16" s="12"/>
      <c r="G16" s="12"/>
      <c r="H16" s="12"/>
      <c r="I16" s="6"/>
      <c r="J16" s="6"/>
      <c r="K16" s="12"/>
      <c r="L16" s="12"/>
      <c r="M16" s="12"/>
    </row>
  </sheetData>
  <autoFilter ref="A13:M16" xr:uid="{C0116BDF-748C-41FF-8411-4EB62BE4D9FB}"/>
  <mergeCells count="11">
    <mergeCell ref="B6:M6"/>
    <mergeCell ref="B1:M1"/>
    <mergeCell ref="B2:M2"/>
    <mergeCell ref="B3:M3"/>
    <mergeCell ref="B4:M4"/>
    <mergeCell ref="B5:M5"/>
    <mergeCell ref="B7:M7"/>
    <mergeCell ref="B8:M8"/>
    <mergeCell ref="B9:M9"/>
    <mergeCell ref="B10:M10"/>
    <mergeCell ref="B11:M1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Instructions</vt:lpstr>
      <vt:lpstr>CoverPage</vt:lpstr>
      <vt:lpstr>DatasetsName</vt:lpstr>
      <vt:lpstr>ControlledTerms</vt:lpstr>
      <vt:lpstr>Format</vt:lpstr>
      <vt:lpstr>TA</vt:lpstr>
      <vt:lpstr>TE</vt:lpstr>
      <vt:lpstr>TV</vt:lpstr>
      <vt:lpstr>TD</vt:lpstr>
      <vt:lpstr>TM</vt:lpstr>
      <vt:lpstr>TI</vt:lpstr>
      <vt:lpstr>TS</vt:lpstr>
      <vt:lpstr>CO</vt:lpstr>
      <vt:lpstr>DM</vt:lpstr>
      <vt:lpstr>SE</vt:lpstr>
      <vt:lpstr>SM</vt:lpstr>
      <vt:lpstr>SV</vt:lpstr>
      <vt:lpstr>CM</vt:lpstr>
      <vt:lpstr>EX</vt:lpstr>
      <vt:lpstr>EC</vt:lpstr>
      <vt:lpstr>PR</vt:lpstr>
      <vt:lpstr>AE</vt:lpstr>
      <vt:lpstr>BE</vt:lpstr>
      <vt:lpstr>DS</vt:lpstr>
      <vt:lpstr>HO</vt:lpstr>
      <vt:lpstr>MH</vt:lpstr>
      <vt:lpstr>DV</vt:lpstr>
      <vt:lpstr>DD</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Jaeger</dc:creator>
  <cp:lastModifiedBy>Jonathan Jaeger</cp:lastModifiedBy>
  <dcterms:created xsi:type="dcterms:W3CDTF">2023-02-24T13:17:53Z</dcterms:created>
  <dcterms:modified xsi:type="dcterms:W3CDTF">2023-03-13T14:46:58Z</dcterms:modified>
</cp:coreProperties>
</file>